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DATA PROJECTS\Excel_Training_Dashboard\"/>
    </mc:Choice>
  </mc:AlternateContent>
  <xr:revisionPtr revIDLastSave="0" documentId="13_ncr:10000001_{A903219C-EE20-4153-BD1B-9B7CC4D693B5}" xr6:coauthVersionLast="47" xr6:coauthVersionMax="47" xr10:uidLastSave="{00000000-0000-0000-0000-000000000000}"/>
  <bookViews>
    <workbookView xWindow="-108" yWindow="-108" windowWidth="23256" windowHeight="12456" xr2:uid="{00000000-000D-0000-FFFF-FFFF00000000}"/>
  </bookViews>
  <sheets>
    <sheet name="Dashboard" sheetId="5" r:id="rId1"/>
    <sheet name="Training_Source" sheetId="1" r:id="rId2"/>
    <sheet name="HR_List" sheetId="2" r:id="rId3"/>
    <sheet name="My Lists" sheetId="3" r:id="rId4"/>
    <sheet name="Pivot tables" sheetId="4" state="hidden" r:id="rId5"/>
  </sheets>
  <definedNames>
    <definedName name="_xlcn.WorksheetConnection_Training_Dashboard.xlsxTDepartment1" hidden="1">TDepartment[]</definedName>
    <definedName name="_xlcn.WorksheetConnection_Training_Dashboard.xlsxTHrList1" hidden="1">THrList[]</definedName>
    <definedName name="_xlcn.WorksheetConnection_Training_Dashboard.xlsxTTrainingSource1" hidden="1">TTrainingSource[]</definedName>
    <definedName name="ListDepartment">TDepartment[Department]</definedName>
    <definedName name="ListTrainingProvider">TTrainingProvider[Training_Provider]</definedName>
    <definedName name="ListTrainingStatus">TTrainingStatus[Training_Status]</definedName>
    <definedName name="ListTrainingTitle">TTrainingTitle[Training_Title]</definedName>
    <definedName name="Slicer_Department">#N/A</definedName>
    <definedName name="Slicer_Gender">#N/A</definedName>
    <definedName name="Slicer_Training_Provider">#N/A</definedName>
    <definedName name="Slicer_Training_Status">#N/A</definedName>
    <definedName name="Slicer_Training_Title">#N/A</definedName>
    <definedName name="Timeline_Training_Date">#N/A</definedName>
  </definedNames>
  <calcPr calcId="191029"/>
  <pivotCaches>
    <pivotCache cacheId="158" r:id="rId6"/>
    <pivotCache cacheId="161" r:id="rId7"/>
    <pivotCache cacheId="164" r:id="rId8"/>
    <pivotCache cacheId="167" r:id="rId9"/>
    <pivotCache cacheId="170" r:id="rId10"/>
    <pivotCache cacheId="173" r:id="rId11"/>
    <pivotCache cacheId="176" r:id="rId12"/>
  </pivotCaches>
  <fileRecoveryPr repairLoad="1"/>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FCE2AD5D-F65C-4FA6-A056-5C36A1767C68}">
      <x15:dataModel>
        <x15:modelTables>
          <x15:modelTable id="TTrainingSource" name="TTrainingSource" connection="WorksheetConnection_Training_Dashboard.xlsx!TTrainingSource"/>
          <x15:modelTable id="THrList" name="THrList" connection="WorksheetConnection_Training_Dashboard.xlsx!THrList"/>
          <x15:modelTable id="TDepartment" name="TDepartment" connection="WorksheetConnection_Training_Dashboard.xlsx!TDepartment"/>
        </x15:modelTables>
        <x15:modelRelationships>
          <x15:modelRelationship fromTable="TTrainingSource" fromColumn="Employee_ID" toTable="THrList" toColumn="Employee_ID"/>
        </x15:modelRelationships>
        <x15:extLst>
          <ext xmlns:x16="http://schemas.microsoft.com/office/spreadsheetml/2014/11/main" uri="{9835A34E-60A6-4A7C-AAB8-D5F71C897F49}">
            <x16:modelTimeGroupings>
              <x16:modelTimeGrouping tableName="TTrainingSource" columnName="Training_Date" columnId="Training_Date">
                <x16:calculatedTimeColumn columnName="Training_Date (Year)" columnId="Training_Date (Year)" contentType="years" isSelected="1"/>
                <x16:calculatedTimeColumn columnName="Training_Date (Quarter)" columnId="Training_Date (Quarter)" contentType="quarters" isSelected="1"/>
                <x16:calculatedTimeColumn columnName="Training_Date (Month Index)" columnId="Training_Date (Month Index)" contentType="monthsindex" isSelected="0"/>
                <x16:calculatedTimeColumn columnName="Training_Date (Month)" columnId="Training_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01" i="2" l="1"/>
  <c r="C701" i="2"/>
  <c r="G700" i="2"/>
  <c r="C700" i="2"/>
  <c r="G699" i="2"/>
  <c r="C699" i="2"/>
  <c r="G698" i="2"/>
  <c r="C698" i="2"/>
  <c r="G697" i="2"/>
  <c r="C697" i="2"/>
  <c r="G696" i="2"/>
  <c r="C696" i="2"/>
  <c r="G695" i="2"/>
  <c r="C695" i="2"/>
  <c r="G694" i="2"/>
  <c r="C694" i="2"/>
  <c r="G693" i="2"/>
  <c r="C693" i="2"/>
  <c r="G692" i="2"/>
  <c r="C692" i="2"/>
  <c r="G691" i="2"/>
  <c r="C691" i="2"/>
  <c r="G690" i="2"/>
  <c r="C690" i="2"/>
  <c r="G689" i="2"/>
  <c r="C689" i="2"/>
  <c r="G688" i="2"/>
  <c r="C688" i="2"/>
  <c r="G687" i="2"/>
  <c r="C687" i="2"/>
  <c r="G686" i="2"/>
  <c r="C686" i="2"/>
  <c r="G685" i="2"/>
  <c r="C685" i="2"/>
  <c r="G684" i="2"/>
  <c r="C684" i="2"/>
  <c r="G683" i="2"/>
  <c r="C683" i="2"/>
  <c r="G682" i="2"/>
  <c r="C682" i="2"/>
  <c r="G681" i="2"/>
  <c r="C681" i="2"/>
  <c r="G680" i="2"/>
  <c r="C680" i="2"/>
  <c r="G679" i="2"/>
  <c r="C679" i="2"/>
  <c r="G678" i="2"/>
  <c r="C678" i="2"/>
  <c r="G677" i="2"/>
  <c r="C677" i="2"/>
  <c r="G676" i="2"/>
  <c r="C676" i="2"/>
  <c r="G675" i="2"/>
  <c r="C675" i="2"/>
  <c r="G674" i="2"/>
  <c r="C674" i="2"/>
  <c r="G673" i="2"/>
  <c r="C673" i="2"/>
  <c r="G672" i="2"/>
  <c r="C672" i="2"/>
  <c r="G671" i="2"/>
  <c r="C671" i="2"/>
  <c r="G670" i="2"/>
  <c r="C670" i="2"/>
  <c r="G669" i="2"/>
  <c r="C669" i="2"/>
  <c r="G668" i="2"/>
  <c r="C668" i="2"/>
  <c r="G667" i="2"/>
  <c r="C667" i="2"/>
  <c r="G666" i="2"/>
  <c r="C666" i="2"/>
  <c r="G665" i="2"/>
  <c r="C665" i="2"/>
  <c r="G664" i="2"/>
  <c r="C664" i="2"/>
  <c r="G663" i="2"/>
  <c r="C663" i="2"/>
  <c r="G662" i="2"/>
  <c r="C662" i="2"/>
  <c r="G661" i="2"/>
  <c r="C661" i="2"/>
  <c r="G660" i="2"/>
  <c r="C660" i="2"/>
  <c r="G659" i="2"/>
  <c r="C659" i="2"/>
  <c r="G658" i="2"/>
  <c r="C658" i="2"/>
  <c r="G657" i="2"/>
  <c r="C657" i="2"/>
  <c r="G656" i="2"/>
  <c r="C656" i="2"/>
  <c r="G655" i="2"/>
  <c r="C655" i="2"/>
  <c r="G654" i="2"/>
  <c r="C654" i="2"/>
  <c r="G653" i="2"/>
  <c r="C653" i="2"/>
  <c r="G652" i="2"/>
  <c r="C652" i="2"/>
  <c r="G651" i="2"/>
  <c r="C651" i="2"/>
  <c r="G650" i="2"/>
  <c r="C650" i="2"/>
  <c r="G649" i="2"/>
  <c r="C649" i="2"/>
  <c r="G648" i="2"/>
  <c r="C648" i="2"/>
  <c r="G647" i="2"/>
  <c r="C647" i="2"/>
  <c r="G646" i="2"/>
  <c r="C646" i="2"/>
  <c r="G645" i="2"/>
  <c r="C645" i="2"/>
  <c r="G644" i="2"/>
  <c r="C644" i="2"/>
  <c r="G643" i="2"/>
  <c r="C643" i="2"/>
  <c r="G642" i="2"/>
  <c r="C642" i="2"/>
  <c r="G641" i="2"/>
  <c r="C641" i="2"/>
  <c r="G640" i="2"/>
  <c r="C640" i="2"/>
  <c r="G639" i="2"/>
  <c r="C639" i="2"/>
  <c r="G638" i="2"/>
  <c r="C638" i="2"/>
  <c r="G637" i="2"/>
  <c r="C637" i="2"/>
  <c r="G636" i="2"/>
  <c r="C636" i="2"/>
  <c r="G635" i="2"/>
  <c r="C635" i="2"/>
  <c r="G634" i="2"/>
  <c r="C634" i="2"/>
  <c r="G633" i="2"/>
  <c r="C633" i="2"/>
  <c r="G632" i="2"/>
  <c r="C632" i="2"/>
  <c r="G631" i="2"/>
  <c r="C631" i="2"/>
  <c r="G630" i="2"/>
  <c r="C630" i="2"/>
  <c r="G629" i="2"/>
  <c r="C629" i="2"/>
  <c r="G628" i="2"/>
  <c r="C628" i="2"/>
  <c r="G627" i="2"/>
  <c r="C627" i="2"/>
  <c r="G626" i="2"/>
  <c r="C626" i="2"/>
  <c r="G625" i="2"/>
  <c r="C625" i="2"/>
  <c r="G624" i="2"/>
  <c r="C624" i="2"/>
  <c r="G623" i="2"/>
  <c r="C623" i="2"/>
  <c r="G622" i="2"/>
  <c r="C622" i="2"/>
  <c r="G621" i="2"/>
  <c r="C621" i="2"/>
  <c r="G620" i="2"/>
  <c r="C620" i="2"/>
  <c r="G619" i="2"/>
  <c r="C619" i="2"/>
  <c r="G618" i="2"/>
  <c r="C618" i="2"/>
  <c r="G617" i="2"/>
  <c r="C617" i="2"/>
  <c r="G616" i="2"/>
  <c r="C616" i="2"/>
  <c r="G615" i="2"/>
  <c r="C615" i="2"/>
  <c r="G614" i="2"/>
  <c r="C614" i="2"/>
  <c r="G613" i="2"/>
  <c r="C613" i="2"/>
  <c r="G612" i="2"/>
  <c r="C612" i="2"/>
  <c r="G611" i="2"/>
  <c r="C611" i="2"/>
  <c r="G610" i="2"/>
  <c r="C610" i="2"/>
  <c r="G609" i="2"/>
  <c r="C609" i="2"/>
  <c r="G608" i="2"/>
  <c r="C608" i="2"/>
  <c r="G607" i="2"/>
  <c r="C607" i="2"/>
  <c r="G606" i="2"/>
  <c r="C606" i="2"/>
  <c r="G605" i="2"/>
  <c r="C605" i="2"/>
  <c r="G604" i="2"/>
  <c r="C604" i="2"/>
  <c r="G603" i="2"/>
  <c r="C603" i="2"/>
  <c r="G602" i="2"/>
  <c r="C602" i="2"/>
  <c r="G601" i="2"/>
  <c r="C601" i="2"/>
  <c r="G600" i="2"/>
  <c r="C600" i="2"/>
  <c r="G599" i="2"/>
  <c r="C599" i="2"/>
  <c r="G598" i="2"/>
  <c r="C598" i="2"/>
  <c r="G597" i="2"/>
  <c r="C597" i="2"/>
  <c r="G596" i="2"/>
  <c r="C596" i="2"/>
  <c r="G595" i="2"/>
  <c r="C595" i="2"/>
  <c r="G594" i="2"/>
  <c r="C594" i="2"/>
  <c r="G593" i="2"/>
  <c r="C593" i="2"/>
  <c r="G592" i="2"/>
  <c r="C592" i="2"/>
  <c r="G591" i="2"/>
  <c r="C591" i="2"/>
  <c r="G590" i="2"/>
  <c r="C590" i="2"/>
  <c r="G589" i="2"/>
  <c r="C589" i="2"/>
  <c r="G588" i="2"/>
  <c r="C588" i="2"/>
  <c r="G587" i="2"/>
  <c r="C587" i="2"/>
  <c r="G586" i="2"/>
  <c r="C586" i="2"/>
  <c r="G585" i="2"/>
  <c r="C585" i="2"/>
  <c r="G584" i="2"/>
  <c r="C584" i="2"/>
  <c r="G583" i="2"/>
  <c r="C583" i="2"/>
  <c r="G582" i="2"/>
  <c r="C582" i="2"/>
  <c r="G581" i="2"/>
  <c r="C581" i="2"/>
  <c r="G580" i="2"/>
  <c r="C580" i="2"/>
  <c r="G579" i="2"/>
  <c r="C579" i="2"/>
  <c r="G578" i="2"/>
  <c r="C578" i="2"/>
  <c r="G577" i="2"/>
  <c r="C577" i="2"/>
  <c r="G576" i="2"/>
  <c r="C576" i="2"/>
  <c r="G575" i="2"/>
  <c r="C575" i="2"/>
  <c r="G574" i="2"/>
  <c r="C574" i="2"/>
  <c r="G573" i="2"/>
  <c r="C573" i="2"/>
  <c r="G572" i="2"/>
  <c r="C572" i="2"/>
  <c r="G571" i="2"/>
  <c r="C571" i="2"/>
  <c r="G570" i="2"/>
  <c r="C570" i="2"/>
  <c r="G569" i="2"/>
  <c r="C569" i="2"/>
  <c r="G568" i="2"/>
  <c r="C568" i="2"/>
  <c r="G567" i="2"/>
  <c r="C567" i="2"/>
  <c r="G566" i="2"/>
  <c r="C566" i="2"/>
  <c r="G565" i="2"/>
  <c r="C565" i="2"/>
  <c r="G564" i="2"/>
  <c r="C564" i="2"/>
  <c r="G563" i="2"/>
  <c r="C563" i="2"/>
  <c r="G562" i="2"/>
  <c r="C562" i="2"/>
  <c r="G561" i="2"/>
  <c r="C561" i="2"/>
  <c r="G560" i="2"/>
  <c r="C560" i="2"/>
  <c r="G559" i="2"/>
  <c r="C559" i="2"/>
  <c r="G558" i="2"/>
  <c r="C558" i="2"/>
  <c r="G557" i="2"/>
  <c r="C557" i="2"/>
  <c r="G556" i="2"/>
  <c r="C556" i="2"/>
  <c r="G555" i="2"/>
  <c r="C555" i="2"/>
  <c r="G554" i="2"/>
  <c r="C554" i="2"/>
  <c r="G553" i="2"/>
  <c r="C553" i="2"/>
  <c r="G552" i="2"/>
  <c r="C552" i="2"/>
  <c r="G551" i="2"/>
  <c r="C551" i="2"/>
  <c r="G550" i="2"/>
  <c r="C550" i="2"/>
  <c r="G549" i="2"/>
  <c r="C549" i="2"/>
  <c r="G548" i="2"/>
  <c r="C548" i="2"/>
  <c r="G547" i="2"/>
  <c r="C547" i="2"/>
  <c r="G546" i="2"/>
  <c r="C546" i="2"/>
  <c r="G545" i="2"/>
  <c r="C545" i="2"/>
  <c r="G544" i="2"/>
  <c r="C544" i="2"/>
  <c r="G543" i="2"/>
  <c r="C543" i="2"/>
  <c r="G542" i="2"/>
  <c r="C542" i="2"/>
  <c r="G541" i="2"/>
  <c r="C541" i="2"/>
  <c r="G540" i="2"/>
  <c r="C540" i="2"/>
  <c r="G539" i="2"/>
  <c r="C539" i="2"/>
  <c r="G538" i="2"/>
  <c r="C538" i="2"/>
  <c r="G537" i="2"/>
  <c r="C537" i="2"/>
  <c r="G536" i="2"/>
  <c r="C536" i="2"/>
  <c r="G535" i="2"/>
  <c r="C535" i="2"/>
  <c r="G534" i="2"/>
  <c r="C534" i="2"/>
  <c r="G533" i="2"/>
  <c r="C533" i="2"/>
  <c r="G532" i="2"/>
  <c r="C532" i="2"/>
  <c r="G531" i="2"/>
  <c r="C531" i="2"/>
  <c r="G530" i="2"/>
  <c r="C530" i="2"/>
  <c r="G529" i="2"/>
  <c r="C529" i="2"/>
  <c r="G528" i="2"/>
  <c r="C528" i="2"/>
  <c r="G527" i="2"/>
  <c r="C527" i="2"/>
  <c r="G526" i="2"/>
  <c r="C526" i="2"/>
  <c r="G525" i="2"/>
  <c r="C525" i="2"/>
  <c r="G524" i="2"/>
  <c r="C524" i="2"/>
  <c r="G523" i="2"/>
  <c r="C523" i="2"/>
  <c r="G522" i="2"/>
  <c r="C522" i="2"/>
  <c r="G521" i="2"/>
  <c r="C521" i="2"/>
  <c r="G520" i="2"/>
  <c r="C520" i="2"/>
  <c r="G519" i="2"/>
  <c r="C519" i="2"/>
  <c r="G518" i="2"/>
  <c r="C518" i="2"/>
  <c r="G517" i="2"/>
  <c r="C517" i="2"/>
  <c r="G516" i="2"/>
  <c r="C516" i="2"/>
  <c r="G515" i="2"/>
  <c r="C515" i="2"/>
  <c r="G514" i="2"/>
  <c r="C514" i="2"/>
  <c r="G513" i="2"/>
  <c r="C513" i="2"/>
  <c r="G512" i="2"/>
  <c r="C512" i="2"/>
  <c r="G511" i="2"/>
  <c r="C511" i="2"/>
  <c r="G510" i="2"/>
  <c r="C510" i="2"/>
  <c r="G509" i="2"/>
  <c r="C509" i="2"/>
  <c r="G508" i="2"/>
  <c r="C508" i="2"/>
  <c r="G507" i="2"/>
  <c r="C507" i="2"/>
  <c r="G506" i="2"/>
  <c r="C506" i="2"/>
  <c r="G505" i="2"/>
  <c r="C505" i="2"/>
  <c r="G504" i="2"/>
  <c r="C504" i="2"/>
  <c r="G503" i="2"/>
  <c r="C503" i="2"/>
  <c r="G502" i="2"/>
  <c r="C502" i="2"/>
  <c r="G501" i="2"/>
  <c r="C501" i="2"/>
  <c r="G500" i="2"/>
  <c r="C500" i="2"/>
  <c r="G499" i="2"/>
  <c r="C499" i="2"/>
  <c r="G498" i="2"/>
  <c r="C498" i="2"/>
  <c r="G497" i="2"/>
  <c r="C497" i="2"/>
  <c r="G496" i="2"/>
  <c r="C496" i="2"/>
  <c r="G495" i="2"/>
  <c r="C495" i="2"/>
  <c r="G494" i="2"/>
  <c r="C494" i="2"/>
  <c r="G493" i="2"/>
  <c r="C493" i="2"/>
  <c r="G492" i="2"/>
  <c r="C492" i="2"/>
  <c r="G491" i="2"/>
  <c r="C491" i="2"/>
  <c r="G490" i="2"/>
  <c r="C490" i="2"/>
  <c r="G489" i="2"/>
  <c r="C489" i="2"/>
  <c r="G488" i="2"/>
  <c r="C488" i="2"/>
  <c r="G487" i="2"/>
  <c r="C487" i="2"/>
  <c r="G486" i="2"/>
  <c r="C486" i="2"/>
  <c r="G485" i="2"/>
  <c r="C485" i="2"/>
  <c r="G484" i="2"/>
  <c r="C484" i="2"/>
  <c r="G483" i="2"/>
  <c r="C483" i="2"/>
  <c r="G482" i="2"/>
  <c r="C482" i="2"/>
  <c r="G481" i="2"/>
  <c r="C481" i="2"/>
  <c r="G480" i="2"/>
  <c r="C480" i="2"/>
  <c r="G479" i="2"/>
  <c r="C479" i="2"/>
  <c r="G478" i="2"/>
  <c r="C478" i="2"/>
  <c r="G477" i="2"/>
  <c r="C477" i="2"/>
  <c r="G476" i="2"/>
  <c r="C476" i="2"/>
  <c r="G475" i="2"/>
  <c r="C475" i="2"/>
  <c r="G474" i="2"/>
  <c r="C474" i="2"/>
  <c r="G473" i="2"/>
  <c r="C473" i="2"/>
  <c r="G472" i="2"/>
  <c r="C472" i="2"/>
  <c r="G471" i="2"/>
  <c r="C471" i="2"/>
  <c r="G470" i="2"/>
  <c r="C470" i="2"/>
  <c r="G469" i="2"/>
  <c r="C469" i="2"/>
  <c r="G468" i="2"/>
  <c r="C468" i="2"/>
  <c r="G467" i="2"/>
  <c r="C467" i="2"/>
  <c r="G466" i="2"/>
  <c r="C466" i="2"/>
  <c r="G465" i="2"/>
  <c r="C465" i="2"/>
  <c r="G464" i="2"/>
  <c r="C464" i="2"/>
  <c r="G463" i="2"/>
  <c r="C463" i="2"/>
  <c r="G462" i="2"/>
  <c r="C462" i="2"/>
  <c r="G461" i="2"/>
  <c r="C461" i="2"/>
  <c r="G460" i="2"/>
  <c r="C460" i="2"/>
  <c r="G459" i="2"/>
  <c r="C459" i="2"/>
  <c r="G458" i="2"/>
  <c r="C458" i="2"/>
  <c r="G457" i="2"/>
  <c r="C457" i="2"/>
  <c r="G456" i="2"/>
  <c r="C456" i="2"/>
  <c r="G455" i="2"/>
  <c r="C455" i="2"/>
  <c r="G454" i="2"/>
  <c r="C454" i="2"/>
  <c r="G453" i="2"/>
  <c r="C453" i="2"/>
  <c r="G452" i="2"/>
  <c r="C452" i="2"/>
  <c r="G451" i="2"/>
  <c r="C451" i="2"/>
  <c r="G450" i="2"/>
  <c r="C450" i="2"/>
  <c r="G449" i="2"/>
  <c r="C449" i="2"/>
  <c r="G448" i="2"/>
  <c r="C448" i="2"/>
  <c r="G447" i="2"/>
  <c r="C447" i="2"/>
  <c r="G446" i="2"/>
  <c r="C446" i="2"/>
  <c r="G445" i="2"/>
  <c r="C445" i="2"/>
  <c r="G444" i="2"/>
  <c r="C444" i="2"/>
  <c r="G443" i="2"/>
  <c r="C443" i="2"/>
  <c r="G442" i="2"/>
  <c r="C442" i="2"/>
  <c r="G441" i="2"/>
  <c r="C441" i="2"/>
  <c r="G440" i="2"/>
  <c r="C440" i="2"/>
  <c r="G439" i="2"/>
  <c r="C439" i="2"/>
  <c r="G438" i="2"/>
  <c r="C438" i="2"/>
  <c r="G437" i="2"/>
  <c r="C437" i="2"/>
  <c r="G436" i="2"/>
  <c r="C436" i="2"/>
  <c r="G435" i="2"/>
  <c r="C435" i="2"/>
  <c r="G434" i="2"/>
  <c r="C434" i="2"/>
  <c r="G433" i="2"/>
  <c r="C433" i="2"/>
  <c r="G432" i="2"/>
  <c r="C432" i="2"/>
  <c r="G431" i="2"/>
  <c r="C431" i="2"/>
  <c r="G430" i="2"/>
  <c r="C430" i="2"/>
  <c r="G429" i="2"/>
  <c r="C429" i="2"/>
  <c r="G428" i="2"/>
  <c r="C428" i="2"/>
  <c r="G427" i="2"/>
  <c r="C427" i="2"/>
  <c r="G426" i="2"/>
  <c r="C426" i="2"/>
  <c r="G425" i="2"/>
  <c r="C425" i="2"/>
  <c r="G424" i="2"/>
  <c r="C424" i="2"/>
  <c r="G423" i="2"/>
  <c r="C423" i="2"/>
  <c r="G422" i="2"/>
  <c r="C422" i="2"/>
  <c r="G421" i="2"/>
  <c r="C421" i="2"/>
  <c r="G420" i="2"/>
  <c r="C420" i="2"/>
  <c r="G419" i="2"/>
  <c r="C419" i="2"/>
  <c r="G418" i="2"/>
  <c r="C418" i="2"/>
  <c r="G417" i="2"/>
  <c r="C417" i="2"/>
  <c r="G416" i="2"/>
  <c r="C416" i="2"/>
  <c r="G415" i="2"/>
  <c r="C415" i="2"/>
  <c r="G414" i="2"/>
  <c r="C414" i="2"/>
  <c r="G413" i="2"/>
  <c r="C413" i="2"/>
  <c r="G412" i="2"/>
  <c r="C412" i="2"/>
  <c r="G411" i="2"/>
  <c r="C411" i="2"/>
  <c r="G410" i="2"/>
  <c r="C410" i="2"/>
  <c r="G409" i="2"/>
  <c r="C409" i="2"/>
  <c r="G408" i="2"/>
  <c r="C408" i="2"/>
  <c r="G407" i="2"/>
  <c r="C407" i="2"/>
  <c r="G406" i="2"/>
  <c r="C406" i="2"/>
  <c r="G405" i="2"/>
  <c r="C405" i="2"/>
  <c r="G404" i="2"/>
  <c r="C404" i="2"/>
  <c r="G403" i="2"/>
  <c r="C403" i="2"/>
  <c r="G402" i="2"/>
  <c r="C402" i="2"/>
  <c r="G401" i="2"/>
  <c r="C401" i="2"/>
  <c r="G400" i="2"/>
  <c r="C400" i="2"/>
  <c r="G399" i="2"/>
  <c r="C399" i="2"/>
  <c r="G398" i="2"/>
  <c r="C398" i="2"/>
  <c r="G397" i="2"/>
  <c r="C397" i="2"/>
  <c r="G396" i="2"/>
  <c r="C396" i="2"/>
  <c r="G395" i="2"/>
  <c r="C395" i="2"/>
  <c r="G394" i="2"/>
  <c r="C394" i="2"/>
  <c r="G393" i="2"/>
  <c r="C393" i="2"/>
  <c r="G392" i="2"/>
  <c r="C392" i="2"/>
  <c r="G391" i="2"/>
  <c r="C391" i="2"/>
  <c r="G390" i="2"/>
  <c r="C390" i="2"/>
  <c r="G389" i="2"/>
  <c r="C389" i="2"/>
  <c r="G388" i="2"/>
  <c r="C388" i="2"/>
  <c r="G387" i="2"/>
  <c r="C387" i="2"/>
  <c r="G386" i="2"/>
  <c r="C386" i="2"/>
  <c r="G385" i="2"/>
  <c r="C385" i="2"/>
  <c r="G384" i="2"/>
  <c r="C384" i="2"/>
  <c r="G383" i="2"/>
  <c r="C383" i="2"/>
  <c r="G382" i="2"/>
  <c r="C382" i="2"/>
  <c r="G381" i="2"/>
  <c r="C381" i="2"/>
  <c r="G380" i="2"/>
  <c r="C380" i="2"/>
  <c r="G379" i="2"/>
  <c r="C379" i="2"/>
  <c r="G378" i="2"/>
  <c r="C378" i="2"/>
  <c r="G377" i="2"/>
  <c r="C377" i="2"/>
  <c r="G376" i="2"/>
  <c r="C376" i="2"/>
  <c r="G375" i="2"/>
  <c r="C375" i="2"/>
  <c r="G374" i="2"/>
  <c r="C374" i="2"/>
  <c r="G373" i="2"/>
  <c r="C373" i="2"/>
  <c r="G372" i="2"/>
  <c r="C372" i="2"/>
  <c r="G371" i="2"/>
  <c r="C371" i="2"/>
  <c r="G370" i="2"/>
  <c r="C370" i="2"/>
  <c r="G369" i="2"/>
  <c r="C369" i="2"/>
  <c r="G368" i="2"/>
  <c r="C368" i="2"/>
  <c r="G367" i="2"/>
  <c r="C367" i="2"/>
  <c r="G366" i="2"/>
  <c r="C366" i="2"/>
  <c r="G365" i="2"/>
  <c r="C365" i="2"/>
  <c r="G364" i="2"/>
  <c r="C364" i="2"/>
  <c r="G363" i="2"/>
  <c r="C363" i="2"/>
  <c r="G362" i="2"/>
  <c r="C362" i="2"/>
  <c r="G361" i="2"/>
  <c r="C361" i="2"/>
  <c r="G360" i="2"/>
  <c r="C360" i="2"/>
  <c r="G359" i="2"/>
  <c r="C359" i="2"/>
  <c r="G358" i="2"/>
  <c r="C358" i="2"/>
  <c r="G357" i="2"/>
  <c r="C357" i="2"/>
  <c r="G356" i="2"/>
  <c r="C356" i="2"/>
  <c r="G355" i="2"/>
  <c r="C355" i="2"/>
  <c r="G354" i="2"/>
  <c r="C354" i="2"/>
  <c r="G353" i="2"/>
  <c r="C353" i="2"/>
  <c r="G352" i="2"/>
  <c r="C352" i="2"/>
  <c r="G351" i="2"/>
  <c r="C351" i="2"/>
  <c r="G350" i="2"/>
  <c r="C350" i="2"/>
  <c r="G349" i="2"/>
  <c r="C349" i="2"/>
  <c r="G348" i="2"/>
  <c r="C348" i="2"/>
  <c r="G347" i="2"/>
  <c r="C347" i="2"/>
  <c r="G346" i="2"/>
  <c r="C346" i="2"/>
  <c r="G345" i="2"/>
  <c r="C345" i="2"/>
  <c r="G344" i="2"/>
  <c r="C344" i="2"/>
  <c r="G343" i="2"/>
  <c r="C343" i="2"/>
  <c r="G342" i="2"/>
  <c r="C342" i="2"/>
  <c r="G341" i="2"/>
  <c r="C341" i="2"/>
  <c r="G340" i="2"/>
  <c r="C340" i="2"/>
  <c r="G339" i="2"/>
  <c r="C339" i="2"/>
  <c r="G338" i="2"/>
  <c r="C338" i="2"/>
  <c r="G337" i="2"/>
  <c r="C337" i="2"/>
  <c r="G336" i="2"/>
  <c r="C336" i="2"/>
  <c r="G335" i="2"/>
  <c r="C335" i="2"/>
  <c r="G334" i="2"/>
  <c r="C334" i="2"/>
  <c r="G333" i="2"/>
  <c r="C333" i="2"/>
  <c r="G332" i="2"/>
  <c r="C332" i="2"/>
  <c r="G331" i="2"/>
  <c r="C331" i="2"/>
  <c r="G330" i="2"/>
  <c r="C330" i="2"/>
  <c r="G329" i="2"/>
  <c r="C329" i="2"/>
  <c r="G328" i="2"/>
  <c r="C328" i="2"/>
  <c r="G327" i="2"/>
  <c r="C327" i="2"/>
  <c r="G326" i="2"/>
  <c r="C326" i="2"/>
  <c r="G325" i="2"/>
  <c r="C325" i="2"/>
  <c r="G324" i="2"/>
  <c r="C324" i="2"/>
  <c r="G323" i="2"/>
  <c r="C323" i="2"/>
  <c r="G322" i="2"/>
  <c r="C322" i="2"/>
  <c r="G321" i="2"/>
  <c r="C321" i="2"/>
  <c r="G320" i="2"/>
  <c r="C320" i="2"/>
  <c r="G319" i="2"/>
  <c r="C319" i="2"/>
  <c r="G318" i="2"/>
  <c r="C318" i="2"/>
  <c r="G317" i="2"/>
  <c r="C317" i="2"/>
  <c r="G316" i="2"/>
  <c r="C316" i="2"/>
  <c r="G315" i="2"/>
  <c r="C315" i="2"/>
  <c r="G314" i="2"/>
  <c r="C314" i="2"/>
  <c r="G313" i="2"/>
  <c r="C313" i="2"/>
  <c r="G312" i="2"/>
  <c r="C312" i="2"/>
  <c r="G311" i="2"/>
  <c r="C311" i="2"/>
  <c r="G310" i="2"/>
  <c r="C310" i="2"/>
  <c r="G309" i="2"/>
  <c r="C309" i="2"/>
  <c r="G308" i="2"/>
  <c r="C308" i="2"/>
  <c r="G307" i="2"/>
  <c r="C307" i="2"/>
  <c r="G306" i="2"/>
  <c r="C306" i="2"/>
  <c r="G305" i="2"/>
  <c r="C305" i="2"/>
  <c r="G304" i="2"/>
  <c r="C304" i="2"/>
  <c r="G303" i="2"/>
  <c r="C303" i="2"/>
  <c r="G302" i="2"/>
  <c r="C302" i="2"/>
  <c r="G301" i="2"/>
  <c r="C301" i="2"/>
  <c r="G300" i="2"/>
  <c r="C300" i="2"/>
  <c r="G299" i="2"/>
  <c r="C299" i="2"/>
  <c r="G298" i="2"/>
  <c r="C298" i="2"/>
  <c r="G297" i="2"/>
  <c r="C297" i="2"/>
  <c r="G296" i="2"/>
  <c r="C296" i="2"/>
  <c r="G295" i="2"/>
  <c r="C295" i="2"/>
  <c r="G294" i="2"/>
  <c r="C294" i="2"/>
  <c r="G293" i="2"/>
  <c r="C293" i="2"/>
  <c r="G292" i="2"/>
  <c r="C292" i="2"/>
  <c r="G291" i="2"/>
  <c r="C291" i="2"/>
  <c r="G290" i="2"/>
  <c r="C290" i="2"/>
  <c r="G289" i="2"/>
  <c r="C289" i="2"/>
  <c r="G288" i="2"/>
  <c r="C288" i="2"/>
  <c r="G287" i="2"/>
  <c r="C287" i="2"/>
  <c r="G286" i="2"/>
  <c r="C286" i="2"/>
  <c r="G285" i="2"/>
  <c r="C285" i="2"/>
  <c r="G284" i="2"/>
  <c r="C284" i="2"/>
  <c r="G283" i="2"/>
  <c r="C283" i="2"/>
  <c r="G282" i="2"/>
  <c r="C282" i="2"/>
  <c r="G281" i="2"/>
  <c r="C281" i="2"/>
  <c r="G280" i="2"/>
  <c r="C280" i="2"/>
  <c r="G279" i="2"/>
  <c r="C279" i="2"/>
  <c r="G278" i="2"/>
  <c r="C278" i="2"/>
  <c r="G277" i="2"/>
  <c r="C277" i="2"/>
  <c r="G276" i="2"/>
  <c r="C276" i="2"/>
  <c r="G275" i="2"/>
  <c r="C275" i="2"/>
  <c r="G274" i="2"/>
  <c r="C274" i="2"/>
  <c r="G273" i="2"/>
  <c r="C273" i="2"/>
  <c r="G272" i="2"/>
  <c r="C272" i="2"/>
  <c r="G271" i="2"/>
  <c r="C271" i="2"/>
  <c r="G270" i="2"/>
  <c r="C270" i="2"/>
  <c r="G269" i="2"/>
  <c r="C269" i="2"/>
  <c r="G268" i="2"/>
  <c r="C268" i="2"/>
  <c r="G267" i="2"/>
  <c r="C267" i="2"/>
  <c r="G266" i="2"/>
  <c r="C266" i="2"/>
  <c r="G265" i="2"/>
  <c r="C265" i="2"/>
  <c r="G264" i="2"/>
  <c r="C264" i="2"/>
  <c r="G263" i="2"/>
  <c r="C263" i="2"/>
  <c r="G262" i="2"/>
  <c r="C262" i="2"/>
  <c r="G261" i="2"/>
  <c r="C261" i="2"/>
  <c r="G260" i="2"/>
  <c r="C260" i="2"/>
  <c r="G259" i="2"/>
  <c r="C259" i="2"/>
  <c r="G258" i="2"/>
  <c r="C258" i="2"/>
  <c r="G257" i="2"/>
  <c r="C257" i="2"/>
  <c r="G256" i="2"/>
  <c r="C256" i="2"/>
  <c r="G255" i="2"/>
  <c r="C255" i="2"/>
  <c r="G254" i="2"/>
  <c r="C254" i="2"/>
  <c r="G253" i="2"/>
  <c r="C253" i="2"/>
  <c r="G252" i="2"/>
  <c r="C252" i="2"/>
  <c r="G251" i="2"/>
  <c r="C251" i="2"/>
  <c r="G250" i="2"/>
  <c r="C250" i="2"/>
  <c r="G249" i="2"/>
  <c r="C249" i="2"/>
  <c r="G248" i="2"/>
  <c r="C248" i="2"/>
  <c r="G247" i="2"/>
  <c r="C247" i="2"/>
  <c r="G246" i="2"/>
  <c r="C246" i="2"/>
  <c r="G245" i="2"/>
  <c r="C245" i="2"/>
  <c r="G244" i="2"/>
  <c r="C244" i="2"/>
  <c r="G243" i="2"/>
  <c r="C243" i="2"/>
  <c r="G242" i="2"/>
  <c r="C242" i="2"/>
  <c r="G241" i="2"/>
  <c r="C241" i="2"/>
  <c r="G240" i="2"/>
  <c r="C240" i="2"/>
  <c r="G239" i="2"/>
  <c r="C239" i="2"/>
  <c r="G238" i="2"/>
  <c r="C238" i="2"/>
  <c r="G237" i="2"/>
  <c r="C237" i="2"/>
  <c r="G236" i="2"/>
  <c r="C236" i="2"/>
  <c r="G235" i="2"/>
  <c r="C235" i="2"/>
  <c r="G234" i="2"/>
  <c r="C234" i="2"/>
  <c r="G233" i="2"/>
  <c r="C233" i="2"/>
  <c r="G232" i="2"/>
  <c r="C232" i="2"/>
  <c r="G231" i="2"/>
  <c r="C231" i="2"/>
  <c r="G230" i="2"/>
  <c r="C230" i="2"/>
  <c r="G229" i="2"/>
  <c r="C229" i="2"/>
  <c r="G228" i="2"/>
  <c r="C228" i="2"/>
  <c r="G227" i="2"/>
  <c r="C227" i="2"/>
  <c r="G226" i="2"/>
  <c r="C226" i="2"/>
  <c r="G225" i="2"/>
  <c r="C225" i="2"/>
  <c r="G224" i="2"/>
  <c r="C224" i="2"/>
  <c r="G223" i="2"/>
  <c r="C223" i="2"/>
  <c r="G222" i="2"/>
  <c r="C222" i="2"/>
  <c r="G221" i="2"/>
  <c r="C221" i="2"/>
  <c r="G220" i="2"/>
  <c r="C220" i="2"/>
  <c r="G219" i="2"/>
  <c r="C219" i="2"/>
  <c r="G218" i="2"/>
  <c r="C218" i="2"/>
  <c r="G217" i="2"/>
  <c r="C217" i="2"/>
  <c r="G216" i="2"/>
  <c r="C216" i="2"/>
  <c r="G215" i="2"/>
  <c r="C215" i="2"/>
  <c r="G214" i="2"/>
  <c r="C214" i="2"/>
  <c r="G213" i="2"/>
  <c r="C213" i="2"/>
  <c r="G212" i="2"/>
  <c r="C212" i="2"/>
  <c r="G211" i="2"/>
  <c r="C211" i="2"/>
  <c r="G210" i="2"/>
  <c r="C210" i="2"/>
  <c r="G209" i="2"/>
  <c r="C209" i="2"/>
  <c r="G208" i="2"/>
  <c r="C208" i="2"/>
  <c r="G207" i="2"/>
  <c r="C207" i="2"/>
  <c r="G206" i="2"/>
  <c r="C206" i="2"/>
  <c r="G205" i="2"/>
  <c r="C205" i="2"/>
  <c r="G204" i="2"/>
  <c r="C204" i="2"/>
  <c r="G203" i="2"/>
  <c r="C203" i="2"/>
  <c r="G202" i="2"/>
  <c r="C202" i="2"/>
  <c r="G201" i="2"/>
  <c r="C201" i="2"/>
  <c r="G200" i="2"/>
  <c r="C200" i="2"/>
  <c r="G199" i="2"/>
  <c r="C199" i="2"/>
  <c r="G198" i="2"/>
  <c r="C198" i="2"/>
  <c r="G197" i="2"/>
  <c r="C197" i="2"/>
  <c r="G196" i="2"/>
  <c r="C196" i="2"/>
  <c r="G195" i="2"/>
  <c r="C195" i="2"/>
  <c r="G194" i="2"/>
  <c r="C194" i="2"/>
  <c r="G193" i="2"/>
  <c r="C193" i="2"/>
  <c r="G192" i="2"/>
  <c r="C192" i="2"/>
  <c r="G191" i="2"/>
  <c r="C191" i="2"/>
  <c r="G190" i="2"/>
  <c r="C190" i="2"/>
  <c r="G189" i="2"/>
  <c r="C189" i="2"/>
  <c r="G188" i="2"/>
  <c r="C188" i="2"/>
  <c r="G187" i="2"/>
  <c r="C187" i="2"/>
  <c r="G186" i="2"/>
  <c r="C186" i="2"/>
  <c r="G185" i="2"/>
  <c r="C185" i="2"/>
  <c r="G184" i="2"/>
  <c r="C184" i="2"/>
  <c r="G183" i="2"/>
  <c r="C183" i="2"/>
  <c r="G182" i="2"/>
  <c r="C182" i="2"/>
  <c r="G181" i="2"/>
  <c r="C181" i="2"/>
  <c r="G180" i="2"/>
  <c r="C180" i="2"/>
  <c r="G179" i="2"/>
  <c r="C179" i="2"/>
  <c r="G178" i="2"/>
  <c r="C178" i="2"/>
  <c r="G177" i="2"/>
  <c r="C177" i="2"/>
  <c r="G176" i="2"/>
  <c r="C176" i="2"/>
  <c r="G175" i="2"/>
  <c r="C175" i="2"/>
  <c r="G174" i="2"/>
  <c r="C174" i="2"/>
  <c r="G173" i="2"/>
  <c r="C173" i="2"/>
  <c r="G172" i="2"/>
  <c r="C172" i="2"/>
  <c r="G171" i="2"/>
  <c r="C171" i="2"/>
  <c r="G170" i="2"/>
  <c r="C170" i="2"/>
  <c r="G169" i="2"/>
  <c r="C169" i="2"/>
  <c r="G168" i="2"/>
  <c r="C168" i="2"/>
  <c r="G167" i="2"/>
  <c r="C167" i="2"/>
  <c r="G166" i="2"/>
  <c r="C166" i="2"/>
  <c r="G165" i="2"/>
  <c r="C165" i="2"/>
  <c r="G164" i="2"/>
  <c r="C164" i="2"/>
  <c r="G163" i="2"/>
  <c r="C163" i="2"/>
  <c r="G162" i="2"/>
  <c r="C162" i="2"/>
  <c r="G161" i="2"/>
  <c r="C161" i="2"/>
  <c r="G160" i="2"/>
  <c r="C160" i="2"/>
  <c r="G159" i="2"/>
  <c r="C159" i="2"/>
  <c r="G158" i="2"/>
  <c r="C158" i="2"/>
  <c r="G157" i="2"/>
  <c r="C157" i="2"/>
  <c r="G156" i="2"/>
  <c r="C156" i="2"/>
  <c r="G155" i="2"/>
  <c r="C155" i="2"/>
  <c r="G154" i="2"/>
  <c r="C154" i="2"/>
  <c r="G153" i="2"/>
  <c r="C153" i="2"/>
  <c r="G152" i="2"/>
  <c r="C152" i="2"/>
  <c r="G151" i="2"/>
  <c r="C151" i="2"/>
  <c r="G150" i="2"/>
  <c r="C150" i="2"/>
  <c r="G149" i="2"/>
  <c r="C149" i="2"/>
  <c r="G148" i="2"/>
  <c r="C148" i="2"/>
  <c r="G147" i="2"/>
  <c r="C147" i="2"/>
  <c r="G146" i="2"/>
  <c r="C146" i="2"/>
  <c r="G145" i="2"/>
  <c r="C145" i="2"/>
  <c r="G144" i="2"/>
  <c r="C144" i="2"/>
  <c r="G143" i="2"/>
  <c r="C143" i="2"/>
  <c r="G142" i="2"/>
  <c r="C142" i="2"/>
  <c r="G141" i="2"/>
  <c r="C141" i="2"/>
  <c r="G140" i="2"/>
  <c r="C140" i="2"/>
  <c r="G139" i="2"/>
  <c r="C139" i="2"/>
  <c r="G138" i="2"/>
  <c r="C138" i="2"/>
  <c r="G137" i="2"/>
  <c r="C137" i="2"/>
  <c r="G136" i="2"/>
  <c r="C136" i="2"/>
  <c r="G135" i="2"/>
  <c r="C135" i="2"/>
  <c r="G134" i="2"/>
  <c r="C134" i="2"/>
  <c r="G133" i="2"/>
  <c r="C133" i="2"/>
  <c r="G132" i="2"/>
  <c r="C132" i="2"/>
  <c r="G131" i="2"/>
  <c r="C131" i="2"/>
  <c r="G130" i="2"/>
  <c r="C130" i="2"/>
  <c r="G129" i="2"/>
  <c r="C129" i="2"/>
  <c r="G128" i="2"/>
  <c r="C128" i="2"/>
  <c r="G127" i="2"/>
  <c r="C127" i="2"/>
  <c r="G126" i="2"/>
  <c r="C126" i="2"/>
  <c r="G125" i="2"/>
  <c r="C125" i="2"/>
  <c r="G124" i="2"/>
  <c r="C124" i="2"/>
  <c r="G123" i="2"/>
  <c r="C123" i="2"/>
  <c r="G122" i="2"/>
  <c r="C122" i="2"/>
  <c r="G121" i="2"/>
  <c r="C121" i="2"/>
  <c r="G120" i="2"/>
  <c r="C120" i="2"/>
  <c r="G119" i="2"/>
  <c r="C119" i="2"/>
  <c r="G118" i="2"/>
  <c r="C118" i="2"/>
  <c r="G117" i="2"/>
  <c r="C117" i="2"/>
  <c r="G116" i="2"/>
  <c r="C116" i="2"/>
  <c r="G115" i="2"/>
  <c r="C115" i="2"/>
  <c r="G114" i="2"/>
  <c r="C114" i="2"/>
  <c r="G113" i="2"/>
  <c r="C113" i="2"/>
  <c r="G112" i="2"/>
  <c r="C112" i="2"/>
  <c r="G111" i="2"/>
  <c r="C111" i="2"/>
  <c r="G110" i="2"/>
  <c r="C110" i="2"/>
  <c r="G109" i="2"/>
  <c r="C109" i="2"/>
  <c r="G108" i="2"/>
  <c r="C108" i="2"/>
  <c r="G107" i="2"/>
  <c r="C107" i="2"/>
  <c r="G106" i="2"/>
  <c r="C106" i="2"/>
  <c r="G105" i="2"/>
  <c r="C105" i="2"/>
  <c r="G104" i="2"/>
  <c r="C104" i="2"/>
  <c r="G103" i="2"/>
  <c r="C103" i="2"/>
  <c r="G102" i="2"/>
  <c r="C102" i="2"/>
  <c r="G101" i="2"/>
  <c r="C101" i="2"/>
  <c r="G100" i="2"/>
  <c r="C100" i="2"/>
  <c r="G99" i="2"/>
  <c r="C99" i="2"/>
  <c r="G98" i="2"/>
  <c r="C98" i="2"/>
  <c r="G97" i="2"/>
  <c r="C97" i="2"/>
  <c r="G96" i="2"/>
  <c r="C96" i="2"/>
  <c r="G95" i="2"/>
  <c r="C95" i="2"/>
  <c r="G94" i="2"/>
  <c r="C94" i="2"/>
  <c r="G93" i="2"/>
  <c r="C93" i="2"/>
  <c r="G92" i="2"/>
  <c r="C92" i="2"/>
  <c r="G91" i="2"/>
  <c r="C91" i="2"/>
  <c r="G90" i="2"/>
  <c r="C90" i="2"/>
  <c r="G89" i="2"/>
  <c r="C89" i="2"/>
  <c r="G88" i="2"/>
  <c r="C88" i="2"/>
  <c r="G87" i="2"/>
  <c r="C87" i="2"/>
  <c r="G86" i="2"/>
  <c r="C86" i="2"/>
  <c r="G85" i="2"/>
  <c r="C85" i="2"/>
  <c r="G84" i="2"/>
  <c r="C84" i="2"/>
  <c r="G83" i="2"/>
  <c r="C83" i="2"/>
  <c r="G82" i="2"/>
  <c r="C82" i="2"/>
  <c r="G81" i="2"/>
  <c r="C81" i="2"/>
  <c r="G80" i="2"/>
  <c r="C80" i="2"/>
  <c r="G79" i="2"/>
  <c r="C79" i="2"/>
  <c r="G78" i="2"/>
  <c r="C78" i="2"/>
  <c r="G77" i="2"/>
  <c r="C77" i="2"/>
  <c r="G76" i="2"/>
  <c r="C76" i="2"/>
  <c r="G75" i="2"/>
  <c r="C75" i="2"/>
  <c r="G74" i="2"/>
  <c r="C74" i="2"/>
  <c r="G73" i="2"/>
  <c r="C73" i="2"/>
  <c r="G72" i="2"/>
  <c r="C72" i="2"/>
  <c r="G71" i="2"/>
  <c r="C71" i="2"/>
  <c r="G70" i="2"/>
  <c r="C70" i="2"/>
  <c r="G69" i="2"/>
  <c r="C69" i="2"/>
  <c r="G68" i="2"/>
  <c r="C68" i="2"/>
  <c r="G67" i="2"/>
  <c r="C67" i="2"/>
  <c r="G66" i="2"/>
  <c r="C66" i="2"/>
  <c r="G65" i="2"/>
  <c r="C65" i="2"/>
  <c r="G64" i="2"/>
  <c r="C64" i="2"/>
  <c r="G63" i="2"/>
  <c r="C63" i="2"/>
  <c r="G62" i="2"/>
  <c r="C62" i="2"/>
  <c r="G61" i="2"/>
  <c r="C61" i="2"/>
  <c r="G60" i="2"/>
  <c r="C60" i="2"/>
  <c r="G59" i="2"/>
  <c r="C59" i="2"/>
  <c r="G58" i="2"/>
  <c r="C58" i="2"/>
  <c r="G57" i="2"/>
  <c r="C57" i="2"/>
  <c r="G56" i="2"/>
  <c r="C56" i="2"/>
  <c r="G55" i="2"/>
  <c r="C55" i="2"/>
  <c r="G54" i="2"/>
  <c r="C54" i="2"/>
  <c r="G53" i="2"/>
  <c r="C53" i="2"/>
  <c r="G52" i="2"/>
  <c r="C52" i="2"/>
  <c r="G51" i="2"/>
  <c r="C51" i="2"/>
  <c r="G50" i="2"/>
  <c r="C50" i="2"/>
  <c r="G49" i="2"/>
  <c r="C49" i="2"/>
  <c r="G48" i="2"/>
  <c r="C48" i="2"/>
  <c r="G47" i="2"/>
  <c r="C47" i="2"/>
  <c r="G46" i="2"/>
  <c r="C46" i="2"/>
  <c r="G45" i="2"/>
  <c r="C45" i="2"/>
  <c r="G44" i="2"/>
  <c r="C44" i="2"/>
  <c r="G43" i="2"/>
  <c r="C43" i="2"/>
  <c r="G42" i="2"/>
  <c r="C42" i="2"/>
  <c r="G41" i="2"/>
  <c r="C41" i="2"/>
  <c r="G40" i="2"/>
  <c r="C40" i="2"/>
  <c r="G39" i="2"/>
  <c r="C39" i="2"/>
  <c r="G38" i="2"/>
  <c r="C38" i="2"/>
  <c r="G37" i="2"/>
  <c r="C37" i="2"/>
  <c r="G36" i="2"/>
  <c r="C36" i="2"/>
  <c r="G35" i="2"/>
  <c r="C35" i="2"/>
  <c r="G34" i="2"/>
  <c r="C34" i="2"/>
  <c r="G33" i="2"/>
  <c r="C33" i="2"/>
  <c r="G32" i="2"/>
  <c r="C32" i="2"/>
  <c r="G31" i="2"/>
  <c r="C31" i="2"/>
  <c r="G30" i="2"/>
  <c r="C30" i="2"/>
  <c r="G29" i="2"/>
  <c r="C29" i="2"/>
  <c r="G28" i="2"/>
  <c r="C28" i="2"/>
  <c r="G27" i="2"/>
  <c r="C27" i="2"/>
  <c r="G26" i="2"/>
  <c r="C26" i="2"/>
  <c r="G25" i="2"/>
  <c r="C25" i="2"/>
  <c r="G24" i="2"/>
  <c r="C24" i="2"/>
  <c r="G23" i="2"/>
  <c r="C23" i="2"/>
  <c r="G22" i="2"/>
  <c r="C22" i="2"/>
  <c r="G21" i="2"/>
  <c r="C21" i="2"/>
  <c r="G20" i="2"/>
  <c r="C20" i="2"/>
  <c r="G19" i="2"/>
  <c r="C19" i="2"/>
  <c r="G18" i="2"/>
  <c r="C18" i="2"/>
  <c r="G17" i="2"/>
  <c r="C17" i="2"/>
  <c r="G16" i="2"/>
  <c r="C16" i="2"/>
  <c r="G15" i="2"/>
  <c r="C15" i="2"/>
  <c r="G14" i="2"/>
  <c r="C14" i="2"/>
  <c r="G13" i="2"/>
  <c r="C13" i="2"/>
  <c r="G12" i="2"/>
  <c r="C12" i="2"/>
  <c r="G11" i="2"/>
  <c r="C11" i="2"/>
  <c r="G10" i="2"/>
  <c r="C10" i="2"/>
  <c r="G9" i="2"/>
  <c r="C9" i="2"/>
  <c r="G8" i="2"/>
  <c r="C8" i="2"/>
  <c r="G7" i="2"/>
  <c r="C7" i="2"/>
  <c r="G6" i="2"/>
  <c r="C6" i="2"/>
  <c r="G5" i="2"/>
  <c r="C5" i="2"/>
  <c r="G4" i="2"/>
  <c r="C4" i="2"/>
  <c r="G3" i="2"/>
  <c r="C3" i="2"/>
  <c r="G2" i="2"/>
  <c r="C2" i="2"/>
  <c r="M1401" i="1"/>
  <c r="H1401" i="1"/>
  <c r="F1401" i="1"/>
  <c r="E1401" i="1"/>
  <c r="D1401" i="1"/>
  <c r="C1401" i="1"/>
  <c r="B1401" i="1"/>
  <c r="M1400" i="1"/>
  <c r="H1400" i="1"/>
  <c r="F1400" i="1"/>
  <c r="E1400" i="1"/>
  <c r="D1400" i="1"/>
  <c r="C1400" i="1"/>
  <c r="B1400" i="1"/>
  <c r="M1399" i="1"/>
  <c r="H1399" i="1"/>
  <c r="F1399" i="1"/>
  <c r="E1399" i="1"/>
  <c r="D1399" i="1"/>
  <c r="C1399" i="1"/>
  <c r="B1399" i="1"/>
  <c r="M1398" i="1"/>
  <c r="H1398" i="1"/>
  <c r="F1398" i="1"/>
  <c r="E1398" i="1"/>
  <c r="D1398" i="1"/>
  <c r="C1398" i="1"/>
  <c r="B1398" i="1"/>
  <c r="M1397" i="1"/>
  <c r="H1397" i="1"/>
  <c r="F1397" i="1"/>
  <c r="E1397" i="1"/>
  <c r="D1397" i="1"/>
  <c r="C1397" i="1"/>
  <c r="B1397" i="1"/>
  <c r="M1396" i="1"/>
  <c r="H1396" i="1"/>
  <c r="F1396" i="1"/>
  <c r="E1396" i="1"/>
  <c r="D1396" i="1"/>
  <c r="C1396" i="1"/>
  <c r="B1396" i="1"/>
  <c r="M1395" i="1"/>
  <c r="H1395" i="1"/>
  <c r="F1395" i="1"/>
  <c r="E1395" i="1"/>
  <c r="D1395" i="1"/>
  <c r="C1395" i="1"/>
  <c r="B1395" i="1"/>
  <c r="M1394" i="1"/>
  <c r="H1394" i="1"/>
  <c r="F1394" i="1"/>
  <c r="E1394" i="1"/>
  <c r="D1394" i="1"/>
  <c r="C1394" i="1"/>
  <c r="B1394" i="1"/>
  <c r="M1393" i="1"/>
  <c r="H1393" i="1"/>
  <c r="F1393" i="1"/>
  <c r="E1393" i="1"/>
  <c r="D1393" i="1"/>
  <c r="C1393" i="1"/>
  <c r="B1393" i="1"/>
  <c r="M1392" i="1"/>
  <c r="H1392" i="1"/>
  <c r="F1392" i="1"/>
  <c r="E1392" i="1"/>
  <c r="D1392" i="1"/>
  <c r="C1392" i="1"/>
  <c r="B1392" i="1"/>
  <c r="M1391" i="1"/>
  <c r="H1391" i="1"/>
  <c r="F1391" i="1"/>
  <c r="E1391" i="1"/>
  <c r="D1391" i="1"/>
  <c r="C1391" i="1"/>
  <c r="B1391" i="1"/>
  <c r="M1390" i="1"/>
  <c r="H1390" i="1"/>
  <c r="F1390" i="1"/>
  <c r="E1390" i="1"/>
  <c r="D1390" i="1"/>
  <c r="C1390" i="1"/>
  <c r="B1390" i="1"/>
  <c r="M1389" i="1"/>
  <c r="H1389" i="1"/>
  <c r="F1389" i="1"/>
  <c r="E1389" i="1"/>
  <c r="D1389" i="1"/>
  <c r="C1389" i="1"/>
  <c r="B1389" i="1"/>
  <c r="M1388" i="1"/>
  <c r="H1388" i="1"/>
  <c r="F1388" i="1"/>
  <c r="E1388" i="1"/>
  <c r="D1388" i="1"/>
  <c r="C1388" i="1"/>
  <c r="B1388" i="1"/>
  <c r="M1387" i="1"/>
  <c r="H1387" i="1"/>
  <c r="F1387" i="1"/>
  <c r="E1387" i="1"/>
  <c r="D1387" i="1"/>
  <c r="C1387" i="1"/>
  <c r="B1387" i="1"/>
  <c r="M1386" i="1"/>
  <c r="H1386" i="1"/>
  <c r="F1386" i="1"/>
  <c r="E1386" i="1"/>
  <c r="D1386" i="1"/>
  <c r="C1386" i="1"/>
  <c r="B1386" i="1"/>
  <c r="M1385" i="1"/>
  <c r="H1385" i="1"/>
  <c r="F1385" i="1"/>
  <c r="E1385" i="1"/>
  <c r="D1385" i="1"/>
  <c r="C1385" i="1"/>
  <c r="B1385" i="1"/>
  <c r="M1384" i="1"/>
  <c r="H1384" i="1"/>
  <c r="F1384" i="1"/>
  <c r="E1384" i="1"/>
  <c r="D1384" i="1"/>
  <c r="C1384" i="1"/>
  <c r="B1384" i="1"/>
  <c r="M1383" i="1"/>
  <c r="H1383" i="1"/>
  <c r="F1383" i="1"/>
  <c r="E1383" i="1"/>
  <c r="D1383" i="1"/>
  <c r="C1383" i="1"/>
  <c r="B1383" i="1"/>
  <c r="M1382" i="1"/>
  <c r="H1382" i="1"/>
  <c r="F1382" i="1"/>
  <c r="E1382" i="1"/>
  <c r="D1382" i="1"/>
  <c r="C1382" i="1"/>
  <c r="B1382" i="1"/>
  <c r="M1381" i="1"/>
  <c r="H1381" i="1"/>
  <c r="F1381" i="1"/>
  <c r="E1381" i="1"/>
  <c r="D1381" i="1"/>
  <c r="C1381" i="1"/>
  <c r="B1381" i="1"/>
  <c r="M1380" i="1"/>
  <c r="H1380" i="1"/>
  <c r="F1380" i="1"/>
  <c r="E1380" i="1"/>
  <c r="D1380" i="1"/>
  <c r="C1380" i="1"/>
  <c r="B1380" i="1"/>
  <c r="M1379" i="1"/>
  <c r="H1379" i="1"/>
  <c r="F1379" i="1"/>
  <c r="E1379" i="1"/>
  <c r="D1379" i="1"/>
  <c r="C1379" i="1"/>
  <c r="B1379" i="1"/>
  <c r="M1378" i="1"/>
  <c r="H1378" i="1"/>
  <c r="F1378" i="1"/>
  <c r="E1378" i="1"/>
  <c r="D1378" i="1"/>
  <c r="C1378" i="1"/>
  <c r="B1378" i="1"/>
  <c r="M1377" i="1"/>
  <c r="H1377" i="1"/>
  <c r="F1377" i="1"/>
  <c r="E1377" i="1"/>
  <c r="D1377" i="1"/>
  <c r="C1377" i="1"/>
  <c r="B1377" i="1"/>
  <c r="M1376" i="1"/>
  <c r="H1376" i="1"/>
  <c r="F1376" i="1"/>
  <c r="E1376" i="1"/>
  <c r="D1376" i="1"/>
  <c r="C1376" i="1"/>
  <c r="B1376" i="1"/>
  <c r="M1375" i="1"/>
  <c r="H1375" i="1"/>
  <c r="F1375" i="1"/>
  <c r="E1375" i="1"/>
  <c r="D1375" i="1"/>
  <c r="C1375" i="1"/>
  <c r="B1375" i="1"/>
  <c r="M1374" i="1"/>
  <c r="H1374" i="1"/>
  <c r="F1374" i="1"/>
  <c r="E1374" i="1"/>
  <c r="D1374" i="1"/>
  <c r="C1374" i="1"/>
  <c r="B1374" i="1"/>
  <c r="M1373" i="1"/>
  <c r="H1373" i="1"/>
  <c r="F1373" i="1"/>
  <c r="E1373" i="1"/>
  <c r="D1373" i="1"/>
  <c r="C1373" i="1"/>
  <c r="B1373" i="1"/>
  <c r="M1372" i="1"/>
  <c r="H1372" i="1"/>
  <c r="F1372" i="1"/>
  <c r="E1372" i="1"/>
  <c r="D1372" i="1"/>
  <c r="C1372" i="1"/>
  <c r="B1372" i="1"/>
  <c r="M1371" i="1"/>
  <c r="H1371" i="1"/>
  <c r="F1371" i="1"/>
  <c r="E1371" i="1"/>
  <c r="D1371" i="1"/>
  <c r="C1371" i="1"/>
  <c r="B1371" i="1"/>
  <c r="M1370" i="1"/>
  <c r="H1370" i="1"/>
  <c r="F1370" i="1"/>
  <c r="E1370" i="1"/>
  <c r="D1370" i="1"/>
  <c r="C1370" i="1"/>
  <c r="B1370" i="1"/>
  <c r="M1369" i="1"/>
  <c r="H1369" i="1"/>
  <c r="F1369" i="1"/>
  <c r="E1369" i="1"/>
  <c r="D1369" i="1"/>
  <c r="C1369" i="1"/>
  <c r="B1369" i="1"/>
  <c r="M1368" i="1"/>
  <c r="H1368" i="1"/>
  <c r="F1368" i="1"/>
  <c r="E1368" i="1"/>
  <c r="D1368" i="1"/>
  <c r="C1368" i="1"/>
  <c r="B1368" i="1"/>
  <c r="M1367" i="1"/>
  <c r="H1367" i="1"/>
  <c r="F1367" i="1"/>
  <c r="E1367" i="1"/>
  <c r="D1367" i="1"/>
  <c r="C1367" i="1"/>
  <c r="B1367" i="1"/>
  <c r="M1366" i="1"/>
  <c r="H1366" i="1"/>
  <c r="F1366" i="1"/>
  <c r="E1366" i="1"/>
  <c r="D1366" i="1"/>
  <c r="C1366" i="1"/>
  <c r="B1366" i="1"/>
  <c r="M1365" i="1"/>
  <c r="H1365" i="1"/>
  <c r="F1365" i="1"/>
  <c r="E1365" i="1"/>
  <c r="D1365" i="1"/>
  <c r="C1365" i="1"/>
  <c r="B1365" i="1"/>
  <c r="M1364" i="1"/>
  <c r="H1364" i="1"/>
  <c r="F1364" i="1"/>
  <c r="E1364" i="1"/>
  <c r="D1364" i="1"/>
  <c r="C1364" i="1"/>
  <c r="B1364" i="1"/>
  <c r="M1363" i="1"/>
  <c r="H1363" i="1"/>
  <c r="F1363" i="1"/>
  <c r="E1363" i="1"/>
  <c r="D1363" i="1"/>
  <c r="C1363" i="1"/>
  <c r="B1363" i="1"/>
  <c r="M1362" i="1"/>
  <c r="H1362" i="1"/>
  <c r="F1362" i="1"/>
  <c r="E1362" i="1"/>
  <c r="D1362" i="1"/>
  <c r="C1362" i="1"/>
  <c r="B1362" i="1"/>
  <c r="M1361" i="1"/>
  <c r="H1361" i="1"/>
  <c r="F1361" i="1"/>
  <c r="E1361" i="1"/>
  <c r="D1361" i="1"/>
  <c r="C1361" i="1"/>
  <c r="B1361" i="1"/>
  <c r="M1360" i="1"/>
  <c r="H1360" i="1"/>
  <c r="F1360" i="1"/>
  <c r="E1360" i="1"/>
  <c r="D1360" i="1"/>
  <c r="C1360" i="1"/>
  <c r="B1360" i="1"/>
  <c r="M1359" i="1"/>
  <c r="H1359" i="1"/>
  <c r="F1359" i="1"/>
  <c r="E1359" i="1"/>
  <c r="D1359" i="1"/>
  <c r="C1359" i="1"/>
  <c r="B1359" i="1"/>
  <c r="M1358" i="1"/>
  <c r="H1358" i="1"/>
  <c r="F1358" i="1"/>
  <c r="E1358" i="1"/>
  <c r="D1358" i="1"/>
  <c r="C1358" i="1"/>
  <c r="B1358" i="1"/>
  <c r="M1357" i="1"/>
  <c r="H1357" i="1"/>
  <c r="F1357" i="1"/>
  <c r="E1357" i="1"/>
  <c r="D1357" i="1"/>
  <c r="C1357" i="1"/>
  <c r="B1357" i="1"/>
  <c r="M1356" i="1"/>
  <c r="H1356" i="1"/>
  <c r="F1356" i="1"/>
  <c r="E1356" i="1"/>
  <c r="D1356" i="1"/>
  <c r="C1356" i="1"/>
  <c r="B1356" i="1"/>
  <c r="M1355" i="1"/>
  <c r="H1355" i="1"/>
  <c r="F1355" i="1"/>
  <c r="E1355" i="1"/>
  <c r="D1355" i="1"/>
  <c r="C1355" i="1"/>
  <c r="B1355" i="1"/>
  <c r="M1354" i="1"/>
  <c r="H1354" i="1"/>
  <c r="F1354" i="1"/>
  <c r="E1354" i="1"/>
  <c r="D1354" i="1"/>
  <c r="C1354" i="1"/>
  <c r="B1354" i="1"/>
  <c r="M1353" i="1"/>
  <c r="H1353" i="1"/>
  <c r="F1353" i="1"/>
  <c r="E1353" i="1"/>
  <c r="D1353" i="1"/>
  <c r="C1353" i="1"/>
  <c r="B1353" i="1"/>
  <c r="M1352" i="1"/>
  <c r="H1352" i="1"/>
  <c r="F1352" i="1"/>
  <c r="E1352" i="1"/>
  <c r="D1352" i="1"/>
  <c r="C1352" i="1"/>
  <c r="B1352" i="1"/>
  <c r="M1351" i="1"/>
  <c r="H1351" i="1"/>
  <c r="F1351" i="1"/>
  <c r="E1351" i="1"/>
  <c r="D1351" i="1"/>
  <c r="C1351" i="1"/>
  <c r="B1351" i="1"/>
  <c r="M1350" i="1"/>
  <c r="H1350" i="1"/>
  <c r="F1350" i="1"/>
  <c r="E1350" i="1"/>
  <c r="D1350" i="1"/>
  <c r="C1350" i="1"/>
  <c r="B1350" i="1"/>
  <c r="M1349" i="1"/>
  <c r="H1349" i="1"/>
  <c r="F1349" i="1"/>
  <c r="E1349" i="1"/>
  <c r="D1349" i="1"/>
  <c r="C1349" i="1"/>
  <c r="B1349" i="1"/>
  <c r="M1348" i="1"/>
  <c r="H1348" i="1"/>
  <c r="F1348" i="1"/>
  <c r="E1348" i="1"/>
  <c r="D1348" i="1"/>
  <c r="C1348" i="1"/>
  <c r="B1348" i="1"/>
  <c r="M1347" i="1"/>
  <c r="H1347" i="1"/>
  <c r="F1347" i="1"/>
  <c r="E1347" i="1"/>
  <c r="D1347" i="1"/>
  <c r="C1347" i="1"/>
  <c r="B1347" i="1"/>
  <c r="M1346" i="1"/>
  <c r="H1346" i="1"/>
  <c r="F1346" i="1"/>
  <c r="E1346" i="1"/>
  <c r="D1346" i="1"/>
  <c r="C1346" i="1"/>
  <c r="B1346" i="1"/>
  <c r="M1345" i="1"/>
  <c r="H1345" i="1"/>
  <c r="F1345" i="1"/>
  <c r="E1345" i="1"/>
  <c r="D1345" i="1"/>
  <c r="C1345" i="1"/>
  <c r="B1345" i="1"/>
  <c r="M1344" i="1"/>
  <c r="H1344" i="1"/>
  <c r="F1344" i="1"/>
  <c r="E1344" i="1"/>
  <c r="D1344" i="1"/>
  <c r="C1344" i="1"/>
  <c r="B1344" i="1"/>
  <c r="M1343" i="1"/>
  <c r="H1343" i="1"/>
  <c r="F1343" i="1"/>
  <c r="E1343" i="1"/>
  <c r="D1343" i="1"/>
  <c r="C1343" i="1"/>
  <c r="B1343" i="1"/>
  <c r="M1342" i="1"/>
  <c r="H1342" i="1"/>
  <c r="F1342" i="1"/>
  <c r="E1342" i="1"/>
  <c r="D1342" i="1"/>
  <c r="C1342" i="1"/>
  <c r="B1342" i="1"/>
  <c r="M1341" i="1"/>
  <c r="H1341" i="1"/>
  <c r="F1341" i="1"/>
  <c r="E1341" i="1"/>
  <c r="D1341" i="1"/>
  <c r="C1341" i="1"/>
  <c r="B1341" i="1"/>
  <c r="M1340" i="1"/>
  <c r="H1340" i="1"/>
  <c r="F1340" i="1"/>
  <c r="E1340" i="1"/>
  <c r="D1340" i="1"/>
  <c r="C1340" i="1"/>
  <c r="B1340" i="1"/>
  <c r="M1339" i="1"/>
  <c r="H1339" i="1"/>
  <c r="F1339" i="1"/>
  <c r="E1339" i="1"/>
  <c r="D1339" i="1"/>
  <c r="C1339" i="1"/>
  <c r="B1339" i="1"/>
  <c r="M1338" i="1"/>
  <c r="H1338" i="1"/>
  <c r="F1338" i="1"/>
  <c r="E1338" i="1"/>
  <c r="D1338" i="1"/>
  <c r="C1338" i="1"/>
  <c r="B1338" i="1"/>
  <c r="M1337" i="1"/>
  <c r="H1337" i="1"/>
  <c r="F1337" i="1"/>
  <c r="E1337" i="1"/>
  <c r="D1337" i="1"/>
  <c r="C1337" i="1"/>
  <c r="B1337" i="1"/>
  <c r="M1336" i="1"/>
  <c r="H1336" i="1"/>
  <c r="F1336" i="1"/>
  <c r="E1336" i="1"/>
  <c r="D1336" i="1"/>
  <c r="C1336" i="1"/>
  <c r="B1336" i="1"/>
  <c r="M1335" i="1"/>
  <c r="H1335" i="1"/>
  <c r="F1335" i="1"/>
  <c r="E1335" i="1"/>
  <c r="D1335" i="1"/>
  <c r="C1335" i="1"/>
  <c r="B1335" i="1"/>
  <c r="M1334" i="1"/>
  <c r="H1334" i="1"/>
  <c r="F1334" i="1"/>
  <c r="E1334" i="1"/>
  <c r="D1334" i="1"/>
  <c r="C1334" i="1"/>
  <c r="B1334" i="1"/>
  <c r="M1333" i="1"/>
  <c r="H1333" i="1"/>
  <c r="F1333" i="1"/>
  <c r="E1333" i="1"/>
  <c r="D1333" i="1"/>
  <c r="C1333" i="1"/>
  <c r="B1333" i="1"/>
  <c r="M1332" i="1"/>
  <c r="H1332" i="1"/>
  <c r="F1332" i="1"/>
  <c r="E1332" i="1"/>
  <c r="D1332" i="1"/>
  <c r="C1332" i="1"/>
  <c r="B1332" i="1"/>
  <c r="M1331" i="1"/>
  <c r="H1331" i="1"/>
  <c r="F1331" i="1"/>
  <c r="E1331" i="1"/>
  <c r="D1331" i="1"/>
  <c r="C1331" i="1"/>
  <c r="B1331" i="1"/>
  <c r="M1330" i="1"/>
  <c r="H1330" i="1"/>
  <c r="F1330" i="1"/>
  <c r="E1330" i="1"/>
  <c r="D1330" i="1"/>
  <c r="C1330" i="1"/>
  <c r="B1330" i="1"/>
  <c r="M1329" i="1"/>
  <c r="H1329" i="1"/>
  <c r="F1329" i="1"/>
  <c r="E1329" i="1"/>
  <c r="D1329" i="1"/>
  <c r="C1329" i="1"/>
  <c r="B1329" i="1"/>
  <c r="M1328" i="1"/>
  <c r="H1328" i="1"/>
  <c r="F1328" i="1"/>
  <c r="E1328" i="1"/>
  <c r="D1328" i="1"/>
  <c r="C1328" i="1"/>
  <c r="B1328" i="1"/>
  <c r="M1327" i="1"/>
  <c r="H1327" i="1"/>
  <c r="F1327" i="1"/>
  <c r="E1327" i="1"/>
  <c r="D1327" i="1"/>
  <c r="C1327" i="1"/>
  <c r="B1327" i="1"/>
  <c r="M1326" i="1"/>
  <c r="H1326" i="1"/>
  <c r="F1326" i="1"/>
  <c r="E1326" i="1"/>
  <c r="D1326" i="1"/>
  <c r="C1326" i="1"/>
  <c r="B1326" i="1"/>
  <c r="M1325" i="1"/>
  <c r="H1325" i="1"/>
  <c r="F1325" i="1"/>
  <c r="E1325" i="1"/>
  <c r="D1325" i="1"/>
  <c r="C1325" i="1"/>
  <c r="B1325" i="1"/>
  <c r="M1324" i="1"/>
  <c r="H1324" i="1"/>
  <c r="F1324" i="1"/>
  <c r="E1324" i="1"/>
  <c r="D1324" i="1"/>
  <c r="C1324" i="1"/>
  <c r="B1324" i="1"/>
  <c r="M1323" i="1"/>
  <c r="H1323" i="1"/>
  <c r="F1323" i="1"/>
  <c r="E1323" i="1"/>
  <c r="D1323" i="1"/>
  <c r="C1323" i="1"/>
  <c r="B1323" i="1"/>
  <c r="M1322" i="1"/>
  <c r="H1322" i="1"/>
  <c r="F1322" i="1"/>
  <c r="E1322" i="1"/>
  <c r="D1322" i="1"/>
  <c r="C1322" i="1"/>
  <c r="B1322" i="1"/>
  <c r="M1321" i="1"/>
  <c r="H1321" i="1"/>
  <c r="F1321" i="1"/>
  <c r="E1321" i="1"/>
  <c r="D1321" i="1"/>
  <c r="C1321" i="1"/>
  <c r="B1321" i="1"/>
  <c r="M1320" i="1"/>
  <c r="H1320" i="1"/>
  <c r="F1320" i="1"/>
  <c r="E1320" i="1"/>
  <c r="D1320" i="1"/>
  <c r="C1320" i="1"/>
  <c r="B1320" i="1"/>
  <c r="M1319" i="1"/>
  <c r="H1319" i="1"/>
  <c r="F1319" i="1"/>
  <c r="E1319" i="1"/>
  <c r="D1319" i="1"/>
  <c r="C1319" i="1"/>
  <c r="B1319" i="1"/>
  <c r="M1318" i="1"/>
  <c r="H1318" i="1"/>
  <c r="F1318" i="1"/>
  <c r="E1318" i="1"/>
  <c r="D1318" i="1"/>
  <c r="C1318" i="1"/>
  <c r="B1318" i="1"/>
  <c r="M1317" i="1"/>
  <c r="H1317" i="1"/>
  <c r="F1317" i="1"/>
  <c r="E1317" i="1"/>
  <c r="D1317" i="1"/>
  <c r="C1317" i="1"/>
  <c r="B1317" i="1"/>
  <c r="M1316" i="1"/>
  <c r="H1316" i="1"/>
  <c r="F1316" i="1"/>
  <c r="E1316" i="1"/>
  <c r="D1316" i="1"/>
  <c r="C1316" i="1"/>
  <c r="B1316" i="1"/>
  <c r="M1315" i="1"/>
  <c r="H1315" i="1"/>
  <c r="F1315" i="1"/>
  <c r="E1315" i="1"/>
  <c r="D1315" i="1"/>
  <c r="C1315" i="1"/>
  <c r="B1315" i="1"/>
  <c r="M1314" i="1"/>
  <c r="H1314" i="1"/>
  <c r="F1314" i="1"/>
  <c r="E1314" i="1"/>
  <c r="D1314" i="1"/>
  <c r="C1314" i="1"/>
  <c r="B1314" i="1"/>
  <c r="M1313" i="1"/>
  <c r="H1313" i="1"/>
  <c r="F1313" i="1"/>
  <c r="E1313" i="1"/>
  <c r="D1313" i="1"/>
  <c r="C1313" i="1"/>
  <c r="B1313" i="1"/>
  <c r="M1312" i="1"/>
  <c r="H1312" i="1"/>
  <c r="F1312" i="1"/>
  <c r="E1312" i="1"/>
  <c r="D1312" i="1"/>
  <c r="C1312" i="1"/>
  <c r="B1312" i="1"/>
  <c r="M1311" i="1"/>
  <c r="H1311" i="1"/>
  <c r="F1311" i="1"/>
  <c r="E1311" i="1"/>
  <c r="D1311" i="1"/>
  <c r="C1311" i="1"/>
  <c r="B1311" i="1"/>
  <c r="M1310" i="1"/>
  <c r="H1310" i="1"/>
  <c r="F1310" i="1"/>
  <c r="E1310" i="1"/>
  <c r="D1310" i="1"/>
  <c r="C1310" i="1"/>
  <c r="B1310" i="1"/>
  <c r="M1309" i="1"/>
  <c r="H1309" i="1"/>
  <c r="F1309" i="1"/>
  <c r="E1309" i="1"/>
  <c r="D1309" i="1"/>
  <c r="C1309" i="1"/>
  <c r="B1309" i="1"/>
  <c r="M1308" i="1"/>
  <c r="H1308" i="1"/>
  <c r="F1308" i="1"/>
  <c r="E1308" i="1"/>
  <c r="D1308" i="1"/>
  <c r="C1308" i="1"/>
  <c r="B1308" i="1"/>
  <c r="M1307" i="1"/>
  <c r="H1307" i="1"/>
  <c r="F1307" i="1"/>
  <c r="E1307" i="1"/>
  <c r="D1307" i="1"/>
  <c r="C1307" i="1"/>
  <c r="B1307" i="1"/>
  <c r="M1306" i="1"/>
  <c r="H1306" i="1"/>
  <c r="F1306" i="1"/>
  <c r="E1306" i="1"/>
  <c r="D1306" i="1"/>
  <c r="C1306" i="1"/>
  <c r="B1306" i="1"/>
  <c r="M1305" i="1"/>
  <c r="H1305" i="1"/>
  <c r="F1305" i="1"/>
  <c r="E1305" i="1"/>
  <c r="D1305" i="1"/>
  <c r="C1305" i="1"/>
  <c r="B1305" i="1"/>
  <c r="M1304" i="1"/>
  <c r="H1304" i="1"/>
  <c r="F1304" i="1"/>
  <c r="E1304" i="1"/>
  <c r="D1304" i="1"/>
  <c r="C1304" i="1"/>
  <c r="B1304" i="1"/>
  <c r="M1303" i="1"/>
  <c r="H1303" i="1"/>
  <c r="F1303" i="1"/>
  <c r="E1303" i="1"/>
  <c r="D1303" i="1"/>
  <c r="C1303" i="1"/>
  <c r="B1303" i="1"/>
  <c r="M1302" i="1"/>
  <c r="H1302" i="1"/>
  <c r="F1302" i="1"/>
  <c r="E1302" i="1"/>
  <c r="D1302" i="1"/>
  <c r="C1302" i="1"/>
  <c r="B1302" i="1"/>
  <c r="M1301" i="1"/>
  <c r="H1301" i="1"/>
  <c r="F1301" i="1"/>
  <c r="E1301" i="1"/>
  <c r="D1301" i="1"/>
  <c r="C1301" i="1"/>
  <c r="B1301" i="1"/>
  <c r="M1300" i="1"/>
  <c r="H1300" i="1"/>
  <c r="F1300" i="1"/>
  <c r="E1300" i="1"/>
  <c r="D1300" i="1"/>
  <c r="C1300" i="1"/>
  <c r="B1300" i="1"/>
  <c r="M1299" i="1"/>
  <c r="H1299" i="1"/>
  <c r="F1299" i="1"/>
  <c r="E1299" i="1"/>
  <c r="D1299" i="1"/>
  <c r="C1299" i="1"/>
  <c r="B1299" i="1"/>
  <c r="M1298" i="1"/>
  <c r="H1298" i="1"/>
  <c r="F1298" i="1"/>
  <c r="E1298" i="1"/>
  <c r="D1298" i="1"/>
  <c r="C1298" i="1"/>
  <c r="B1298" i="1"/>
  <c r="M1297" i="1"/>
  <c r="H1297" i="1"/>
  <c r="F1297" i="1"/>
  <c r="E1297" i="1"/>
  <c r="D1297" i="1"/>
  <c r="C1297" i="1"/>
  <c r="B1297" i="1"/>
  <c r="M1296" i="1"/>
  <c r="H1296" i="1"/>
  <c r="F1296" i="1"/>
  <c r="E1296" i="1"/>
  <c r="D1296" i="1"/>
  <c r="C1296" i="1"/>
  <c r="B1296" i="1"/>
  <c r="M1295" i="1"/>
  <c r="H1295" i="1"/>
  <c r="F1295" i="1"/>
  <c r="E1295" i="1"/>
  <c r="D1295" i="1"/>
  <c r="C1295" i="1"/>
  <c r="B1295" i="1"/>
  <c r="M1294" i="1"/>
  <c r="H1294" i="1"/>
  <c r="F1294" i="1"/>
  <c r="E1294" i="1"/>
  <c r="D1294" i="1"/>
  <c r="C1294" i="1"/>
  <c r="B1294" i="1"/>
  <c r="M1293" i="1"/>
  <c r="H1293" i="1"/>
  <c r="F1293" i="1"/>
  <c r="E1293" i="1"/>
  <c r="D1293" i="1"/>
  <c r="C1293" i="1"/>
  <c r="B1293" i="1"/>
  <c r="M1292" i="1"/>
  <c r="H1292" i="1"/>
  <c r="F1292" i="1"/>
  <c r="E1292" i="1"/>
  <c r="D1292" i="1"/>
  <c r="C1292" i="1"/>
  <c r="B1292" i="1"/>
  <c r="M1291" i="1"/>
  <c r="H1291" i="1"/>
  <c r="F1291" i="1"/>
  <c r="E1291" i="1"/>
  <c r="D1291" i="1"/>
  <c r="C1291" i="1"/>
  <c r="B1291" i="1"/>
  <c r="M1290" i="1"/>
  <c r="H1290" i="1"/>
  <c r="F1290" i="1"/>
  <c r="E1290" i="1"/>
  <c r="D1290" i="1"/>
  <c r="C1290" i="1"/>
  <c r="B1290" i="1"/>
  <c r="M1289" i="1"/>
  <c r="H1289" i="1"/>
  <c r="F1289" i="1"/>
  <c r="E1289" i="1"/>
  <c r="D1289" i="1"/>
  <c r="C1289" i="1"/>
  <c r="B1289" i="1"/>
  <c r="M1288" i="1"/>
  <c r="H1288" i="1"/>
  <c r="F1288" i="1"/>
  <c r="E1288" i="1"/>
  <c r="D1288" i="1"/>
  <c r="C1288" i="1"/>
  <c r="B1288" i="1"/>
  <c r="M1287" i="1"/>
  <c r="H1287" i="1"/>
  <c r="F1287" i="1"/>
  <c r="E1287" i="1"/>
  <c r="D1287" i="1"/>
  <c r="C1287" i="1"/>
  <c r="B1287" i="1"/>
  <c r="M1286" i="1"/>
  <c r="H1286" i="1"/>
  <c r="F1286" i="1"/>
  <c r="E1286" i="1"/>
  <c r="D1286" i="1"/>
  <c r="C1286" i="1"/>
  <c r="B1286" i="1"/>
  <c r="M1285" i="1"/>
  <c r="H1285" i="1"/>
  <c r="F1285" i="1"/>
  <c r="E1285" i="1"/>
  <c r="D1285" i="1"/>
  <c r="C1285" i="1"/>
  <c r="B1285" i="1"/>
  <c r="M1284" i="1"/>
  <c r="H1284" i="1"/>
  <c r="F1284" i="1"/>
  <c r="E1284" i="1"/>
  <c r="D1284" i="1"/>
  <c r="C1284" i="1"/>
  <c r="B1284" i="1"/>
  <c r="M1283" i="1"/>
  <c r="H1283" i="1"/>
  <c r="F1283" i="1"/>
  <c r="E1283" i="1"/>
  <c r="D1283" i="1"/>
  <c r="C1283" i="1"/>
  <c r="B1283" i="1"/>
  <c r="M1282" i="1"/>
  <c r="H1282" i="1"/>
  <c r="F1282" i="1"/>
  <c r="E1282" i="1"/>
  <c r="D1282" i="1"/>
  <c r="C1282" i="1"/>
  <c r="B1282" i="1"/>
  <c r="M1281" i="1"/>
  <c r="H1281" i="1"/>
  <c r="F1281" i="1"/>
  <c r="E1281" i="1"/>
  <c r="D1281" i="1"/>
  <c r="C1281" i="1"/>
  <c r="B1281" i="1"/>
  <c r="M1280" i="1"/>
  <c r="H1280" i="1"/>
  <c r="F1280" i="1"/>
  <c r="E1280" i="1"/>
  <c r="D1280" i="1"/>
  <c r="C1280" i="1"/>
  <c r="B1280" i="1"/>
  <c r="M1279" i="1"/>
  <c r="H1279" i="1"/>
  <c r="F1279" i="1"/>
  <c r="E1279" i="1"/>
  <c r="D1279" i="1"/>
  <c r="C1279" i="1"/>
  <c r="B1279" i="1"/>
  <c r="M1278" i="1"/>
  <c r="H1278" i="1"/>
  <c r="F1278" i="1"/>
  <c r="E1278" i="1"/>
  <c r="D1278" i="1"/>
  <c r="C1278" i="1"/>
  <c r="B1278" i="1"/>
  <c r="M1277" i="1"/>
  <c r="H1277" i="1"/>
  <c r="F1277" i="1"/>
  <c r="E1277" i="1"/>
  <c r="D1277" i="1"/>
  <c r="C1277" i="1"/>
  <c r="B1277" i="1"/>
  <c r="M1276" i="1"/>
  <c r="H1276" i="1"/>
  <c r="F1276" i="1"/>
  <c r="E1276" i="1"/>
  <c r="D1276" i="1"/>
  <c r="C1276" i="1"/>
  <c r="B1276" i="1"/>
  <c r="M1275" i="1"/>
  <c r="H1275" i="1"/>
  <c r="F1275" i="1"/>
  <c r="E1275" i="1"/>
  <c r="D1275" i="1"/>
  <c r="C1275" i="1"/>
  <c r="B1275" i="1"/>
  <c r="M1274" i="1"/>
  <c r="H1274" i="1"/>
  <c r="F1274" i="1"/>
  <c r="E1274" i="1"/>
  <c r="D1274" i="1"/>
  <c r="C1274" i="1"/>
  <c r="B1274" i="1"/>
  <c r="M1273" i="1"/>
  <c r="H1273" i="1"/>
  <c r="F1273" i="1"/>
  <c r="E1273" i="1"/>
  <c r="D1273" i="1"/>
  <c r="C1273" i="1"/>
  <c r="B1273" i="1"/>
  <c r="M1272" i="1"/>
  <c r="H1272" i="1"/>
  <c r="F1272" i="1"/>
  <c r="E1272" i="1"/>
  <c r="D1272" i="1"/>
  <c r="C1272" i="1"/>
  <c r="B1272" i="1"/>
  <c r="M1271" i="1"/>
  <c r="H1271" i="1"/>
  <c r="F1271" i="1"/>
  <c r="E1271" i="1"/>
  <c r="D1271" i="1"/>
  <c r="C1271" i="1"/>
  <c r="B1271" i="1"/>
  <c r="M1270" i="1"/>
  <c r="H1270" i="1"/>
  <c r="F1270" i="1"/>
  <c r="E1270" i="1"/>
  <c r="D1270" i="1"/>
  <c r="C1270" i="1"/>
  <c r="B1270" i="1"/>
  <c r="M1269" i="1"/>
  <c r="H1269" i="1"/>
  <c r="F1269" i="1"/>
  <c r="E1269" i="1"/>
  <c r="D1269" i="1"/>
  <c r="C1269" i="1"/>
  <c r="B1269" i="1"/>
  <c r="M1268" i="1"/>
  <c r="H1268" i="1"/>
  <c r="F1268" i="1"/>
  <c r="E1268" i="1"/>
  <c r="D1268" i="1"/>
  <c r="C1268" i="1"/>
  <c r="B1268" i="1"/>
  <c r="M1267" i="1"/>
  <c r="H1267" i="1"/>
  <c r="F1267" i="1"/>
  <c r="E1267" i="1"/>
  <c r="D1267" i="1"/>
  <c r="C1267" i="1"/>
  <c r="B1267" i="1"/>
  <c r="M1266" i="1"/>
  <c r="H1266" i="1"/>
  <c r="F1266" i="1"/>
  <c r="E1266" i="1"/>
  <c r="D1266" i="1"/>
  <c r="C1266" i="1"/>
  <c r="B1266" i="1"/>
  <c r="M1265" i="1"/>
  <c r="H1265" i="1"/>
  <c r="F1265" i="1"/>
  <c r="E1265" i="1"/>
  <c r="D1265" i="1"/>
  <c r="C1265" i="1"/>
  <c r="B1265" i="1"/>
  <c r="M1264" i="1"/>
  <c r="H1264" i="1"/>
  <c r="F1264" i="1"/>
  <c r="E1264" i="1"/>
  <c r="D1264" i="1"/>
  <c r="C1264" i="1"/>
  <c r="B1264" i="1"/>
  <c r="M1263" i="1"/>
  <c r="H1263" i="1"/>
  <c r="F1263" i="1"/>
  <c r="E1263" i="1"/>
  <c r="D1263" i="1"/>
  <c r="C1263" i="1"/>
  <c r="B1263" i="1"/>
  <c r="M1262" i="1"/>
  <c r="H1262" i="1"/>
  <c r="F1262" i="1"/>
  <c r="E1262" i="1"/>
  <c r="D1262" i="1"/>
  <c r="C1262" i="1"/>
  <c r="B1262" i="1"/>
  <c r="M1261" i="1"/>
  <c r="H1261" i="1"/>
  <c r="F1261" i="1"/>
  <c r="E1261" i="1"/>
  <c r="D1261" i="1"/>
  <c r="C1261" i="1"/>
  <c r="B1261" i="1"/>
  <c r="M1260" i="1"/>
  <c r="H1260" i="1"/>
  <c r="F1260" i="1"/>
  <c r="E1260" i="1"/>
  <c r="D1260" i="1"/>
  <c r="C1260" i="1"/>
  <c r="B1260" i="1"/>
  <c r="M1259" i="1"/>
  <c r="H1259" i="1"/>
  <c r="F1259" i="1"/>
  <c r="E1259" i="1"/>
  <c r="D1259" i="1"/>
  <c r="C1259" i="1"/>
  <c r="B1259" i="1"/>
  <c r="M1258" i="1"/>
  <c r="H1258" i="1"/>
  <c r="F1258" i="1"/>
  <c r="E1258" i="1"/>
  <c r="D1258" i="1"/>
  <c r="C1258" i="1"/>
  <c r="B1258" i="1"/>
  <c r="M1257" i="1"/>
  <c r="H1257" i="1"/>
  <c r="F1257" i="1"/>
  <c r="E1257" i="1"/>
  <c r="D1257" i="1"/>
  <c r="C1257" i="1"/>
  <c r="B1257" i="1"/>
  <c r="M1256" i="1"/>
  <c r="H1256" i="1"/>
  <c r="F1256" i="1"/>
  <c r="E1256" i="1"/>
  <c r="D1256" i="1"/>
  <c r="C1256" i="1"/>
  <c r="B1256" i="1"/>
  <c r="M1255" i="1"/>
  <c r="H1255" i="1"/>
  <c r="F1255" i="1"/>
  <c r="E1255" i="1"/>
  <c r="D1255" i="1"/>
  <c r="C1255" i="1"/>
  <c r="B1255" i="1"/>
  <c r="M1254" i="1"/>
  <c r="H1254" i="1"/>
  <c r="F1254" i="1"/>
  <c r="E1254" i="1"/>
  <c r="D1254" i="1"/>
  <c r="C1254" i="1"/>
  <c r="B1254" i="1"/>
  <c r="M1253" i="1"/>
  <c r="H1253" i="1"/>
  <c r="F1253" i="1"/>
  <c r="E1253" i="1"/>
  <c r="D1253" i="1"/>
  <c r="C1253" i="1"/>
  <c r="B1253" i="1"/>
  <c r="M1252" i="1"/>
  <c r="H1252" i="1"/>
  <c r="F1252" i="1"/>
  <c r="E1252" i="1"/>
  <c r="D1252" i="1"/>
  <c r="C1252" i="1"/>
  <c r="B1252" i="1"/>
  <c r="M1251" i="1"/>
  <c r="H1251" i="1"/>
  <c r="F1251" i="1"/>
  <c r="E1251" i="1"/>
  <c r="D1251" i="1"/>
  <c r="C1251" i="1"/>
  <c r="B1251" i="1"/>
  <c r="M1250" i="1"/>
  <c r="H1250" i="1"/>
  <c r="F1250" i="1"/>
  <c r="E1250" i="1"/>
  <c r="D1250" i="1"/>
  <c r="C1250" i="1"/>
  <c r="B1250" i="1"/>
  <c r="M1249" i="1"/>
  <c r="H1249" i="1"/>
  <c r="F1249" i="1"/>
  <c r="E1249" i="1"/>
  <c r="D1249" i="1"/>
  <c r="C1249" i="1"/>
  <c r="B1249" i="1"/>
  <c r="M1248" i="1"/>
  <c r="H1248" i="1"/>
  <c r="F1248" i="1"/>
  <c r="E1248" i="1"/>
  <c r="D1248" i="1"/>
  <c r="C1248" i="1"/>
  <c r="B1248" i="1"/>
  <c r="M1247" i="1"/>
  <c r="H1247" i="1"/>
  <c r="F1247" i="1"/>
  <c r="E1247" i="1"/>
  <c r="D1247" i="1"/>
  <c r="C1247" i="1"/>
  <c r="B1247" i="1"/>
  <c r="M1246" i="1"/>
  <c r="H1246" i="1"/>
  <c r="F1246" i="1"/>
  <c r="E1246" i="1"/>
  <c r="D1246" i="1"/>
  <c r="C1246" i="1"/>
  <c r="B1246" i="1"/>
  <c r="M1245" i="1"/>
  <c r="H1245" i="1"/>
  <c r="F1245" i="1"/>
  <c r="E1245" i="1"/>
  <c r="D1245" i="1"/>
  <c r="C1245" i="1"/>
  <c r="B1245" i="1"/>
  <c r="M1244" i="1"/>
  <c r="H1244" i="1"/>
  <c r="F1244" i="1"/>
  <c r="E1244" i="1"/>
  <c r="D1244" i="1"/>
  <c r="C1244" i="1"/>
  <c r="B1244" i="1"/>
  <c r="M1243" i="1"/>
  <c r="H1243" i="1"/>
  <c r="F1243" i="1"/>
  <c r="E1243" i="1"/>
  <c r="D1243" i="1"/>
  <c r="C1243" i="1"/>
  <c r="B1243" i="1"/>
  <c r="M1242" i="1"/>
  <c r="H1242" i="1"/>
  <c r="F1242" i="1"/>
  <c r="E1242" i="1"/>
  <c r="D1242" i="1"/>
  <c r="C1242" i="1"/>
  <c r="B1242" i="1"/>
  <c r="M1241" i="1"/>
  <c r="H1241" i="1"/>
  <c r="F1241" i="1"/>
  <c r="E1241" i="1"/>
  <c r="D1241" i="1"/>
  <c r="C1241" i="1"/>
  <c r="B1241" i="1"/>
  <c r="M1240" i="1"/>
  <c r="H1240" i="1"/>
  <c r="F1240" i="1"/>
  <c r="E1240" i="1"/>
  <c r="D1240" i="1"/>
  <c r="C1240" i="1"/>
  <c r="B1240" i="1"/>
  <c r="M1239" i="1"/>
  <c r="H1239" i="1"/>
  <c r="F1239" i="1"/>
  <c r="E1239" i="1"/>
  <c r="D1239" i="1"/>
  <c r="C1239" i="1"/>
  <c r="B1239" i="1"/>
  <c r="M1238" i="1"/>
  <c r="H1238" i="1"/>
  <c r="F1238" i="1"/>
  <c r="E1238" i="1"/>
  <c r="D1238" i="1"/>
  <c r="C1238" i="1"/>
  <c r="B1238" i="1"/>
  <c r="M1237" i="1"/>
  <c r="H1237" i="1"/>
  <c r="F1237" i="1"/>
  <c r="E1237" i="1"/>
  <c r="D1237" i="1"/>
  <c r="C1237" i="1"/>
  <c r="B1237" i="1"/>
  <c r="M1236" i="1"/>
  <c r="H1236" i="1"/>
  <c r="F1236" i="1"/>
  <c r="E1236" i="1"/>
  <c r="D1236" i="1"/>
  <c r="C1236" i="1"/>
  <c r="B1236" i="1"/>
  <c r="M1235" i="1"/>
  <c r="H1235" i="1"/>
  <c r="F1235" i="1"/>
  <c r="E1235" i="1"/>
  <c r="D1235" i="1"/>
  <c r="C1235" i="1"/>
  <c r="B1235" i="1"/>
  <c r="M1234" i="1"/>
  <c r="H1234" i="1"/>
  <c r="F1234" i="1"/>
  <c r="E1234" i="1"/>
  <c r="D1234" i="1"/>
  <c r="C1234" i="1"/>
  <c r="B1234" i="1"/>
  <c r="M1233" i="1"/>
  <c r="H1233" i="1"/>
  <c r="F1233" i="1"/>
  <c r="E1233" i="1"/>
  <c r="D1233" i="1"/>
  <c r="C1233" i="1"/>
  <c r="B1233" i="1"/>
  <c r="M1232" i="1"/>
  <c r="H1232" i="1"/>
  <c r="F1232" i="1"/>
  <c r="E1232" i="1"/>
  <c r="D1232" i="1"/>
  <c r="C1232" i="1"/>
  <c r="B1232" i="1"/>
  <c r="M1231" i="1"/>
  <c r="H1231" i="1"/>
  <c r="F1231" i="1"/>
  <c r="E1231" i="1"/>
  <c r="D1231" i="1"/>
  <c r="C1231" i="1"/>
  <c r="B1231" i="1"/>
  <c r="M1230" i="1"/>
  <c r="H1230" i="1"/>
  <c r="F1230" i="1"/>
  <c r="E1230" i="1"/>
  <c r="D1230" i="1"/>
  <c r="C1230" i="1"/>
  <c r="B1230" i="1"/>
  <c r="M1229" i="1"/>
  <c r="H1229" i="1"/>
  <c r="F1229" i="1"/>
  <c r="E1229" i="1"/>
  <c r="D1229" i="1"/>
  <c r="C1229" i="1"/>
  <c r="B1229" i="1"/>
  <c r="M1228" i="1"/>
  <c r="H1228" i="1"/>
  <c r="F1228" i="1"/>
  <c r="E1228" i="1"/>
  <c r="D1228" i="1"/>
  <c r="C1228" i="1"/>
  <c r="B1228" i="1"/>
  <c r="M1227" i="1"/>
  <c r="H1227" i="1"/>
  <c r="F1227" i="1"/>
  <c r="E1227" i="1"/>
  <c r="D1227" i="1"/>
  <c r="C1227" i="1"/>
  <c r="B1227" i="1"/>
  <c r="M1226" i="1"/>
  <c r="H1226" i="1"/>
  <c r="F1226" i="1"/>
  <c r="E1226" i="1"/>
  <c r="D1226" i="1"/>
  <c r="C1226" i="1"/>
  <c r="B1226" i="1"/>
  <c r="M1225" i="1"/>
  <c r="H1225" i="1"/>
  <c r="F1225" i="1"/>
  <c r="E1225" i="1"/>
  <c r="D1225" i="1"/>
  <c r="C1225" i="1"/>
  <c r="B1225" i="1"/>
  <c r="M1224" i="1"/>
  <c r="H1224" i="1"/>
  <c r="F1224" i="1"/>
  <c r="E1224" i="1"/>
  <c r="D1224" i="1"/>
  <c r="C1224" i="1"/>
  <c r="B1224" i="1"/>
  <c r="M1223" i="1"/>
  <c r="H1223" i="1"/>
  <c r="F1223" i="1"/>
  <c r="E1223" i="1"/>
  <c r="D1223" i="1"/>
  <c r="C1223" i="1"/>
  <c r="B1223" i="1"/>
  <c r="M1222" i="1"/>
  <c r="H1222" i="1"/>
  <c r="F1222" i="1"/>
  <c r="E1222" i="1"/>
  <c r="D1222" i="1"/>
  <c r="C1222" i="1"/>
  <c r="B1222" i="1"/>
  <c r="M1221" i="1"/>
  <c r="H1221" i="1"/>
  <c r="F1221" i="1"/>
  <c r="E1221" i="1"/>
  <c r="D1221" i="1"/>
  <c r="C1221" i="1"/>
  <c r="B1221" i="1"/>
  <c r="M1220" i="1"/>
  <c r="H1220" i="1"/>
  <c r="F1220" i="1"/>
  <c r="E1220" i="1"/>
  <c r="D1220" i="1"/>
  <c r="C1220" i="1"/>
  <c r="B1220" i="1"/>
  <c r="M1219" i="1"/>
  <c r="H1219" i="1"/>
  <c r="F1219" i="1"/>
  <c r="E1219" i="1"/>
  <c r="D1219" i="1"/>
  <c r="C1219" i="1"/>
  <c r="B1219" i="1"/>
  <c r="M1218" i="1"/>
  <c r="H1218" i="1"/>
  <c r="F1218" i="1"/>
  <c r="E1218" i="1"/>
  <c r="D1218" i="1"/>
  <c r="C1218" i="1"/>
  <c r="B1218" i="1"/>
  <c r="M1217" i="1"/>
  <c r="H1217" i="1"/>
  <c r="F1217" i="1"/>
  <c r="E1217" i="1"/>
  <c r="D1217" i="1"/>
  <c r="C1217" i="1"/>
  <c r="B1217" i="1"/>
  <c r="M1216" i="1"/>
  <c r="H1216" i="1"/>
  <c r="F1216" i="1"/>
  <c r="E1216" i="1"/>
  <c r="D1216" i="1"/>
  <c r="C1216" i="1"/>
  <c r="B1216" i="1"/>
  <c r="M1215" i="1"/>
  <c r="H1215" i="1"/>
  <c r="F1215" i="1"/>
  <c r="E1215" i="1"/>
  <c r="D1215" i="1"/>
  <c r="C1215" i="1"/>
  <c r="B1215" i="1"/>
  <c r="M1214" i="1"/>
  <c r="H1214" i="1"/>
  <c r="F1214" i="1"/>
  <c r="E1214" i="1"/>
  <c r="D1214" i="1"/>
  <c r="C1214" i="1"/>
  <c r="B1214" i="1"/>
  <c r="M1213" i="1"/>
  <c r="H1213" i="1"/>
  <c r="F1213" i="1"/>
  <c r="E1213" i="1"/>
  <c r="D1213" i="1"/>
  <c r="C1213" i="1"/>
  <c r="B1213" i="1"/>
  <c r="M1212" i="1"/>
  <c r="H1212" i="1"/>
  <c r="F1212" i="1"/>
  <c r="E1212" i="1"/>
  <c r="D1212" i="1"/>
  <c r="C1212" i="1"/>
  <c r="B1212" i="1"/>
  <c r="M1211" i="1"/>
  <c r="H1211" i="1"/>
  <c r="F1211" i="1"/>
  <c r="E1211" i="1"/>
  <c r="D1211" i="1"/>
  <c r="C1211" i="1"/>
  <c r="B1211" i="1"/>
  <c r="M1210" i="1"/>
  <c r="H1210" i="1"/>
  <c r="F1210" i="1"/>
  <c r="E1210" i="1"/>
  <c r="D1210" i="1"/>
  <c r="C1210" i="1"/>
  <c r="B1210" i="1"/>
  <c r="M1209" i="1"/>
  <c r="H1209" i="1"/>
  <c r="F1209" i="1"/>
  <c r="E1209" i="1"/>
  <c r="D1209" i="1"/>
  <c r="C1209" i="1"/>
  <c r="B1209" i="1"/>
  <c r="M1208" i="1"/>
  <c r="H1208" i="1"/>
  <c r="F1208" i="1"/>
  <c r="E1208" i="1"/>
  <c r="D1208" i="1"/>
  <c r="C1208" i="1"/>
  <c r="B1208" i="1"/>
  <c r="M1207" i="1"/>
  <c r="H1207" i="1"/>
  <c r="F1207" i="1"/>
  <c r="E1207" i="1"/>
  <c r="D1207" i="1"/>
  <c r="C1207" i="1"/>
  <c r="B1207" i="1"/>
  <c r="M1206" i="1"/>
  <c r="H1206" i="1"/>
  <c r="F1206" i="1"/>
  <c r="E1206" i="1"/>
  <c r="D1206" i="1"/>
  <c r="C1206" i="1"/>
  <c r="B1206" i="1"/>
  <c r="M1205" i="1"/>
  <c r="H1205" i="1"/>
  <c r="F1205" i="1"/>
  <c r="E1205" i="1"/>
  <c r="D1205" i="1"/>
  <c r="C1205" i="1"/>
  <c r="B1205" i="1"/>
  <c r="M1204" i="1"/>
  <c r="H1204" i="1"/>
  <c r="F1204" i="1"/>
  <c r="E1204" i="1"/>
  <c r="D1204" i="1"/>
  <c r="C1204" i="1"/>
  <c r="B1204" i="1"/>
  <c r="M1203" i="1"/>
  <c r="H1203" i="1"/>
  <c r="F1203" i="1"/>
  <c r="E1203" i="1"/>
  <c r="D1203" i="1"/>
  <c r="C1203" i="1"/>
  <c r="B1203" i="1"/>
  <c r="M1202" i="1"/>
  <c r="H1202" i="1"/>
  <c r="F1202" i="1"/>
  <c r="E1202" i="1"/>
  <c r="D1202" i="1"/>
  <c r="C1202" i="1"/>
  <c r="B1202" i="1"/>
  <c r="M1201" i="1"/>
  <c r="H1201" i="1"/>
  <c r="F1201" i="1"/>
  <c r="E1201" i="1"/>
  <c r="D1201" i="1"/>
  <c r="C1201" i="1"/>
  <c r="B1201" i="1"/>
  <c r="M1200" i="1"/>
  <c r="H1200" i="1"/>
  <c r="F1200" i="1"/>
  <c r="E1200" i="1"/>
  <c r="D1200" i="1"/>
  <c r="C1200" i="1"/>
  <c r="B1200" i="1"/>
  <c r="M1199" i="1"/>
  <c r="H1199" i="1"/>
  <c r="F1199" i="1"/>
  <c r="E1199" i="1"/>
  <c r="D1199" i="1"/>
  <c r="C1199" i="1"/>
  <c r="B1199" i="1"/>
  <c r="M1198" i="1"/>
  <c r="H1198" i="1"/>
  <c r="F1198" i="1"/>
  <c r="E1198" i="1"/>
  <c r="D1198" i="1"/>
  <c r="C1198" i="1"/>
  <c r="B1198" i="1"/>
  <c r="M1197" i="1"/>
  <c r="H1197" i="1"/>
  <c r="F1197" i="1"/>
  <c r="E1197" i="1"/>
  <c r="D1197" i="1"/>
  <c r="C1197" i="1"/>
  <c r="B1197" i="1"/>
  <c r="M1196" i="1"/>
  <c r="H1196" i="1"/>
  <c r="F1196" i="1"/>
  <c r="E1196" i="1"/>
  <c r="D1196" i="1"/>
  <c r="C1196" i="1"/>
  <c r="B1196" i="1"/>
  <c r="M1195" i="1"/>
  <c r="H1195" i="1"/>
  <c r="F1195" i="1"/>
  <c r="E1195" i="1"/>
  <c r="D1195" i="1"/>
  <c r="C1195" i="1"/>
  <c r="B1195" i="1"/>
  <c r="M1194" i="1"/>
  <c r="H1194" i="1"/>
  <c r="F1194" i="1"/>
  <c r="E1194" i="1"/>
  <c r="D1194" i="1"/>
  <c r="C1194" i="1"/>
  <c r="B1194" i="1"/>
  <c r="M1193" i="1"/>
  <c r="H1193" i="1"/>
  <c r="F1193" i="1"/>
  <c r="E1193" i="1"/>
  <c r="D1193" i="1"/>
  <c r="C1193" i="1"/>
  <c r="B1193" i="1"/>
  <c r="M1192" i="1"/>
  <c r="H1192" i="1"/>
  <c r="F1192" i="1"/>
  <c r="E1192" i="1"/>
  <c r="D1192" i="1"/>
  <c r="C1192" i="1"/>
  <c r="B1192" i="1"/>
  <c r="M1191" i="1"/>
  <c r="H1191" i="1"/>
  <c r="F1191" i="1"/>
  <c r="E1191" i="1"/>
  <c r="D1191" i="1"/>
  <c r="C1191" i="1"/>
  <c r="B1191" i="1"/>
  <c r="M1190" i="1"/>
  <c r="H1190" i="1"/>
  <c r="F1190" i="1"/>
  <c r="E1190" i="1"/>
  <c r="D1190" i="1"/>
  <c r="C1190" i="1"/>
  <c r="B1190" i="1"/>
  <c r="M1189" i="1"/>
  <c r="H1189" i="1"/>
  <c r="F1189" i="1"/>
  <c r="E1189" i="1"/>
  <c r="D1189" i="1"/>
  <c r="C1189" i="1"/>
  <c r="B1189" i="1"/>
  <c r="M1188" i="1"/>
  <c r="H1188" i="1"/>
  <c r="F1188" i="1"/>
  <c r="E1188" i="1"/>
  <c r="D1188" i="1"/>
  <c r="C1188" i="1"/>
  <c r="B1188" i="1"/>
  <c r="M1187" i="1"/>
  <c r="H1187" i="1"/>
  <c r="F1187" i="1"/>
  <c r="E1187" i="1"/>
  <c r="D1187" i="1"/>
  <c r="C1187" i="1"/>
  <c r="B1187" i="1"/>
  <c r="M1186" i="1"/>
  <c r="H1186" i="1"/>
  <c r="F1186" i="1"/>
  <c r="E1186" i="1"/>
  <c r="D1186" i="1"/>
  <c r="C1186" i="1"/>
  <c r="B1186" i="1"/>
  <c r="M1185" i="1"/>
  <c r="H1185" i="1"/>
  <c r="F1185" i="1"/>
  <c r="E1185" i="1"/>
  <c r="D1185" i="1"/>
  <c r="C1185" i="1"/>
  <c r="B1185" i="1"/>
  <c r="M1184" i="1"/>
  <c r="H1184" i="1"/>
  <c r="F1184" i="1"/>
  <c r="E1184" i="1"/>
  <c r="D1184" i="1"/>
  <c r="C1184" i="1"/>
  <c r="B1184" i="1"/>
  <c r="M1183" i="1"/>
  <c r="H1183" i="1"/>
  <c r="F1183" i="1"/>
  <c r="E1183" i="1"/>
  <c r="D1183" i="1"/>
  <c r="C1183" i="1"/>
  <c r="B1183" i="1"/>
  <c r="M1182" i="1"/>
  <c r="H1182" i="1"/>
  <c r="F1182" i="1"/>
  <c r="E1182" i="1"/>
  <c r="D1182" i="1"/>
  <c r="C1182" i="1"/>
  <c r="B1182" i="1"/>
  <c r="M1181" i="1"/>
  <c r="H1181" i="1"/>
  <c r="F1181" i="1"/>
  <c r="E1181" i="1"/>
  <c r="D1181" i="1"/>
  <c r="C1181" i="1"/>
  <c r="B1181" i="1"/>
  <c r="M1180" i="1"/>
  <c r="H1180" i="1"/>
  <c r="F1180" i="1"/>
  <c r="E1180" i="1"/>
  <c r="D1180" i="1"/>
  <c r="C1180" i="1"/>
  <c r="B1180" i="1"/>
  <c r="M1179" i="1"/>
  <c r="H1179" i="1"/>
  <c r="F1179" i="1"/>
  <c r="E1179" i="1"/>
  <c r="D1179" i="1"/>
  <c r="C1179" i="1"/>
  <c r="B1179" i="1"/>
  <c r="M1178" i="1"/>
  <c r="H1178" i="1"/>
  <c r="F1178" i="1"/>
  <c r="E1178" i="1"/>
  <c r="D1178" i="1"/>
  <c r="C1178" i="1"/>
  <c r="B1178" i="1"/>
  <c r="M1177" i="1"/>
  <c r="H1177" i="1"/>
  <c r="F1177" i="1"/>
  <c r="E1177" i="1"/>
  <c r="D1177" i="1"/>
  <c r="C1177" i="1"/>
  <c r="B1177" i="1"/>
  <c r="M1176" i="1"/>
  <c r="H1176" i="1"/>
  <c r="F1176" i="1"/>
  <c r="E1176" i="1"/>
  <c r="D1176" i="1"/>
  <c r="C1176" i="1"/>
  <c r="B1176" i="1"/>
  <c r="M1175" i="1"/>
  <c r="H1175" i="1"/>
  <c r="F1175" i="1"/>
  <c r="E1175" i="1"/>
  <c r="D1175" i="1"/>
  <c r="C1175" i="1"/>
  <c r="B1175" i="1"/>
  <c r="M1174" i="1"/>
  <c r="H1174" i="1"/>
  <c r="F1174" i="1"/>
  <c r="E1174" i="1"/>
  <c r="D1174" i="1"/>
  <c r="C1174" i="1"/>
  <c r="B1174" i="1"/>
  <c r="M1173" i="1"/>
  <c r="H1173" i="1"/>
  <c r="F1173" i="1"/>
  <c r="E1173" i="1"/>
  <c r="D1173" i="1"/>
  <c r="C1173" i="1"/>
  <c r="B1173" i="1"/>
  <c r="M1172" i="1"/>
  <c r="H1172" i="1"/>
  <c r="F1172" i="1"/>
  <c r="E1172" i="1"/>
  <c r="D1172" i="1"/>
  <c r="C1172" i="1"/>
  <c r="B1172" i="1"/>
  <c r="M1171" i="1"/>
  <c r="H1171" i="1"/>
  <c r="F1171" i="1"/>
  <c r="E1171" i="1"/>
  <c r="D1171" i="1"/>
  <c r="C1171" i="1"/>
  <c r="B1171" i="1"/>
  <c r="M1170" i="1"/>
  <c r="H1170" i="1"/>
  <c r="F1170" i="1"/>
  <c r="E1170" i="1"/>
  <c r="D1170" i="1"/>
  <c r="C1170" i="1"/>
  <c r="B1170" i="1"/>
  <c r="M1169" i="1"/>
  <c r="H1169" i="1"/>
  <c r="F1169" i="1"/>
  <c r="E1169" i="1"/>
  <c r="D1169" i="1"/>
  <c r="C1169" i="1"/>
  <c r="B1169" i="1"/>
  <c r="M1168" i="1"/>
  <c r="H1168" i="1"/>
  <c r="F1168" i="1"/>
  <c r="E1168" i="1"/>
  <c r="D1168" i="1"/>
  <c r="C1168" i="1"/>
  <c r="B1168" i="1"/>
  <c r="M1167" i="1"/>
  <c r="H1167" i="1"/>
  <c r="F1167" i="1"/>
  <c r="E1167" i="1"/>
  <c r="D1167" i="1"/>
  <c r="C1167" i="1"/>
  <c r="B1167" i="1"/>
  <c r="M1166" i="1"/>
  <c r="H1166" i="1"/>
  <c r="F1166" i="1"/>
  <c r="E1166" i="1"/>
  <c r="D1166" i="1"/>
  <c r="C1166" i="1"/>
  <c r="B1166" i="1"/>
  <c r="M1165" i="1"/>
  <c r="H1165" i="1"/>
  <c r="F1165" i="1"/>
  <c r="E1165" i="1"/>
  <c r="D1165" i="1"/>
  <c r="C1165" i="1"/>
  <c r="B1165" i="1"/>
  <c r="M1164" i="1"/>
  <c r="H1164" i="1"/>
  <c r="F1164" i="1"/>
  <c r="E1164" i="1"/>
  <c r="D1164" i="1"/>
  <c r="C1164" i="1"/>
  <c r="B1164" i="1"/>
  <c r="M1163" i="1"/>
  <c r="H1163" i="1"/>
  <c r="F1163" i="1"/>
  <c r="E1163" i="1"/>
  <c r="D1163" i="1"/>
  <c r="C1163" i="1"/>
  <c r="B1163" i="1"/>
  <c r="M1162" i="1"/>
  <c r="H1162" i="1"/>
  <c r="F1162" i="1"/>
  <c r="E1162" i="1"/>
  <c r="D1162" i="1"/>
  <c r="C1162" i="1"/>
  <c r="B1162" i="1"/>
  <c r="M1161" i="1"/>
  <c r="H1161" i="1"/>
  <c r="F1161" i="1"/>
  <c r="E1161" i="1"/>
  <c r="D1161" i="1"/>
  <c r="C1161" i="1"/>
  <c r="B1161" i="1"/>
  <c r="M1160" i="1"/>
  <c r="H1160" i="1"/>
  <c r="F1160" i="1"/>
  <c r="E1160" i="1"/>
  <c r="D1160" i="1"/>
  <c r="C1160" i="1"/>
  <c r="B1160" i="1"/>
  <c r="M1159" i="1"/>
  <c r="H1159" i="1"/>
  <c r="F1159" i="1"/>
  <c r="E1159" i="1"/>
  <c r="D1159" i="1"/>
  <c r="C1159" i="1"/>
  <c r="B1159" i="1"/>
  <c r="M1158" i="1"/>
  <c r="H1158" i="1"/>
  <c r="F1158" i="1"/>
  <c r="E1158" i="1"/>
  <c r="D1158" i="1"/>
  <c r="C1158" i="1"/>
  <c r="B1158" i="1"/>
  <c r="M1157" i="1"/>
  <c r="H1157" i="1"/>
  <c r="F1157" i="1"/>
  <c r="E1157" i="1"/>
  <c r="D1157" i="1"/>
  <c r="C1157" i="1"/>
  <c r="B1157" i="1"/>
  <c r="M1156" i="1"/>
  <c r="H1156" i="1"/>
  <c r="F1156" i="1"/>
  <c r="E1156" i="1"/>
  <c r="D1156" i="1"/>
  <c r="C1156" i="1"/>
  <c r="B1156" i="1"/>
  <c r="M1155" i="1"/>
  <c r="H1155" i="1"/>
  <c r="F1155" i="1"/>
  <c r="E1155" i="1"/>
  <c r="D1155" i="1"/>
  <c r="C1155" i="1"/>
  <c r="B1155" i="1"/>
  <c r="M1154" i="1"/>
  <c r="H1154" i="1"/>
  <c r="F1154" i="1"/>
  <c r="E1154" i="1"/>
  <c r="D1154" i="1"/>
  <c r="C1154" i="1"/>
  <c r="B1154" i="1"/>
  <c r="M1153" i="1"/>
  <c r="H1153" i="1"/>
  <c r="F1153" i="1"/>
  <c r="E1153" i="1"/>
  <c r="D1153" i="1"/>
  <c r="C1153" i="1"/>
  <c r="B1153" i="1"/>
  <c r="M1152" i="1"/>
  <c r="H1152" i="1"/>
  <c r="F1152" i="1"/>
  <c r="E1152" i="1"/>
  <c r="D1152" i="1"/>
  <c r="C1152" i="1"/>
  <c r="B1152" i="1"/>
  <c r="M1151" i="1"/>
  <c r="H1151" i="1"/>
  <c r="F1151" i="1"/>
  <c r="E1151" i="1"/>
  <c r="D1151" i="1"/>
  <c r="C1151" i="1"/>
  <c r="B1151" i="1"/>
  <c r="M1150" i="1"/>
  <c r="H1150" i="1"/>
  <c r="F1150" i="1"/>
  <c r="E1150" i="1"/>
  <c r="D1150" i="1"/>
  <c r="C1150" i="1"/>
  <c r="B1150" i="1"/>
  <c r="M1149" i="1"/>
  <c r="H1149" i="1"/>
  <c r="F1149" i="1"/>
  <c r="E1149" i="1"/>
  <c r="D1149" i="1"/>
  <c r="C1149" i="1"/>
  <c r="B1149" i="1"/>
  <c r="M1148" i="1"/>
  <c r="H1148" i="1"/>
  <c r="F1148" i="1"/>
  <c r="E1148" i="1"/>
  <c r="D1148" i="1"/>
  <c r="C1148" i="1"/>
  <c r="B1148" i="1"/>
  <c r="M1147" i="1"/>
  <c r="H1147" i="1"/>
  <c r="F1147" i="1"/>
  <c r="E1147" i="1"/>
  <c r="D1147" i="1"/>
  <c r="C1147" i="1"/>
  <c r="B1147" i="1"/>
  <c r="M1146" i="1"/>
  <c r="H1146" i="1"/>
  <c r="F1146" i="1"/>
  <c r="E1146" i="1"/>
  <c r="D1146" i="1"/>
  <c r="C1146" i="1"/>
  <c r="B1146" i="1"/>
  <c r="M1145" i="1"/>
  <c r="H1145" i="1"/>
  <c r="F1145" i="1"/>
  <c r="E1145" i="1"/>
  <c r="D1145" i="1"/>
  <c r="C1145" i="1"/>
  <c r="B1145" i="1"/>
  <c r="M1144" i="1"/>
  <c r="H1144" i="1"/>
  <c r="F1144" i="1"/>
  <c r="E1144" i="1"/>
  <c r="D1144" i="1"/>
  <c r="C1144" i="1"/>
  <c r="B1144" i="1"/>
  <c r="M1143" i="1"/>
  <c r="H1143" i="1"/>
  <c r="F1143" i="1"/>
  <c r="E1143" i="1"/>
  <c r="D1143" i="1"/>
  <c r="C1143" i="1"/>
  <c r="B1143" i="1"/>
  <c r="M1142" i="1"/>
  <c r="H1142" i="1"/>
  <c r="F1142" i="1"/>
  <c r="E1142" i="1"/>
  <c r="D1142" i="1"/>
  <c r="C1142" i="1"/>
  <c r="B1142" i="1"/>
  <c r="M1141" i="1"/>
  <c r="H1141" i="1"/>
  <c r="F1141" i="1"/>
  <c r="E1141" i="1"/>
  <c r="D1141" i="1"/>
  <c r="C1141" i="1"/>
  <c r="B1141" i="1"/>
  <c r="M1140" i="1"/>
  <c r="H1140" i="1"/>
  <c r="F1140" i="1"/>
  <c r="E1140" i="1"/>
  <c r="D1140" i="1"/>
  <c r="C1140" i="1"/>
  <c r="B1140" i="1"/>
  <c r="M1139" i="1"/>
  <c r="H1139" i="1"/>
  <c r="F1139" i="1"/>
  <c r="E1139" i="1"/>
  <c r="D1139" i="1"/>
  <c r="C1139" i="1"/>
  <c r="B1139" i="1"/>
  <c r="M1138" i="1"/>
  <c r="H1138" i="1"/>
  <c r="F1138" i="1"/>
  <c r="E1138" i="1"/>
  <c r="D1138" i="1"/>
  <c r="C1138" i="1"/>
  <c r="B1138" i="1"/>
  <c r="M1137" i="1"/>
  <c r="H1137" i="1"/>
  <c r="F1137" i="1"/>
  <c r="E1137" i="1"/>
  <c r="D1137" i="1"/>
  <c r="C1137" i="1"/>
  <c r="B1137" i="1"/>
  <c r="M1136" i="1"/>
  <c r="H1136" i="1"/>
  <c r="F1136" i="1"/>
  <c r="E1136" i="1"/>
  <c r="D1136" i="1"/>
  <c r="C1136" i="1"/>
  <c r="B1136" i="1"/>
  <c r="M1135" i="1"/>
  <c r="H1135" i="1"/>
  <c r="F1135" i="1"/>
  <c r="E1135" i="1"/>
  <c r="D1135" i="1"/>
  <c r="C1135" i="1"/>
  <c r="B1135" i="1"/>
  <c r="M1134" i="1"/>
  <c r="H1134" i="1"/>
  <c r="F1134" i="1"/>
  <c r="E1134" i="1"/>
  <c r="D1134" i="1"/>
  <c r="C1134" i="1"/>
  <c r="B1134" i="1"/>
  <c r="M1133" i="1"/>
  <c r="H1133" i="1"/>
  <c r="F1133" i="1"/>
  <c r="E1133" i="1"/>
  <c r="D1133" i="1"/>
  <c r="C1133" i="1"/>
  <c r="B1133" i="1"/>
  <c r="M1132" i="1"/>
  <c r="H1132" i="1"/>
  <c r="F1132" i="1"/>
  <c r="E1132" i="1"/>
  <c r="D1132" i="1"/>
  <c r="C1132" i="1"/>
  <c r="B1132" i="1"/>
  <c r="M1131" i="1"/>
  <c r="H1131" i="1"/>
  <c r="F1131" i="1"/>
  <c r="E1131" i="1"/>
  <c r="D1131" i="1"/>
  <c r="C1131" i="1"/>
  <c r="B1131" i="1"/>
  <c r="M1130" i="1"/>
  <c r="H1130" i="1"/>
  <c r="F1130" i="1"/>
  <c r="E1130" i="1"/>
  <c r="D1130" i="1"/>
  <c r="C1130" i="1"/>
  <c r="B1130" i="1"/>
  <c r="M1129" i="1"/>
  <c r="H1129" i="1"/>
  <c r="F1129" i="1"/>
  <c r="E1129" i="1"/>
  <c r="D1129" i="1"/>
  <c r="C1129" i="1"/>
  <c r="B1129" i="1"/>
  <c r="M1128" i="1"/>
  <c r="H1128" i="1"/>
  <c r="F1128" i="1"/>
  <c r="E1128" i="1"/>
  <c r="D1128" i="1"/>
  <c r="C1128" i="1"/>
  <c r="B1128" i="1"/>
  <c r="M1127" i="1"/>
  <c r="H1127" i="1"/>
  <c r="F1127" i="1"/>
  <c r="E1127" i="1"/>
  <c r="D1127" i="1"/>
  <c r="C1127" i="1"/>
  <c r="B1127" i="1"/>
  <c r="M1126" i="1"/>
  <c r="H1126" i="1"/>
  <c r="F1126" i="1"/>
  <c r="E1126" i="1"/>
  <c r="D1126" i="1"/>
  <c r="C1126" i="1"/>
  <c r="B1126" i="1"/>
  <c r="M1125" i="1"/>
  <c r="H1125" i="1"/>
  <c r="F1125" i="1"/>
  <c r="E1125" i="1"/>
  <c r="D1125" i="1"/>
  <c r="C1125" i="1"/>
  <c r="B1125" i="1"/>
  <c r="M1124" i="1"/>
  <c r="H1124" i="1"/>
  <c r="F1124" i="1"/>
  <c r="E1124" i="1"/>
  <c r="D1124" i="1"/>
  <c r="C1124" i="1"/>
  <c r="B1124" i="1"/>
  <c r="M1123" i="1"/>
  <c r="H1123" i="1"/>
  <c r="F1123" i="1"/>
  <c r="E1123" i="1"/>
  <c r="D1123" i="1"/>
  <c r="C1123" i="1"/>
  <c r="B1123" i="1"/>
  <c r="M1122" i="1"/>
  <c r="H1122" i="1"/>
  <c r="F1122" i="1"/>
  <c r="E1122" i="1"/>
  <c r="D1122" i="1"/>
  <c r="C1122" i="1"/>
  <c r="B1122" i="1"/>
  <c r="M1121" i="1"/>
  <c r="H1121" i="1"/>
  <c r="F1121" i="1"/>
  <c r="E1121" i="1"/>
  <c r="D1121" i="1"/>
  <c r="C1121" i="1"/>
  <c r="B1121" i="1"/>
  <c r="M1120" i="1"/>
  <c r="H1120" i="1"/>
  <c r="F1120" i="1"/>
  <c r="E1120" i="1"/>
  <c r="D1120" i="1"/>
  <c r="C1120" i="1"/>
  <c r="B1120" i="1"/>
  <c r="M1119" i="1"/>
  <c r="H1119" i="1"/>
  <c r="F1119" i="1"/>
  <c r="E1119" i="1"/>
  <c r="D1119" i="1"/>
  <c r="C1119" i="1"/>
  <c r="B1119" i="1"/>
  <c r="M1118" i="1"/>
  <c r="H1118" i="1"/>
  <c r="F1118" i="1"/>
  <c r="E1118" i="1"/>
  <c r="D1118" i="1"/>
  <c r="C1118" i="1"/>
  <c r="B1118" i="1"/>
  <c r="M1117" i="1"/>
  <c r="H1117" i="1"/>
  <c r="F1117" i="1"/>
  <c r="E1117" i="1"/>
  <c r="D1117" i="1"/>
  <c r="C1117" i="1"/>
  <c r="B1117" i="1"/>
  <c r="M1116" i="1"/>
  <c r="H1116" i="1"/>
  <c r="F1116" i="1"/>
  <c r="E1116" i="1"/>
  <c r="D1116" i="1"/>
  <c r="C1116" i="1"/>
  <c r="B1116" i="1"/>
  <c r="M1115" i="1"/>
  <c r="H1115" i="1"/>
  <c r="F1115" i="1"/>
  <c r="E1115" i="1"/>
  <c r="D1115" i="1"/>
  <c r="C1115" i="1"/>
  <c r="B1115" i="1"/>
  <c r="M1114" i="1"/>
  <c r="H1114" i="1"/>
  <c r="F1114" i="1"/>
  <c r="E1114" i="1"/>
  <c r="D1114" i="1"/>
  <c r="C1114" i="1"/>
  <c r="B1114" i="1"/>
  <c r="M1113" i="1"/>
  <c r="H1113" i="1"/>
  <c r="F1113" i="1"/>
  <c r="E1113" i="1"/>
  <c r="D1113" i="1"/>
  <c r="C1113" i="1"/>
  <c r="B1113" i="1"/>
  <c r="M1112" i="1"/>
  <c r="H1112" i="1"/>
  <c r="F1112" i="1"/>
  <c r="E1112" i="1"/>
  <c r="D1112" i="1"/>
  <c r="C1112" i="1"/>
  <c r="B1112" i="1"/>
  <c r="M1111" i="1"/>
  <c r="H1111" i="1"/>
  <c r="F1111" i="1"/>
  <c r="E1111" i="1"/>
  <c r="D1111" i="1"/>
  <c r="C1111" i="1"/>
  <c r="B1111" i="1"/>
  <c r="M1110" i="1"/>
  <c r="H1110" i="1"/>
  <c r="F1110" i="1"/>
  <c r="E1110" i="1"/>
  <c r="D1110" i="1"/>
  <c r="C1110" i="1"/>
  <c r="B1110" i="1"/>
  <c r="M1109" i="1"/>
  <c r="H1109" i="1"/>
  <c r="F1109" i="1"/>
  <c r="E1109" i="1"/>
  <c r="D1109" i="1"/>
  <c r="C1109" i="1"/>
  <c r="B1109" i="1"/>
  <c r="M1108" i="1"/>
  <c r="H1108" i="1"/>
  <c r="F1108" i="1"/>
  <c r="E1108" i="1"/>
  <c r="D1108" i="1"/>
  <c r="C1108" i="1"/>
  <c r="B1108" i="1"/>
  <c r="M1107" i="1"/>
  <c r="H1107" i="1"/>
  <c r="F1107" i="1"/>
  <c r="E1107" i="1"/>
  <c r="D1107" i="1"/>
  <c r="C1107" i="1"/>
  <c r="B1107" i="1"/>
  <c r="M1106" i="1"/>
  <c r="H1106" i="1"/>
  <c r="F1106" i="1"/>
  <c r="E1106" i="1"/>
  <c r="D1106" i="1"/>
  <c r="C1106" i="1"/>
  <c r="B1106" i="1"/>
  <c r="M1105" i="1"/>
  <c r="H1105" i="1"/>
  <c r="F1105" i="1"/>
  <c r="E1105" i="1"/>
  <c r="D1105" i="1"/>
  <c r="C1105" i="1"/>
  <c r="B1105" i="1"/>
  <c r="M1104" i="1"/>
  <c r="H1104" i="1"/>
  <c r="F1104" i="1"/>
  <c r="E1104" i="1"/>
  <c r="D1104" i="1"/>
  <c r="C1104" i="1"/>
  <c r="B1104" i="1"/>
  <c r="M1103" i="1"/>
  <c r="H1103" i="1"/>
  <c r="F1103" i="1"/>
  <c r="E1103" i="1"/>
  <c r="D1103" i="1"/>
  <c r="C1103" i="1"/>
  <c r="B1103" i="1"/>
  <c r="M1102" i="1"/>
  <c r="H1102" i="1"/>
  <c r="F1102" i="1"/>
  <c r="E1102" i="1"/>
  <c r="D1102" i="1"/>
  <c r="C1102" i="1"/>
  <c r="B1102" i="1"/>
  <c r="M1101" i="1"/>
  <c r="H1101" i="1"/>
  <c r="F1101" i="1"/>
  <c r="E1101" i="1"/>
  <c r="D1101" i="1"/>
  <c r="C1101" i="1"/>
  <c r="B1101" i="1"/>
  <c r="M1100" i="1"/>
  <c r="H1100" i="1"/>
  <c r="F1100" i="1"/>
  <c r="E1100" i="1"/>
  <c r="D1100" i="1"/>
  <c r="C1100" i="1"/>
  <c r="B1100" i="1"/>
  <c r="M1099" i="1"/>
  <c r="H1099" i="1"/>
  <c r="F1099" i="1"/>
  <c r="E1099" i="1"/>
  <c r="D1099" i="1"/>
  <c r="C1099" i="1"/>
  <c r="B1099" i="1"/>
  <c r="M1098" i="1"/>
  <c r="H1098" i="1"/>
  <c r="F1098" i="1"/>
  <c r="E1098" i="1"/>
  <c r="D1098" i="1"/>
  <c r="C1098" i="1"/>
  <c r="B1098" i="1"/>
  <c r="M1097" i="1"/>
  <c r="H1097" i="1"/>
  <c r="F1097" i="1"/>
  <c r="E1097" i="1"/>
  <c r="D1097" i="1"/>
  <c r="C1097" i="1"/>
  <c r="B1097" i="1"/>
  <c r="M1096" i="1"/>
  <c r="H1096" i="1"/>
  <c r="F1096" i="1"/>
  <c r="E1096" i="1"/>
  <c r="D1096" i="1"/>
  <c r="C1096" i="1"/>
  <c r="B1096" i="1"/>
  <c r="M1095" i="1"/>
  <c r="H1095" i="1"/>
  <c r="F1095" i="1"/>
  <c r="E1095" i="1"/>
  <c r="D1095" i="1"/>
  <c r="C1095" i="1"/>
  <c r="B1095" i="1"/>
  <c r="M1094" i="1"/>
  <c r="H1094" i="1"/>
  <c r="F1094" i="1"/>
  <c r="E1094" i="1"/>
  <c r="D1094" i="1"/>
  <c r="C1094" i="1"/>
  <c r="B1094" i="1"/>
  <c r="M1093" i="1"/>
  <c r="H1093" i="1"/>
  <c r="F1093" i="1"/>
  <c r="E1093" i="1"/>
  <c r="D1093" i="1"/>
  <c r="C1093" i="1"/>
  <c r="B1093" i="1"/>
  <c r="M1092" i="1"/>
  <c r="H1092" i="1"/>
  <c r="F1092" i="1"/>
  <c r="E1092" i="1"/>
  <c r="D1092" i="1"/>
  <c r="C1092" i="1"/>
  <c r="B1092" i="1"/>
  <c r="M1091" i="1"/>
  <c r="H1091" i="1"/>
  <c r="F1091" i="1"/>
  <c r="E1091" i="1"/>
  <c r="D1091" i="1"/>
  <c r="C1091" i="1"/>
  <c r="B1091" i="1"/>
  <c r="M1090" i="1"/>
  <c r="H1090" i="1"/>
  <c r="F1090" i="1"/>
  <c r="E1090" i="1"/>
  <c r="D1090" i="1"/>
  <c r="C1090" i="1"/>
  <c r="B1090" i="1"/>
  <c r="M1089" i="1"/>
  <c r="H1089" i="1"/>
  <c r="F1089" i="1"/>
  <c r="E1089" i="1"/>
  <c r="D1089" i="1"/>
  <c r="C1089" i="1"/>
  <c r="B1089" i="1"/>
  <c r="M1088" i="1"/>
  <c r="H1088" i="1"/>
  <c r="F1088" i="1"/>
  <c r="E1088" i="1"/>
  <c r="D1088" i="1"/>
  <c r="C1088" i="1"/>
  <c r="B1088" i="1"/>
  <c r="M1087" i="1"/>
  <c r="H1087" i="1"/>
  <c r="F1087" i="1"/>
  <c r="E1087" i="1"/>
  <c r="D1087" i="1"/>
  <c r="C1087" i="1"/>
  <c r="B1087" i="1"/>
  <c r="M1086" i="1"/>
  <c r="H1086" i="1"/>
  <c r="F1086" i="1"/>
  <c r="E1086" i="1"/>
  <c r="D1086" i="1"/>
  <c r="C1086" i="1"/>
  <c r="B1086" i="1"/>
  <c r="M1085" i="1"/>
  <c r="H1085" i="1"/>
  <c r="F1085" i="1"/>
  <c r="E1085" i="1"/>
  <c r="D1085" i="1"/>
  <c r="C1085" i="1"/>
  <c r="B1085" i="1"/>
  <c r="M1084" i="1"/>
  <c r="H1084" i="1"/>
  <c r="F1084" i="1"/>
  <c r="E1084" i="1"/>
  <c r="D1084" i="1"/>
  <c r="C1084" i="1"/>
  <c r="B1084" i="1"/>
  <c r="M1083" i="1"/>
  <c r="H1083" i="1"/>
  <c r="F1083" i="1"/>
  <c r="E1083" i="1"/>
  <c r="D1083" i="1"/>
  <c r="C1083" i="1"/>
  <c r="B1083" i="1"/>
  <c r="M1082" i="1"/>
  <c r="H1082" i="1"/>
  <c r="F1082" i="1"/>
  <c r="E1082" i="1"/>
  <c r="D1082" i="1"/>
  <c r="C1082" i="1"/>
  <c r="B1082" i="1"/>
  <c r="M1081" i="1"/>
  <c r="H1081" i="1"/>
  <c r="F1081" i="1"/>
  <c r="E1081" i="1"/>
  <c r="D1081" i="1"/>
  <c r="C1081" i="1"/>
  <c r="B1081" i="1"/>
  <c r="M1080" i="1"/>
  <c r="H1080" i="1"/>
  <c r="F1080" i="1"/>
  <c r="E1080" i="1"/>
  <c r="D1080" i="1"/>
  <c r="C1080" i="1"/>
  <c r="B1080" i="1"/>
  <c r="M1079" i="1"/>
  <c r="H1079" i="1"/>
  <c r="F1079" i="1"/>
  <c r="E1079" i="1"/>
  <c r="D1079" i="1"/>
  <c r="C1079" i="1"/>
  <c r="B1079" i="1"/>
  <c r="M1078" i="1"/>
  <c r="H1078" i="1"/>
  <c r="F1078" i="1"/>
  <c r="E1078" i="1"/>
  <c r="D1078" i="1"/>
  <c r="C1078" i="1"/>
  <c r="B1078" i="1"/>
  <c r="M1077" i="1"/>
  <c r="H1077" i="1"/>
  <c r="F1077" i="1"/>
  <c r="E1077" i="1"/>
  <c r="D1077" i="1"/>
  <c r="C1077" i="1"/>
  <c r="B1077" i="1"/>
  <c r="M1076" i="1"/>
  <c r="H1076" i="1"/>
  <c r="F1076" i="1"/>
  <c r="E1076" i="1"/>
  <c r="D1076" i="1"/>
  <c r="C1076" i="1"/>
  <c r="B1076" i="1"/>
  <c r="M1075" i="1"/>
  <c r="H1075" i="1"/>
  <c r="F1075" i="1"/>
  <c r="E1075" i="1"/>
  <c r="D1075" i="1"/>
  <c r="C1075" i="1"/>
  <c r="B1075" i="1"/>
  <c r="M1074" i="1"/>
  <c r="H1074" i="1"/>
  <c r="F1074" i="1"/>
  <c r="E1074" i="1"/>
  <c r="D1074" i="1"/>
  <c r="C1074" i="1"/>
  <c r="B1074" i="1"/>
  <c r="M1073" i="1"/>
  <c r="H1073" i="1"/>
  <c r="F1073" i="1"/>
  <c r="E1073" i="1"/>
  <c r="D1073" i="1"/>
  <c r="C1073" i="1"/>
  <c r="B1073" i="1"/>
  <c r="M1072" i="1"/>
  <c r="H1072" i="1"/>
  <c r="F1072" i="1"/>
  <c r="E1072" i="1"/>
  <c r="D1072" i="1"/>
  <c r="C1072" i="1"/>
  <c r="B1072" i="1"/>
  <c r="M1071" i="1"/>
  <c r="H1071" i="1"/>
  <c r="F1071" i="1"/>
  <c r="E1071" i="1"/>
  <c r="D1071" i="1"/>
  <c r="C1071" i="1"/>
  <c r="B1071" i="1"/>
  <c r="M1070" i="1"/>
  <c r="H1070" i="1"/>
  <c r="F1070" i="1"/>
  <c r="E1070" i="1"/>
  <c r="D1070" i="1"/>
  <c r="C1070" i="1"/>
  <c r="B1070" i="1"/>
  <c r="M1069" i="1"/>
  <c r="H1069" i="1"/>
  <c r="F1069" i="1"/>
  <c r="E1069" i="1"/>
  <c r="D1069" i="1"/>
  <c r="C1069" i="1"/>
  <c r="B1069" i="1"/>
  <c r="M1068" i="1"/>
  <c r="H1068" i="1"/>
  <c r="F1068" i="1"/>
  <c r="E1068" i="1"/>
  <c r="D1068" i="1"/>
  <c r="C1068" i="1"/>
  <c r="B1068" i="1"/>
  <c r="M1067" i="1"/>
  <c r="H1067" i="1"/>
  <c r="F1067" i="1"/>
  <c r="E1067" i="1"/>
  <c r="D1067" i="1"/>
  <c r="C1067" i="1"/>
  <c r="B1067" i="1"/>
  <c r="M1066" i="1"/>
  <c r="H1066" i="1"/>
  <c r="F1066" i="1"/>
  <c r="E1066" i="1"/>
  <c r="D1066" i="1"/>
  <c r="C1066" i="1"/>
  <c r="B1066" i="1"/>
  <c r="M1065" i="1"/>
  <c r="H1065" i="1"/>
  <c r="F1065" i="1"/>
  <c r="E1065" i="1"/>
  <c r="D1065" i="1"/>
  <c r="C1065" i="1"/>
  <c r="B1065" i="1"/>
  <c r="M1064" i="1"/>
  <c r="H1064" i="1"/>
  <c r="F1064" i="1"/>
  <c r="E1064" i="1"/>
  <c r="D1064" i="1"/>
  <c r="C1064" i="1"/>
  <c r="B1064" i="1"/>
  <c r="M1063" i="1"/>
  <c r="H1063" i="1"/>
  <c r="F1063" i="1"/>
  <c r="E1063" i="1"/>
  <c r="D1063" i="1"/>
  <c r="C1063" i="1"/>
  <c r="B1063" i="1"/>
  <c r="M1062" i="1"/>
  <c r="H1062" i="1"/>
  <c r="F1062" i="1"/>
  <c r="E1062" i="1"/>
  <c r="D1062" i="1"/>
  <c r="C1062" i="1"/>
  <c r="B1062" i="1"/>
  <c r="M1061" i="1"/>
  <c r="H1061" i="1"/>
  <c r="F1061" i="1"/>
  <c r="E1061" i="1"/>
  <c r="D1061" i="1"/>
  <c r="C1061" i="1"/>
  <c r="B1061" i="1"/>
  <c r="M1060" i="1"/>
  <c r="H1060" i="1"/>
  <c r="F1060" i="1"/>
  <c r="E1060" i="1"/>
  <c r="D1060" i="1"/>
  <c r="C1060" i="1"/>
  <c r="B1060" i="1"/>
  <c r="M1059" i="1"/>
  <c r="H1059" i="1"/>
  <c r="F1059" i="1"/>
  <c r="E1059" i="1"/>
  <c r="D1059" i="1"/>
  <c r="C1059" i="1"/>
  <c r="B1059" i="1"/>
  <c r="M1058" i="1"/>
  <c r="H1058" i="1"/>
  <c r="F1058" i="1"/>
  <c r="E1058" i="1"/>
  <c r="D1058" i="1"/>
  <c r="C1058" i="1"/>
  <c r="B1058" i="1"/>
  <c r="M1057" i="1"/>
  <c r="H1057" i="1"/>
  <c r="F1057" i="1"/>
  <c r="E1057" i="1"/>
  <c r="D1057" i="1"/>
  <c r="C1057" i="1"/>
  <c r="B1057" i="1"/>
  <c r="M1056" i="1"/>
  <c r="H1056" i="1"/>
  <c r="F1056" i="1"/>
  <c r="E1056" i="1"/>
  <c r="D1056" i="1"/>
  <c r="C1056" i="1"/>
  <c r="B1056" i="1"/>
  <c r="M1055" i="1"/>
  <c r="H1055" i="1"/>
  <c r="F1055" i="1"/>
  <c r="E1055" i="1"/>
  <c r="D1055" i="1"/>
  <c r="C1055" i="1"/>
  <c r="B1055" i="1"/>
  <c r="M1054" i="1"/>
  <c r="H1054" i="1"/>
  <c r="F1054" i="1"/>
  <c r="E1054" i="1"/>
  <c r="D1054" i="1"/>
  <c r="C1054" i="1"/>
  <c r="B1054" i="1"/>
  <c r="M1053" i="1"/>
  <c r="H1053" i="1"/>
  <c r="F1053" i="1"/>
  <c r="E1053" i="1"/>
  <c r="D1053" i="1"/>
  <c r="C1053" i="1"/>
  <c r="B1053" i="1"/>
  <c r="M1052" i="1"/>
  <c r="H1052" i="1"/>
  <c r="F1052" i="1"/>
  <c r="E1052" i="1"/>
  <c r="D1052" i="1"/>
  <c r="C1052" i="1"/>
  <c r="B1052" i="1"/>
  <c r="M1051" i="1"/>
  <c r="H1051" i="1"/>
  <c r="F1051" i="1"/>
  <c r="E1051" i="1"/>
  <c r="D1051" i="1"/>
  <c r="C1051" i="1"/>
  <c r="B1051" i="1"/>
  <c r="M1050" i="1"/>
  <c r="H1050" i="1"/>
  <c r="F1050" i="1"/>
  <c r="E1050" i="1"/>
  <c r="D1050" i="1"/>
  <c r="C1050" i="1"/>
  <c r="B1050" i="1"/>
  <c r="M1049" i="1"/>
  <c r="H1049" i="1"/>
  <c r="F1049" i="1"/>
  <c r="E1049" i="1"/>
  <c r="D1049" i="1"/>
  <c r="C1049" i="1"/>
  <c r="B1049" i="1"/>
  <c r="M1048" i="1"/>
  <c r="H1048" i="1"/>
  <c r="F1048" i="1"/>
  <c r="E1048" i="1"/>
  <c r="D1048" i="1"/>
  <c r="C1048" i="1"/>
  <c r="B1048" i="1"/>
  <c r="M1047" i="1"/>
  <c r="H1047" i="1"/>
  <c r="F1047" i="1"/>
  <c r="E1047" i="1"/>
  <c r="D1047" i="1"/>
  <c r="C1047" i="1"/>
  <c r="B1047" i="1"/>
  <c r="M1046" i="1"/>
  <c r="H1046" i="1"/>
  <c r="F1046" i="1"/>
  <c r="E1046" i="1"/>
  <c r="D1046" i="1"/>
  <c r="C1046" i="1"/>
  <c r="B1046" i="1"/>
  <c r="M1045" i="1"/>
  <c r="H1045" i="1"/>
  <c r="F1045" i="1"/>
  <c r="E1045" i="1"/>
  <c r="D1045" i="1"/>
  <c r="C1045" i="1"/>
  <c r="B1045" i="1"/>
  <c r="M1044" i="1"/>
  <c r="H1044" i="1"/>
  <c r="F1044" i="1"/>
  <c r="E1044" i="1"/>
  <c r="D1044" i="1"/>
  <c r="C1044" i="1"/>
  <c r="B1044" i="1"/>
  <c r="M1043" i="1"/>
  <c r="H1043" i="1"/>
  <c r="F1043" i="1"/>
  <c r="E1043" i="1"/>
  <c r="D1043" i="1"/>
  <c r="C1043" i="1"/>
  <c r="B1043" i="1"/>
  <c r="M1042" i="1"/>
  <c r="H1042" i="1"/>
  <c r="F1042" i="1"/>
  <c r="E1042" i="1"/>
  <c r="D1042" i="1"/>
  <c r="C1042" i="1"/>
  <c r="B1042" i="1"/>
  <c r="M1041" i="1"/>
  <c r="H1041" i="1"/>
  <c r="F1041" i="1"/>
  <c r="E1041" i="1"/>
  <c r="D1041" i="1"/>
  <c r="C1041" i="1"/>
  <c r="B1041" i="1"/>
  <c r="M1040" i="1"/>
  <c r="H1040" i="1"/>
  <c r="F1040" i="1"/>
  <c r="E1040" i="1"/>
  <c r="D1040" i="1"/>
  <c r="C1040" i="1"/>
  <c r="B1040" i="1"/>
  <c r="M1039" i="1"/>
  <c r="H1039" i="1"/>
  <c r="F1039" i="1"/>
  <c r="E1039" i="1"/>
  <c r="D1039" i="1"/>
  <c r="C1039" i="1"/>
  <c r="B1039" i="1"/>
  <c r="M1038" i="1"/>
  <c r="H1038" i="1"/>
  <c r="F1038" i="1"/>
  <c r="E1038" i="1"/>
  <c r="D1038" i="1"/>
  <c r="C1038" i="1"/>
  <c r="B1038" i="1"/>
  <c r="M1037" i="1"/>
  <c r="H1037" i="1"/>
  <c r="F1037" i="1"/>
  <c r="E1037" i="1"/>
  <c r="D1037" i="1"/>
  <c r="C1037" i="1"/>
  <c r="B1037" i="1"/>
  <c r="M1036" i="1"/>
  <c r="H1036" i="1"/>
  <c r="F1036" i="1"/>
  <c r="E1036" i="1"/>
  <c r="D1036" i="1"/>
  <c r="C1036" i="1"/>
  <c r="B1036" i="1"/>
  <c r="M1035" i="1"/>
  <c r="H1035" i="1"/>
  <c r="F1035" i="1"/>
  <c r="E1035" i="1"/>
  <c r="D1035" i="1"/>
  <c r="C1035" i="1"/>
  <c r="B1035" i="1"/>
  <c r="M1034" i="1"/>
  <c r="H1034" i="1"/>
  <c r="F1034" i="1"/>
  <c r="E1034" i="1"/>
  <c r="D1034" i="1"/>
  <c r="C1034" i="1"/>
  <c r="B1034" i="1"/>
  <c r="M1033" i="1"/>
  <c r="H1033" i="1"/>
  <c r="F1033" i="1"/>
  <c r="E1033" i="1"/>
  <c r="D1033" i="1"/>
  <c r="C1033" i="1"/>
  <c r="B1033" i="1"/>
  <c r="M1032" i="1"/>
  <c r="H1032" i="1"/>
  <c r="F1032" i="1"/>
  <c r="E1032" i="1"/>
  <c r="D1032" i="1"/>
  <c r="C1032" i="1"/>
  <c r="B1032" i="1"/>
  <c r="M1031" i="1"/>
  <c r="H1031" i="1"/>
  <c r="F1031" i="1"/>
  <c r="E1031" i="1"/>
  <c r="D1031" i="1"/>
  <c r="C1031" i="1"/>
  <c r="B1031" i="1"/>
  <c r="M1030" i="1"/>
  <c r="H1030" i="1"/>
  <c r="F1030" i="1"/>
  <c r="E1030" i="1"/>
  <c r="D1030" i="1"/>
  <c r="C1030" i="1"/>
  <c r="B1030" i="1"/>
  <c r="M1029" i="1"/>
  <c r="H1029" i="1"/>
  <c r="F1029" i="1"/>
  <c r="E1029" i="1"/>
  <c r="D1029" i="1"/>
  <c r="C1029" i="1"/>
  <c r="B1029" i="1"/>
  <c r="M1028" i="1"/>
  <c r="H1028" i="1"/>
  <c r="F1028" i="1"/>
  <c r="E1028" i="1"/>
  <c r="D1028" i="1"/>
  <c r="C1028" i="1"/>
  <c r="B1028" i="1"/>
  <c r="M1027" i="1"/>
  <c r="H1027" i="1"/>
  <c r="F1027" i="1"/>
  <c r="E1027" i="1"/>
  <c r="D1027" i="1"/>
  <c r="C1027" i="1"/>
  <c r="B1027" i="1"/>
  <c r="M1026" i="1"/>
  <c r="H1026" i="1"/>
  <c r="F1026" i="1"/>
  <c r="E1026" i="1"/>
  <c r="D1026" i="1"/>
  <c r="C1026" i="1"/>
  <c r="B1026" i="1"/>
  <c r="M1025" i="1"/>
  <c r="H1025" i="1"/>
  <c r="F1025" i="1"/>
  <c r="E1025" i="1"/>
  <c r="D1025" i="1"/>
  <c r="C1025" i="1"/>
  <c r="B1025" i="1"/>
  <c r="M1024" i="1"/>
  <c r="H1024" i="1"/>
  <c r="F1024" i="1"/>
  <c r="E1024" i="1"/>
  <c r="D1024" i="1"/>
  <c r="C1024" i="1"/>
  <c r="B1024" i="1"/>
  <c r="M1023" i="1"/>
  <c r="H1023" i="1"/>
  <c r="F1023" i="1"/>
  <c r="E1023" i="1"/>
  <c r="D1023" i="1"/>
  <c r="C1023" i="1"/>
  <c r="B1023" i="1"/>
  <c r="M1022" i="1"/>
  <c r="H1022" i="1"/>
  <c r="F1022" i="1"/>
  <c r="E1022" i="1"/>
  <c r="D1022" i="1"/>
  <c r="C1022" i="1"/>
  <c r="B1022" i="1"/>
  <c r="M1021" i="1"/>
  <c r="H1021" i="1"/>
  <c r="F1021" i="1"/>
  <c r="E1021" i="1"/>
  <c r="D1021" i="1"/>
  <c r="C1021" i="1"/>
  <c r="B1021" i="1"/>
  <c r="M1020" i="1"/>
  <c r="H1020" i="1"/>
  <c r="F1020" i="1"/>
  <c r="E1020" i="1"/>
  <c r="D1020" i="1"/>
  <c r="C1020" i="1"/>
  <c r="B1020" i="1"/>
  <c r="M1019" i="1"/>
  <c r="H1019" i="1"/>
  <c r="F1019" i="1"/>
  <c r="E1019" i="1"/>
  <c r="D1019" i="1"/>
  <c r="C1019" i="1"/>
  <c r="B1019" i="1"/>
  <c r="M1018" i="1"/>
  <c r="H1018" i="1"/>
  <c r="F1018" i="1"/>
  <c r="E1018" i="1"/>
  <c r="D1018" i="1"/>
  <c r="C1018" i="1"/>
  <c r="B1018" i="1"/>
  <c r="M1017" i="1"/>
  <c r="H1017" i="1"/>
  <c r="F1017" i="1"/>
  <c r="E1017" i="1"/>
  <c r="D1017" i="1"/>
  <c r="C1017" i="1"/>
  <c r="B1017" i="1"/>
  <c r="M1016" i="1"/>
  <c r="H1016" i="1"/>
  <c r="F1016" i="1"/>
  <c r="E1016" i="1"/>
  <c r="D1016" i="1"/>
  <c r="C1016" i="1"/>
  <c r="B1016" i="1"/>
  <c r="M1015" i="1"/>
  <c r="H1015" i="1"/>
  <c r="F1015" i="1"/>
  <c r="E1015" i="1"/>
  <c r="D1015" i="1"/>
  <c r="C1015" i="1"/>
  <c r="B1015" i="1"/>
  <c r="M1014" i="1"/>
  <c r="H1014" i="1"/>
  <c r="F1014" i="1"/>
  <c r="E1014" i="1"/>
  <c r="D1014" i="1"/>
  <c r="C1014" i="1"/>
  <c r="B1014" i="1"/>
  <c r="M1013" i="1"/>
  <c r="H1013" i="1"/>
  <c r="F1013" i="1"/>
  <c r="E1013" i="1"/>
  <c r="D1013" i="1"/>
  <c r="C1013" i="1"/>
  <c r="B1013" i="1"/>
  <c r="M1012" i="1"/>
  <c r="H1012" i="1"/>
  <c r="F1012" i="1"/>
  <c r="E1012" i="1"/>
  <c r="D1012" i="1"/>
  <c r="C1012" i="1"/>
  <c r="B1012" i="1"/>
  <c r="M1011" i="1"/>
  <c r="H1011" i="1"/>
  <c r="F1011" i="1"/>
  <c r="E1011" i="1"/>
  <c r="D1011" i="1"/>
  <c r="C1011" i="1"/>
  <c r="B1011" i="1"/>
  <c r="M1010" i="1"/>
  <c r="H1010" i="1"/>
  <c r="F1010" i="1"/>
  <c r="E1010" i="1"/>
  <c r="D1010" i="1"/>
  <c r="C1010" i="1"/>
  <c r="B1010" i="1"/>
  <c r="M1009" i="1"/>
  <c r="H1009" i="1"/>
  <c r="F1009" i="1"/>
  <c r="E1009" i="1"/>
  <c r="D1009" i="1"/>
  <c r="C1009" i="1"/>
  <c r="B1009" i="1"/>
  <c r="M1008" i="1"/>
  <c r="H1008" i="1"/>
  <c r="F1008" i="1"/>
  <c r="E1008" i="1"/>
  <c r="D1008" i="1"/>
  <c r="C1008" i="1"/>
  <c r="B1008" i="1"/>
  <c r="M1007" i="1"/>
  <c r="H1007" i="1"/>
  <c r="F1007" i="1"/>
  <c r="E1007" i="1"/>
  <c r="D1007" i="1"/>
  <c r="C1007" i="1"/>
  <c r="B1007" i="1"/>
  <c r="M1006" i="1"/>
  <c r="H1006" i="1"/>
  <c r="F1006" i="1"/>
  <c r="E1006" i="1"/>
  <c r="D1006" i="1"/>
  <c r="C1006" i="1"/>
  <c r="B1006" i="1"/>
  <c r="M1005" i="1"/>
  <c r="H1005" i="1"/>
  <c r="F1005" i="1"/>
  <c r="E1005" i="1"/>
  <c r="D1005" i="1"/>
  <c r="C1005" i="1"/>
  <c r="B1005" i="1"/>
  <c r="M1004" i="1"/>
  <c r="H1004" i="1"/>
  <c r="F1004" i="1"/>
  <c r="E1004" i="1"/>
  <c r="D1004" i="1"/>
  <c r="C1004" i="1"/>
  <c r="B1004" i="1"/>
  <c r="M1003" i="1"/>
  <c r="H1003" i="1"/>
  <c r="F1003" i="1"/>
  <c r="E1003" i="1"/>
  <c r="D1003" i="1"/>
  <c r="C1003" i="1"/>
  <c r="B1003" i="1"/>
  <c r="M1002" i="1"/>
  <c r="H1002" i="1"/>
  <c r="F1002" i="1"/>
  <c r="E1002" i="1"/>
  <c r="D1002" i="1"/>
  <c r="C1002" i="1"/>
  <c r="B1002" i="1"/>
  <c r="M1001" i="1"/>
  <c r="H1001" i="1"/>
  <c r="F1001" i="1"/>
  <c r="E1001" i="1"/>
  <c r="D1001" i="1"/>
  <c r="C1001" i="1"/>
  <c r="B1001" i="1"/>
  <c r="M1000" i="1"/>
  <c r="H1000" i="1"/>
  <c r="F1000" i="1"/>
  <c r="E1000" i="1"/>
  <c r="D1000" i="1"/>
  <c r="C1000" i="1"/>
  <c r="B1000" i="1"/>
  <c r="M999" i="1"/>
  <c r="H999" i="1"/>
  <c r="F999" i="1"/>
  <c r="E999" i="1"/>
  <c r="D999" i="1"/>
  <c r="C999" i="1"/>
  <c r="B999" i="1"/>
  <c r="M998" i="1"/>
  <c r="H998" i="1"/>
  <c r="F998" i="1"/>
  <c r="E998" i="1"/>
  <c r="D998" i="1"/>
  <c r="C998" i="1"/>
  <c r="B998" i="1"/>
  <c r="M997" i="1"/>
  <c r="H997" i="1"/>
  <c r="F997" i="1"/>
  <c r="E997" i="1"/>
  <c r="D997" i="1"/>
  <c r="C997" i="1"/>
  <c r="B997" i="1"/>
  <c r="M996" i="1"/>
  <c r="H996" i="1"/>
  <c r="F996" i="1"/>
  <c r="E996" i="1"/>
  <c r="D996" i="1"/>
  <c r="C996" i="1"/>
  <c r="B996" i="1"/>
  <c r="M995" i="1"/>
  <c r="H995" i="1"/>
  <c r="F995" i="1"/>
  <c r="E995" i="1"/>
  <c r="D995" i="1"/>
  <c r="C995" i="1"/>
  <c r="B995" i="1"/>
  <c r="M994" i="1"/>
  <c r="H994" i="1"/>
  <c r="F994" i="1"/>
  <c r="E994" i="1"/>
  <c r="D994" i="1"/>
  <c r="C994" i="1"/>
  <c r="B994" i="1"/>
  <c r="M993" i="1"/>
  <c r="H993" i="1"/>
  <c r="F993" i="1"/>
  <c r="E993" i="1"/>
  <c r="D993" i="1"/>
  <c r="C993" i="1"/>
  <c r="B993" i="1"/>
  <c r="M992" i="1"/>
  <c r="H992" i="1"/>
  <c r="F992" i="1"/>
  <c r="E992" i="1"/>
  <c r="D992" i="1"/>
  <c r="C992" i="1"/>
  <c r="B992" i="1"/>
  <c r="M991" i="1"/>
  <c r="H991" i="1"/>
  <c r="F991" i="1"/>
  <c r="E991" i="1"/>
  <c r="D991" i="1"/>
  <c r="C991" i="1"/>
  <c r="B991" i="1"/>
  <c r="M990" i="1"/>
  <c r="H990" i="1"/>
  <c r="F990" i="1"/>
  <c r="E990" i="1"/>
  <c r="D990" i="1"/>
  <c r="C990" i="1"/>
  <c r="B990" i="1"/>
  <c r="M989" i="1"/>
  <c r="H989" i="1"/>
  <c r="F989" i="1"/>
  <c r="E989" i="1"/>
  <c r="D989" i="1"/>
  <c r="C989" i="1"/>
  <c r="B989" i="1"/>
  <c r="M988" i="1"/>
  <c r="H988" i="1"/>
  <c r="F988" i="1"/>
  <c r="E988" i="1"/>
  <c r="D988" i="1"/>
  <c r="C988" i="1"/>
  <c r="B988" i="1"/>
  <c r="M987" i="1"/>
  <c r="H987" i="1"/>
  <c r="F987" i="1"/>
  <c r="E987" i="1"/>
  <c r="D987" i="1"/>
  <c r="C987" i="1"/>
  <c r="B987" i="1"/>
  <c r="M986" i="1"/>
  <c r="H986" i="1"/>
  <c r="F986" i="1"/>
  <c r="E986" i="1"/>
  <c r="D986" i="1"/>
  <c r="C986" i="1"/>
  <c r="B986" i="1"/>
  <c r="M985" i="1"/>
  <c r="H985" i="1"/>
  <c r="F985" i="1"/>
  <c r="E985" i="1"/>
  <c r="D985" i="1"/>
  <c r="C985" i="1"/>
  <c r="B985" i="1"/>
  <c r="M984" i="1"/>
  <c r="H984" i="1"/>
  <c r="F984" i="1"/>
  <c r="E984" i="1"/>
  <c r="D984" i="1"/>
  <c r="C984" i="1"/>
  <c r="B984" i="1"/>
  <c r="M983" i="1"/>
  <c r="H983" i="1"/>
  <c r="F983" i="1"/>
  <c r="E983" i="1"/>
  <c r="D983" i="1"/>
  <c r="C983" i="1"/>
  <c r="B983" i="1"/>
  <c r="M982" i="1"/>
  <c r="H982" i="1"/>
  <c r="F982" i="1"/>
  <c r="E982" i="1"/>
  <c r="D982" i="1"/>
  <c r="C982" i="1"/>
  <c r="B982" i="1"/>
  <c r="M981" i="1"/>
  <c r="H981" i="1"/>
  <c r="F981" i="1"/>
  <c r="E981" i="1"/>
  <c r="D981" i="1"/>
  <c r="C981" i="1"/>
  <c r="B981" i="1"/>
  <c r="M980" i="1"/>
  <c r="H980" i="1"/>
  <c r="F980" i="1"/>
  <c r="E980" i="1"/>
  <c r="D980" i="1"/>
  <c r="C980" i="1"/>
  <c r="B980" i="1"/>
  <c r="M979" i="1"/>
  <c r="H979" i="1"/>
  <c r="F979" i="1"/>
  <c r="E979" i="1"/>
  <c r="D979" i="1"/>
  <c r="C979" i="1"/>
  <c r="B979" i="1"/>
  <c r="M978" i="1"/>
  <c r="H978" i="1"/>
  <c r="F978" i="1"/>
  <c r="E978" i="1"/>
  <c r="D978" i="1"/>
  <c r="C978" i="1"/>
  <c r="B978" i="1"/>
  <c r="M977" i="1"/>
  <c r="H977" i="1"/>
  <c r="F977" i="1"/>
  <c r="E977" i="1"/>
  <c r="D977" i="1"/>
  <c r="C977" i="1"/>
  <c r="B977" i="1"/>
  <c r="M976" i="1"/>
  <c r="H976" i="1"/>
  <c r="F976" i="1"/>
  <c r="E976" i="1"/>
  <c r="D976" i="1"/>
  <c r="C976" i="1"/>
  <c r="B976" i="1"/>
  <c r="M975" i="1"/>
  <c r="H975" i="1"/>
  <c r="F975" i="1"/>
  <c r="E975" i="1"/>
  <c r="D975" i="1"/>
  <c r="C975" i="1"/>
  <c r="B975" i="1"/>
  <c r="M974" i="1"/>
  <c r="H974" i="1"/>
  <c r="F974" i="1"/>
  <c r="E974" i="1"/>
  <c r="D974" i="1"/>
  <c r="C974" i="1"/>
  <c r="B974" i="1"/>
  <c r="M973" i="1"/>
  <c r="H973" i="1"/>
  <c r="F973" i="1"/>
  <c r="E973" i="1"/>
  <c r="D973" i="1"/>
  <c r="C973" i="1"/>
  <c r="B973" i="1"/>
  <c r="M972" i="1"/>
  <c r="H972" i="1"/>
  <c r="F972" i="1"/>
  <c r="E972" i="1"/>
  <c r="D972" i="1"/>
  <c r="C972" i="1"/>
  <c r="B972" i="1"/>
  <c r="M971" i="1"/>
  <c r="H971" i="1"/>
  <c r="F971" i="1"/>
  <c r="E971" i="1"/>
  <c r="D971" i="1"/>
  <c r="C971" i="1"/>
  <c r="B971" i="1"/>
  <c r="M970" i="1"/>
  <c r="H970" i="1"/>
  <c r="F970" i="1"/>
  <c r="E970" i="1"/>
  <c r="D970" i="1"/>
  <c r="C970" i="1"/>
  <c r="B970" i="1"/>
  <c r="M969" i="1"/>
  <c r="H969" i="1"/>
  <c r="F969" i="1"/>
  <c r="E969" i="1"/>
  <c r="D969" i="1"/>
  <c r="C969" i="1"/>
  <c r="B969" i="1"/>
  <c r="M968" i="1"/>
  <c r="H968" i="1"/>
  <c r="F968" i="1"/>
  <c r="E968" i="1"/>
  <c r="D968" i="1"/>
  <c r="C968" i="1"/>
  <c r="B968" i="1"/>
  <c r="M967" i="1"/>
  <c r="H967" i="1"/>
  <c r="F967" i="1"/>
  <c r="E967" i="1"/>
  <c r="D967" i="1"/>
  <c r="C967" i="1"/>
  <c r="B967" i="1"/>
  <c r="M966" i="1"/>
  <c r="H966" i="1"/>
  <c r="F966" i="1"/>
  <c r="E966" i="1"/>
  <c r="D966" i="1"/>
  <c r="C966" i="1"/>
  <c r="B966" i="1"/>
  <c r="M965" i="1"/>
  <c r="H965" i="1"/>
  <c r="F965" i="1"/>
  <c r="E965" i="1"/>
  <c r="D965" i="1"/>
  <c r="C965" i="1"/>
  <c r="B965" i="1"/>
  <c r="M964" i="1"/>
  <c r="H964" i="1"/>
  <c r="F964" i="1"/>
  <c r="E964" i="1"/>
  <c r="D964" i="1"/>
  <c r="C964" i="1"/>
  <c r="B964" i="1"/>
  <c r="M963" i="1"/>
  <c r="H963" i="1"/>
  <c r="F963" i="1"/>
  <c r="E963" i="1"/>
  <c r="D963" i="1"/>
  <c r="C963" i="1"/>
  <c r="B963" i="1"/>
  <c r="M962" i="1"/>
  <c r="H962" i="1"/>
  <c r="F962" i="1"/>
  <c r="E962" i="1"/>
  <c r="D962" i="1"/>
  <c r="C962" i="1"/>
  <c r="B962" i="1"/>
  <c r="M961" i="1"/>
  <c r="H961" i="1"/>
  <c r="F961" i="1"/>
  <c r="E961" i="1"/>
  <c r="D961" i="1"/>
  <c r="C961" i="1"/>
  <c r="B961" i="1"/>
  <c r="M960" i="1"/>
  <c r="H960" i="1"/>
  <c r="F960" i="1"/>
  <c r="E960" i="1"/>
  <c r="D960" i="1"/>
  <c r="C960" i="1"/>
  <c r="B960" i="1"/>
  <c r="M959" i="1"/>
  <c r="H959" i="1"/>
  <c r="F959" i="1"/>
  <c r="E959" i="1"/>
  <c r="D959" i="1"/>
  <c r="C959" i="1"/>
  <c r="B959" i="1"/>
  <c r="M958" i="1"/>
  <c r="H958" i="1"/>
  <c r="F958" i="1"/>
  <c r="E958" i="1"/>
  <c r="D958" i="1"/>
  <c r="C958" i="1"/>
  <c r="B958" i="1"/>
  <c r="M957" i="1"/>
  <c r="H957" i="1"/>
  <c r="F957" i="1"/>
  <c r="E957" i="1"/>
  <c r="D957" i="1"/>
  <c r="C957" i="1"/>
  <c r="B957" i="1"/>
  <c r="M956" i="1"/>
  <c r="H956" i="1"/>
  <c r="F956" i="1"/>
  <c r="E956" i="1"/>
  <c r="D956" i="1"/>
  <c r="C956" i="1"/>
  <c r="B956" i="1"/>
  <c r="M955" i="1"/>
  <c r="H955" i="1"/>
  <c r="F955" i="1"/>
  <c r="E955" i="1"/>
  <c r="D955" i="1"/>
  <c r="C955" i="1"/>
  <c r="B955" i="1"/>
  <c r="M954" i="1"/>
  <c r="H954" i="1"/>
  <c r="F954" i="1"/>
  <c r="E954" i="1"/>
  <c r="D954" i="1"/>
  <c r="C954" i="1"/>
  <c r="B954" i="1"/>
  <c r="M953" i="1"/>
  <c r="H953" i="1"/>
  <c r="F953" i="1"/>
  <c r="E953" i="1"/>
  <c r="D953" i="1"/>
  <c r="C953" i="1"/>
  <c r="B953" i="1"/>
  <c r="M952" i="1"/>
  <c r="H952" i="1"/>
  <c r="F952" i="1"/>
  <c r="E952" i="1"/>
  <c r="D952" i="1"/>
  <c r="C952" i="1"/>
  <c r="B952" i="1"/>
  <c r="M951" i="1"/>
  <c r="H951" i="1"/>
  <c r="F951" i="1"/>
  <c r="E951" i="1"/>
  <c r="D951" i="1"/>
  <c r="C951" i="1"/>
  <c r="B951" i="1"/>
  <c r="M950" i="1"/>
  <c r="H950" i="1"/>
  <c r="F950" i="1"/>
  <c r="E950" i="1"/>
  <c r="D950" i="1"/>
  <c r="C950" i="1"/>
  <c r="B950" i="1"/>
  <c r="M949" i="1"/>
  <c r="H949" i="1"/>
  <c r="F949" i="1"/>
  <c r="E949" i="1"/>
  <c r="D949" i="1"/>
  <c r="C949" i="1"/>
  <c r="B949" i="1"/>
  <c r="M948" i="1"/>
  <c r="H948" i="1"/>
  <c r="F948" i="1"/>
  <c r="E948" i="1"/>
  <c r="D948" i="1"/>
  <c r="C948" i="1"/>
  <c r="B948" i="1"/>
  <c r="M947" i="1"/>
  <c r="H947" i="1"/>
  <c r="F947" i="1"/>
  <c r="E947" i="1"/>
  <c r="D947" i="1"/>
  <c r="C947" i="1"/>
  <c r="B947" i="1"/>
  <c r="M946" i="1"/>
  <c r="H946" i="1"/>
  <c r="F946" i="1"/>
  <c r="E946" i="1"/>
  <c r="D946" i="1"/>
  <c r="C946" i="1"/>
  <c r="B946" i="1"/>
  <c r="M945" i="1"/>
  <c r="H945" i="1"/>
  <c r="F945" i="1"/>
  <c r="E945" i="1"/>
  <c r="D945" i="1"/>
  <c r="C945" i="1"/>
  <c r="B945" i="1"/>
  <c r="M944" i="1"/>
  <c r="H944" i="1"/>
  <c r="F944" i="1"/>
  <c r="E944" i="1"/>
  <c r="D944" i="1"/>
  <c r="C944" i="1"/>
  <c r="B944" i="1"/>
  <c r="M943" i="1"/>
  <c r="H943" i="1"/>
  <c r="F943" i="1"/>
  <c r="E943" i="1"/>
  <c r="D943" i="1"/>
  <c r="C943" i="1"/>
  <c r="B943" i="1"/>
  <c r="M942" i="1"/>
  <c r="H942" i="1"/>
  <c r="F942" i="1"/>
  <c r="E942" i="1"/>
  <c r="D942" i="1"/>
  <c r="C942" i="1"/>
  <c r="B942" i="1"/>
  <c r="M941" i="1"/>
  <c r="H941" i="1"/>
  <c r="F941" i="1"/>
  <c r="E941" i="1"/>
  <c r="D941" i="1"/>
  <c r="C941" i="1"/>
  <c r="B941" i="1"/>
  <c r="M940" i="1"/>
  <c r="H940" i="1"/>
  <c r="F940" i="1"/>
  <c r="E940" i="1"/>
  <c r="D940" i="1"/>
  <c r="C940" i="1"/>
  <c r="B940" i="1"/>
  <c r="M939" i="1"/>
  <c r="H939" i="1"/>
  <c r="F939" i="1"/>
  <c r="E939" i="1"/>
  <c r="D939" i="1"/>
  <c r="C939" i="1"/>
  <c r="B939" i="1"/>
  <c r="M938" i="1"/>
  <c r="H938" i="1"/>
  <c r="F938" i="1"/>
  <c r="E938" i="1"/>
  <c r="D938" i="1"/>
  <c r="C938" i="1"/>
  <c r="B938" i="1"/>
  <c r="M937" i="1"/>
  <c r="H937" i="1"/>
  <c r="F937" i="1"/>
  <c r="E937" i="1"/>
  <c r="D937" i="1"/>
  <c r="C937" i="1"/>
  <c r="B937" i="1"/>
  <c r="M936" i="1"/>
  <c r="H936" i="1"/>
  <c r="F936" i="1"/>
  <c r="E936" i="1"/>
  <c r="D936" i="1"/>
  <c r="C936" i="1"/>
  <c r="B936" i="1"/>
  <c r="M935" i="1"/>
  <c r="H935" i="1"/>
  <c r="F935" i="1"/>
  <c r="E935" i="1"/>
  <c r="D935" i="1"/>
  <c r="C935" i="1"/>
  <c r="B935" i="1"/>
  <c r="M934" i="1"/>
  <c r="H934" i="1"/>
  <c r="F934" i="1"/>
  <c r="E934" i="1"/>
  <c r="D934" i="1"/>
  <c r="C934" i="1"/>
  <c r="B934" i="1"/>
  <c r="M933" i="1"/>
  <c r="H933" i="1"/>
  <c r="F933" i="1"/>
  <c r="E933" i="1"/>
  <c r="D933" i="1"/>
  <c r="C933" i="1"/>
  <c r="B933" i="1"/>
  <c r="M932" i="1"/>
  <c r="H932" i="1"/>
  <c r="F932" i="1"/>
  <c r="E932" i="1"/>
  <c r="D932" i="1"/>
  <c r="C932" i="1"/>
  <c r="B932" i="1"/>
  <c r="M931" i="1"/>
  <c r="H931" i="1"/>
  <c r="F931" i="1"/>
  <c r="E931" i="1"/>
  <c r="D931" i="1"/>
  <c r="C931" i="1"/>
  <c r="B931" i="1"/>
  <c r="M930" i="1"/>
  <c r="H930" i="1"/>
  <c r="F930" i="1"/>
  <c r="E930" i="1"/>
  <c r="D930" i="1"/>
  <c r="C930" i="1"/>
  <c r="B930" i="1"/>
  <c r="M929" i="1"/>
  <c r="H929" i="1"/>
  <c r="F929" i="1"/>
  <c r="E929" i="1"/>
  <c r="D929" i="1"/>
  <c r="C929" i="1"/>
  <c r="B929" i="1"/>
  <c r="M928" i="1"/>
  <c r="H928" i="1"/>
  <c r="F928" i="1"/>
  <c r="E928" i="1"/>
  <c r="D928" i="1"/>
  <c r="C928" i="1"/>
  <c r="B928" i="1"/>
  <c r="M927" i="1"/>
  <c r="H927" i="1"/>
  <c r="F927" i="1"/>
  <c r="E927" i="1"/>
  <c r="D927" i="1"/>
  <c r="C927" i="1"/>
  <c r="B927" i="1"/>
  <c r="M926" i="1"/>
  <c r="H926" i="1"/>
  <c r="F926" i="1"/>
  <c r="E926" i="1"/>
  <c r="D926" i="1"/>
  <c r="C926" i="1"/>
  <c r="B926" i="1"/>
  <c r="M925" i="1"/>
  <c r="H925" i="1"/>
  <c r="F925" i="1"/>
  <c r="E925" i="1"/>
  <c r="D925" i="1"/>
  <c r="C925" i="1"/>
  <c r="B925" i="1"/>
  <c r="M924" i="1"/>
  <c r="H924" i="1"/>
  <c r="F924" i="1"/>
  <c r="E924" i="1"/>
  <c r="D924" i="1"/>
  <c r="C924" i="1"/>
  <c r="B924" i="1"/>
  <c r="M923" i="1"/>
  <c r="H923" i="1"/>
  <c r="F923" i="1"/>
  <c r="E923" i="1"/>
  <c r="D923" i="1"/>
  <c r="C923" i="1"/>
  <c r="B923" i="1"/>
  <c r="M922" i="1"/>
  <c r="H922" i="1"/>
  <c r="F922" i="1"/>
  <c r="E922" i="1"/>
  <c r="D922" i="1"/>
  <c r="C922" i="1"/>
  <c r="B922" i="1"/>
  <c r="M921" i="1"/>
  <c r="H921" i="1"/>
  <c r="F921" i="1"/>
  <c r="E921" i="1"/>
  <c r="D921" i="1"/>
  <c r="C921" i="1"/>
  <c r="B921" i="1"/>
  <c r="M920" i="1"/>
  <c r="H920" i="1"/>
  <c r="F920" i="1"/>
  <c r="E920" i="1"/>
  <c r="D920" i="1"/>
  <c r="C920" i="1"/>
  <c r="B920" i="1"/>
  <c r="M919" i="1"/>
  <c r="H919" i="1"/>
  <c r="F919" i="1"/>
  <c r="E919" i="1"/>
  <c r="D919" i="1"/>
  <c r="C919" i="1"/>
  <c r="B919" i="1"/>
  <c r="M918" i="1"/>
  <c r="H918" i="1"/>
  <c r="F918" i="1"/>
  <c r="E918" i="1"/>
  <c r="D918" i="1"/>
  <c r="C918" i="1"/>
  <c r="B918" i="1"/>
  <c r="M917" i="1"/>
  <c r="H917" i="1"/>
  <c r="F917" i="1"/>
  <c r="E917" i="1"/>
  <c r="D917" i="1"/>
  <c r="C917" i="1"/>
  <c r="B917" i="1"/>
  <c r="M916" i="1"/>
  <c r="H916" i="1"/>
  <c r="F916" i="1"/>
  <c r="E916" i="1"/>
  <c r="D916" i="1"/>
  <c r="C916" i="1"/>
  <c r="B916" i="1"/>
  <c r="M915" i="1"/>
  <c r="H915" i="1"/>
  <c r="F915" i="1"/>
  <c r="E915" i="1"/>
  <c r="D915" i="1"/>
  <c r="C915" i="1"/>
  <c r="B915" i="1"/>
  <c r="M914" i="1"/>
  <c r="H914" i="1"/>
  <c r="F914" i="1"/>
  <c r="E914" i="1"/>
  <c r="D914" i="1"/>
  <c r="C914" i="1"/>
  <c r="B914" i="1"/>
  <c r="M913" i="1"/>
  <c r="H913" i="1"/>
  <c r="F913" i="1"/>
  <c r="E913" i="1"/>
  <c r="D913" i="1"/>
  <c r="C913" i="1"/>
  <c r="B913" i="1"/>
  <c r="M912" i="1"/>
  <c r="H912" i="1"/>
  <c r="F912" i="1"/>
  <c r="E912" i="1"/>
  <c r="D912" i="1"/>
  <c r="C912" i="1"/>
  <c r="B912" i="1"/>
  <c r="M911" i="1"/>
  <c r="H911" i="1"/>
  <c r="F911" i="1"/>
  <c r="E911" i="1"/>
  <c r="D911" i="1"/>
  <c r="C911" i="1"/>
  <c r="B911" i="1"/>
  <c r="M910" i="1"/>
  <c r="H910" i="1"/>
  <c r="F910" i="1"/>
  <c r="E910" i="1"/>
  <c r="D910" i="1"/>
  <c r="C910" i="1"/>
  <c r="B910" i="1"/>
  <c r="M909" i="1"/>
  <c r="H909" i="1"/>
  <c r="F909" i="1"/>
  <c r="E909" i="1"/>
  <c r="D909" i="1"/>
  <c r="C909" i="1"/>
  <c r="B909" i="1"/>
  <c r="M908" i="1"/>
  <c r="H908" i="1"/>
  <c r="F908" i="1"/>
  <c r="E908" i="1"/>
  <c r="D908" i="1"/>
  <c r="C908" i="1"/>
  <c r="B908" i="1"/>
  <c r="M907" i="1"/>
  <c r="H907" i="1"/>
  <c r="F907" i="1"/>
  <c r="E907" i="1"/>
  <c r="D907" i="1"/>
  <c r="C907" i="1"/>
  <c r="B907" i="1"/>
  <c r="M906" i="1"/>
  <c r="H906" i="1"/>
  <c r="F906" i="1"/>
  <c r="E906" i="1"/>
  <c r="D906" i="1"/>
  <c r="C906" i="1"/>
  <c r="B906" i="1"/>
  <c r="M905" i="1"/>
  <c r="H905" i="1"/>
  <c r="F905" i="1"/>
  <c r="E905" i="1"/>
  <c r="D905" i="1"/>
  <c r="C905" i="1"/>
  <c r="B905" i="1"/>
  <c r="M904" i="1"/>
  <c r="H904" i="1"/>
  <c r="F904" i="1"/>
  <c r="E904" i="1"/>
  <c r="D904" i="1"/>
  <c r="C904" i="1"/>
  <c r="B904" i="1"/>
  <c r="M903" i="1"/>
  <c r="H903" i="1"/>
  <c r="F903" i="1"/>
  <c r="E903" i="1"/>
  <c r="D903" i="1"/>
  <c r="C903" i="1"/>
  <c r="B903" i="1"/>
  <c r="M902" i="1"/>
  <c r="H902" i="1"/>
  <c r="F902" i="1"/>
  <c r="E902" i="1"/>
  <c r="D902" i="1"/>
  <c r="C902" i="1"/>
  <c r="B902" i="1"/>
  <c r="M901" i="1"/>
  <c r="H901" i="1"/>
  <c r="F901" i="1"/>
  <c r="E901" i="1"/>
  <c r="D901" i="1"/>
  <c r="C901" i="1"/>
  <c r="B901" i="1"/>
  <c r="M900" i="1"/>
  <c r="H900" i="1"/>
  <c r="F900" i="1"/>
  <c r="E900" i="1"/>
  <c r="D900" i="1"/>
  <c r="C900" i="1"/>
  <c r="B900" i="1"/>
  <c r="M899" i="1"/>
  <c r="H899" i="1"/>
  <c r="F899" i="1"/>
  <c r="E899" i="1"/>
  <c r="D899" i="1"/>
  <c r="C899" i="1"/>
  <c r="B899" i="1"/>
  <c r="M898" i="1"/>
  <c r="H898" i="1"/>
  <c r="F898" i="1"/>
  <c r="E898" i="1"/>
  <c r="D898" i="1"/>
  <c r="C898" i="1"/>
  <c r="B898" i="1"/>
  <c r="M897" i="1"/>
  <c r="H897" i="1"/>
  <c r="F897" i="1"/>
  <c r="E897" i="1"/>
  <c r="D897" i="1"/>
  <c r="C897" i="1"/>
  <c r="B897" i="1"/>
  <c r="M896" i="1"/>
  <c r="H896" i="1"/>
  <c r="F896" i="1"/>
  <c r="E896" i="1"/>
  <c r="D896" i="1"/>
  <c r="C896" i="1"/>
  <c r="B896" i="1"/>
  <c r="M895" i="1"/>
  <c r="H895" i="1"/>
  <c r="F895" i="1"/>
  <c r="E895" i="1"/>
  <c r="D895" i="1"/>
  <c r="C895" i="1"/>
  <c r="B895" i="1"/>
  <c r="M894" i="1"/>
  <c r="H894" i="1"/>
  <c r="F894" i="1"/>
  <c r="E894" i="1"/>
  <c r="D894" i="1"/>
  <c r="C894" i="1"/>
  <c r="B894" i="1"/>
  <c r="M893" i="1"/>
  <c r="H893" i="1"/>
  <c r="F893" i="1"/>
  <c r="E893" i="1"/>
  <c r="D893" i="1"/>
  <c r="C893" i="1"/>
  <c r="B893" i="1"/>
  <c r="M892" i="1"/>
  <c r="H892" i="1"/>
  <c r="F892" i="1"/>
  <c r="E892" i="1"/>
  <c r="D892" i="1"/>
  <c r="C892" i="1"/>
  <c r="B892" i="1"/>
  <c r="M891" i="1"/>
  <c r="H891" i="1"/>
  <c r="F891" i="1"/>
  <c r="E891" i="1"/>
  <c r="D891" i="1"/>
  <c r="C891" i="1"/>
  <c r="B891" i="1"/>
  <c r="M890" i="1"/>
  <c r="H890" i="1"/>
  <c r="F890" i="1"/>
  <c r="E890" i="1"/>
  <c r="D890" i="1"/>
  <c r="C890" i="1"/>
  <c r="B890" i="1"/>
  <c r="M889" i="1"/>
  <c r="H889" i="1"/>
  <c r="F889" i="1"/>
  <c r="E889" i="1"/>
  <c r="D889" i="1"/>
  <c r="C889" i="1"/>
  <c r="B889" i="1"/>
  <c r="M888" i="1"/>
  <c r="H888" i="1"/>
  <c r="F888" i="1"/>
  <c r="E888" i="1"/>
  <c r="D888" i="1"/>
  <c r="C888" i="1"/>
  <c r="B888" i="1"/>
  <c r="M887" i="1"/>
  <c r="H887" i="1"/>
  <c r="F887" i="1"/>
  <c r="E887" i="1"/>
  <c r="D887" i="1"/>
  <c r="C887" i="1"/>
  <c r="B887" i="1"/>
  <c r="M886" i="1"/>
  <c r="H886" i="1"/>
  <c r="F886" i="1"/>
  <c r="E886" i="1"/>
  <c r="D886" i="1"/>
  <c r="C886" i="1"/>
  <c r="B886" i="1"/>
  <c r="M885" i="1"/>
  <c r="H885" i="1"/>
  <c r="F885" i="1"/>
  <c r="E885" i="1"/>
  <c r="D885" i="1"/>
  <c r="C885" i="1"/>
  <c r="B885" i="1"/>
  <c r="M884" i="1"/>
  <c r="H884" i="1"/>
  <c r="F884" i="1"/>
  <c r="E884" i="1"/>
  <c r="D884" i="1"/>
  <c r="C884" i="1"/>
  <c r="B884" i="1"/>
  <c r="M883" i="1"/>
  <c r="H883" i="1"/>
  <c r="F883" i="1"/>
  <c r="E883" i="1"/>
  <c r="D883" i="1"/>
  <c r="C883" i="1"/>
  <c r="B883" i="1"/>
  <c r="M882" i="1"/>
  <c r="H882" i="1"/>
  <c r="F882" i="1"/>
  <c r="E882" i="1"/>
  <c r="D882" i="1"/>
  <c r="C882" i="1"/>
  <c r="B882" i="1"/>
  <c r="M881" i="1"/>
  <c r="H881" i="1"/>
  <c r="F881" i="1"/>
  <c r="E881" i="1"/>
  <c r="D881" i="1"/>
  <c r="C881" i="1"/>
  <c r="B881" i="1"/>
  <c r="M880" i="1"/>
  <c r="H880" i="1"/>
  <c r="F880" i="1"/>
  <c r="E880" i="1"/>
  <c r="D880" i="1"/>
  <c r="C880" i="1"/>
  <c r="B880" i="1"/>
  <c r="M879" i="1"/>
  <c r="H879" i="1"/>
  <c r="F879" i="1"/>
  <c r="E879" i="1"/>
  <c r="D879" i="1"/>
  <c r="C879" i="1"/>
  <c r="B879" i="1"/>
  <c r="M878" i="1"/>
  <c r="H878" i="1"/>
  <c r="F878" i="1"/>
  <c r="E878" i="1"/>
  <c r="D878" i="1"/>
  <c r="C878" i="1"/>
  <c r="B878" i="1"/>
  <c r="M877" i="1"/>
  <c r="H877" i="1"/>
  <c r="F877" i="1"/>
  <c r="E877" i="1"/>
  <c r="D877" i="1"/>
  <c r="C877" i="1"/>
  <c r="B877" i="1"/>
  <c r="M876" i="1"/>
  <c r="H876" i="1"/>
  <c r="F876" i="1"/>
  <c r="E876" i="1"/>
  <c r="D876" i="1"/>
  <c r="C876" i="1"/>
  <c r="B876" i="1"/>
  <c r="M875" i="1"/>
  <c r="H875" i="1"/>
  <c r="F875" i="1"/>
  <c r="E875" i="1"/>
  <c r="D875" i="1"/>
  <c r="C875" i="1"/>
  <c r="B875" i="1"/>
  <c r="M874" i="1"/>
  <c r="H874" i="1"/>
  <c r="F874" i="1"/>
  <c r="E874" i="1"/>
  <c r="D874" i="1"/>
  <c r="C874" i="1"/>
  <c r="B874" i="1"/>
  <c r="M873" i="1"/>
  <c r="H873" i="1"/>
  <c r="F873" i="1"/>
  <c r="E873" i="1"/>
  <c r="D873" i="1"/>
  <c r="C873" i="1"/>
  <c r="B873" i="1"/>
  <c r="M872" i="1"/>
  <c r="H872" i="1"/>
  <c r="F872" i="1"/>
  <c r="E872" i="1"/>
  <c r="D872" i="1"/>
  <c r="C872" i="1"/>
  <c r="B872" i="1"/>
  <c r="M871" i="1"/>
  <c r="H871" i="1"/>
  <c r="F871" i="1"/>
  <c r="E871" i="1"/>
  <c r="D871" i="1"/>
  <c r="C871" i="1"/>
  <c r="B871" i="1"/>
  <c r="M870" i="1"/>
  <c r="H870" i="1"/>
  <c r="F870" i="1"/>
  <c r="E870" i="1"/>
  <c r="D870" i="1"/>
  <c r="C870" i="1"/>
  <c r="B870" i="1"/>
  <c r="M869" i="1"/>
  <c r="H869" i="1"/>
  <c r="F869" i="1"/>
  <c r="E869" i="1"/>
  <c r="D869" i="1"/>
  <c r="C869" i="1"/>
  <c r="B869" i="1"/>
  <c r="M868" i="1"/>
  <c r="H868" i="1"/>
  <c r="F868" i="1"/>
  <c r="E868" i="1"/>
  <c r="D868" i="1"/>
  <c r="C868" i="1"/>
  <c r="B868" i="1"/>
  <c r="M867" i="1"/>
  <c r="H867" i="1"/>
  <c r="F867" i="1"/>
  <c r="E867" i="1"/>
  <c r="D867" i="1"/>
  <c r="C867" i="1"/>
  <c r="B867" i="1"/>
  <c r="M866" i="1"/>
  <c r="H866" i="1"/>
  <c r="F866" i="1"/>
  <c r="E866" i="1"/>
  <c r="D866" i="1"/>
  <c r="C866" i="1"/>
  <c r="B866" i="1"/>
  <c r="M865" i="1"/>
  <c r="H865" i="1"/>
  <c r="F865" i="1"/>
  <c r="E865" i="1"/>
  <c r="D865" i="1"/>
  <c r="C865" i="1"/>
  <c r="B865" i="1"/>
  <c r="M864" i="1"/>
  <c r="H864" i="1"/>
  <c r="F864" i="1"/>
  <c r="E864" i="1"/>
  <c r="D864" i="1"/>
  <c r="C864" i="1"/>
  <c r="B864" i="1"/>
  <c r="M863" i="1"/>
  <c r="H863" i="1"/>
  <c r="F863" i="1"/>
  <c r="E863" i="1"/>
  <c r="D863" i="1"/>
  <c r="C863" i="1"/>
  <c r="B863" i="1"/>
  <c r="M862" i="1"/>
  <c r="H862" i="1"/>
  <c r="F862" i="1"/>
  <c r="E862" i="1"/>
  <c r="D862" i="1"/>
  <c r="C862" i="1"/>
  <c r="B862" i="1"/>
  <c r="M861" i="1"/>
  <c r="H861" i="1"/>
  <c r="F861" i="1"/>
  <c r="E861" i="1"/>
  <c r="D861" i="1"/>
  <c r="C861" i="1"/>
  <c r="B861" i="1"/>
  <c r="M860" i="1"/>
  <c r="H860" i="1"/>
  <c r="F860" i="1"/>
  <c r="E860" i="1"/>
  <c r="D860" i="1"/>
  <c r="C860" i="1"/>
  <c r="B860" i="1"/>
  <c r="M859" i="1"/>
  <c r="H859" i="1"/>
  <c r="F859" i="1"/>
  <c r="E859" i="1"/>
  <c r="D859" i="1"/>
  <c r="C859" i="1"/>
  <c r="B859" i="1"/>
  <c r="M858" i="1"/>
  <c r="H858" i="1"/>
  <c r="F858" i="1"/>
  <c r="E858" i="1"/>
  <c r="D858" i="1"/>
  <c r="C858" i="1"/>
  <c r="B858" i="1"/>
  <c r="M857" i="1"/>
  <c r="H857" i="1"/>
  <c r="F857" i="1"/>
  <c r="E857" i="1"/>
  <c r="D857" i="1"/>
  <c r="C857" i="1"/>
  <c r="B857" i="1"/>
  <c r="M856" i="1"/>
  <c r="H856" i="1"/>
  <c r="F856" i="1"/>
  <c r="E856" i="1"/>
  <c r="D856" i="1"/>
  <c r="C856" i="1"/>
  <c r="B856" i="1"/>
  <c r="M855" i="1"/>
  <c r="H855" i="1"/>
  <c r="F855" i="1"/>
  <c r="E855" i="1"/>
  <c r="D855" i="1"/>
  <c r="C855" i="1"/>
  <c r="B855" i="1"/>
  <c r="M854" i="1"/>
  <c r="H854" i="1"/>
  <c r="F854" i="1"/>
  <c r="E854" i="1"/>
  <c r="D854" i="1"/>
  <c r="C854" i="1"/>
  <c r="B854" i="1"/>
  <c r="M853" i="1"/>
  <c r="H853" i="1"/>
  <c r="F853" i="1"/>
  <c r="E853" i="1"/>
  <c r="D853" i="1"/>
  <c r="C853" i="1"/>
  <c r="B853" i="1"/>
  <c r="M852" i="1"/>
  <c r="H852" i="1"/>
  <c r="F852" i="1"/>
  <c r="E852" i="1"/>
  <c r="D852" i="1"/>
  <c r="C852" i="1"/>
  <c r="B852" i="1"/>
  <c r="M851" i="1"/>
  <c r="H851" i="1"/>
  <c r="F851" i="1"/>
  <c r="E851" i="1"/>
  <c r="D851" i="1"/>
  <c r="C851" i="1"/>
  <c r="B851" i="1"/>
  <c r="M850" i="1"/>
  <c r="H850" i="1"/>
  <c r="F850" i="1"/>
  <c r="E850" i="1"/>
  <c r="D850" i="1"/>
  <c r="C850" i="1"/>
  <c r="B850" i="1"/>
  <c r="M849" i="1"/>
  <c r="H849" i="1"/>
  <c r="F849" i="1"/>
  <c r="E849" i="1"/>
  <c r="D849" i="1"/>
  <c r="C849" i="1"/>
  <c r="B849" i="1"/>
  <c r="M848" i="1"/>
  <c r="H848" i="1"/>
  <c r="F848" i="1"/>
  <c r="E848" i="1"/>
  <c r="D848" i="1"/>
  <c r="C848" i="1"/>
  <c r="B848" i="1"/>
  <c r="M847" i="1"/>
  <c r="H847" i="1"/>
  <c r="F847" i="1"/>
  <c r="E847" i="1"/>
  <c r="D847" i="1"/>
  <c r="C847" i="1"/>
  <c r="B847" i="1"/>
  <c r="M846" i="1"/>
  <c r="H846" i="1"/>
  <c r="F846" i="1"/>
  <c r="E846" i="1"/>
  <c r="D846" i="1"/>
  <c r="C846" i="1"/>
  <c r="B846" i="1"/>
  <c r="M845" i="1"/>
  <c r="H845" i="1"/>
  <c r="F845" i="1"/>
  <c r="E845" i="1"/>
  <c r="D845" i="1"/>
  <c r="C845" i="1"/>
  <c r="B845" i="1"/>
  <c r="M844" i="1"/>
  <c r="H844" i="1"/>
  <c r="F844" i="1"/>
  <c r="E844" i="1"/>
  <c r="D844" i="1"/>
  <c r="C844" i="1"/>
  <c r="B844" i="1"/>
  <c r="M843" i="1"/>
  <c r="H843" i="1"/>
  <c r="F843" i="1"/>
  <c r="E843" i="1"/>
  <c r="D843" i="1"/>
  <c r="C843" i="1"/>
  <c r="B843" i="1"/>
  <c r="M842" i="1"/>
  <c r="H842" i="1"/>
  <c r="F842" i="1"/>
  <c r="E842" i="1"/>
  <c r="D842" i="1"/>
  <c r="C842" i="1"/>
  <c r="B842" i="1"/>
  <c r="M841" i="1"/>
  <c r="H841" i="1"/>
  <c r="F841" i="1"/>
  <c r="E841" i="1"/>
  <c r="D841" i="1"/>
  <c r="C841" i="1"/>
  <c r="B841" i="1"/>
  <c r="M840" i="1"/>
  <c r="H840" i="1"/>
  <c r="F840" i="1"/>
  <c r="E840" i="1"/>
  <c r="D840" i="1"/>
  <c r="C840" i="1"/>
  <c r="B840" i="1"/>
  <c r="M839" i="1"/>
  <c r="H839" i="1"/>
  <c r="F839" i="1"/>
  <c r="E839" i="1"/>
  <c r="D839" i="1"/>
  <c r="C839" i="1"/>
  <c r="B839" i="1"/>
  <c r="M838" i="1"/>
  <c r="H838" i="1"/>
  <c r="F838" i="1"/>
  <c r="E838" i="1"/>
  <c r="D838" i="1"/>
  <c r="C838" i="1"/>
  <c r="B838" i="1"/>
  <c r="M837" i="1"/>
  <c r="H837" i="1"/>
  <c r="F837" i="1"/>
  <c r="E837" i="1"/>
  <c r="D837" i="1"/>
  <c r="C837" i="1"/>
  <c r="B837" i="1"/>
  <c r="M836" i="1"/>
  <c r="H836" i="1"/>
  <c r="F836" i="1"/>
  <c r="E836" i="1"/>
  <c r="D836" i="1"/>
  <c r="C836" i="1"/>
  <c r="B836" i="1"/>
  <c r="M835" i="1"/>
  <c r="H835" i="1"/>
  <c r="F835" i="1"/>
  <c r="E835" i="1"/>
  <c r="D835" i="1"/>
  <c r="C835" i="1"/>
  <c r="B835" i="1"/>
  <c r="M834" i="1"/>
  <c r="H834" i="1"/>
  <c r="F834" i="1"/>
  <c r="E834" i="1"/>
  <c r="D834" i="1"/>
  <c r="C834" i="1"/>
  <c r="B834" i="1"/>
  <c r="M833" i="1"/>
  <c r="H833" i="1"/>
  <c r="F833" i="1"/>
  <c r="E833" i="1"/>
  <c r="D833" i="1"/>
  <c r="C833" i="1"/>
  <c r="B833" i="1"/>
  <c r="M832" i="1"/>
  <c r="H832" i="1"/>
  <c r="F832" i="1"/>
  <c r="E832" i="1"/>
  <c r="D832" i="1"/>
  <c r="C832" i="1"/>
  <c r="B832" i="1"/>
  <c r="M831" i="1"/>
  <c r="H831" i="1"/>
  <c r="F831" i="1"/>
  <c r="E831" i="1"/>
  <c r="D831" i="1"/>
  <c r="C831" i="1"/>
  <c r="B831" i="1"/>
  <c r="M830" i="1"/>
  <c r="H830" i="1"/>
  <c r="F830" i="1"/>
  <c r="E830" i="1"/>
  <c r="D830" i="1"/>
  <c r="C830" i="1"/>
  <c r="B830" i="1"/>
  <c r="M829" i="1"/>
  <c r="H829" i="1"/>
  <c r="F829" i="1"/>
  <c r="E829" i="1"/>
  <c r="D829" i="1"/>
  <c r="C829" i="1"/>
  <c r="B829" i="1"/>
  <c r="M828" i="1"/>
  <c r="H828" i="1"/>
  <c r="F828" i="1"/>
  <c r="E828" i="1"/>
  <c r="D828" i="1"/>
  <c r="C828" i="1"/>
  <c r="B828" i="1"/>
  <c r="M827" i="1"/>
  <c r="H827" i="1"/>
  <c r="F827" i="1"/>
  <c r="E827" i="1"/>
  <c r="D827" i="1"/>
  <c r="C827" i="1"/>
  <c r="B827" i="1"/>
  <c r="M826" i="1"/>
  <c r="H826" i="1"/>
  <c r="F826" i="1"/>
  <c r="E826" i="1"/>
  <c r="D826" i="1"/>
  <c r="C826" i="1"/>
  <c r="B826" i="1"/>
  <c r="M825" i="1"/>
  <c r="H825" i="1"/>
  <c r="F825" i="1"/>
  <c r="E825" i="1"/>
  <c r="D825" i="1"/>
  <c r="C825" i="1"/>
  <c r="B825" i="1"/>
  <c r="M824" i="1"/>
  <c r="H824" i="1"/>
  <c r="F824" i="1"/>
  <c r="E824" i="1"/>
  <c r="D824" i="1"/>
  <c r="C824" i="1"/>
  <c r="B824" i="1"/>
  <c r="M823" i="1"/>
  <c r="H823" i="1"/>
  <c r="F823" i="1"/>
  <c r="E823" i="1"/>
  <c r="D823" i="1"/>
  <c r="C823" i="1"/>
  <c r="B823" i="1"/>
  <c r="M822" i="1"/>
  <c r="H822" i="1"/>
  <c r="F822" i="1"/>
  <c r="E822" i="1"/>
  <c r="D822" i="1"/>
  <c r="C822" i="1"/>
  <c r="B822" i="1"/>
  <c r="M821" i="1"/>
  <c r="H821" i="1"/>
  <c r="F821" i="1"/>
  <c r="E821" i="1"/>
  <c r="D821" i="1"/>
  <c r="C821" i="1"/>
  <c r="B821" i="1"/>
  <c r="M820" i="1"/>
  <c r="H820" i="1"/>
  <c r="F820" i="1"/>
  <c r="E820" i="1"/>
  <c r="D820" i="1"/>
  <c r="C820" i="1"/>
  <c r="B820" i="1"/>
  <c r="M819" i="1"/>
  <c r="H819" i="1"/>
  <c r="F819" i="1"/>
  <c r="E819" i="1"/>
  <c r="D819" i="1"/>
  <c r="C819" i="1"/>
  <c r="B819" i="1"/>
  <c r="M818" i="1"/>
  <c r="H818" i="1"/>
  <c r="F818" i="1"/>
  <c r="E818" i="1"/>
  <c r="D818" i="1"/>
  <c r="C818" i="1"/>
  <c r="B818" i="1"/>
  <c r="M817" i="1"/>
  <c r="H817" i="1"/>
  <c r="F817" i="1"/>
  <c r="E817" i="1"/>
  <c r="D817" i="1"/>
  <c r="C817" i="1"/>
  <c r="B817" i="1"/>
  <c r="M816" i="1"/>
  <c r="H816" i="1"/>
  <c r="F816" i="1"/>
  <c r="E816" i="1"/>
  <c r="D816" i="1"/>
  <c r="C816" i="1"/>
  <c r="B816" i="1"/>
  <c r="M815" i="1"/>
  <c r="H815" i="1"/>
  <c r="F815" i="1"/>
  <c r="E815" i="1"/>
  <c r="D815" i="1"/>
  <c r="C815" i="1"/>
  <c r="B815" i="1"/>
  <c r="M814" i="1"/>
  <c r="H814" i="1"/>
  <c r="F814" i="1"/>
  <c r="E814" i="1"/>
  <c r="D814" i="1"/>
  <c r="C814" i="1"/>
  <c r="B814" i="1"/>
  <c r="M813" i="1"/>
  <c r="H813" i="1"/>
  <c r="F813" i="1"/>
  <c r="E813" i="1"/>
  <c r="D813" i="1"/>
  <c r="C813" i="1"/>
  <c r="B813" i="1"/>
  <c r="M812" i="1"/>
  <c r="H812" i="1"/>
  <c r="F812" i="1"/>
  <c r="E812" i="1"/>
  <c r="D812" i="1"/>
  <c r="C812" i="1"/>
  <c r="B812" i="1"/>
  <c r="M811" i="1"/>
  <c r="H811" i="1"/>
  <c r="F811" i="1"/>
  <c r="E811" i="1"/>
  <c r="D811" i="1"/>
  <c r="C811" i="1"/>
  <c r="B811" i="1"/>
  <c r="M810" i="1"/>
  <c r="H810" i="1"/>
  <c r="F810" i="1"/>
  <c r="E810" i="1"/>
  <c r="D810" i="1"/>
  <c r="C810" i="1"/>
  <c r="B810" i="1"/>
  <c r="M809" i="1"/>
  <c r="H809" i="1"/>
  <c r="F809" i="1"/>
  <c r="E809" i="1"/>
  <c r="D809" i="1"/>
  <c r="C809" i="1"/>
  <c r="B809" i="1"/>
  <c r="M808" i="1"/>
  <c r="H808" i="1"/>
  <c r="F808" i="1"/>
  <c r="E808" i="1"/>
  <c r="D808" i="1"/>
  <c r="C808" i="1"/>
  <c r="B808" i="1"/>
  <c r="M807" i="1"/>
  <c r="H807" i="1"/>
  <c r="F807" i="1"/>
  <c r="E807" i="1"/>
  <c r="D807" i="1"/>
  <c r="C807" i="1"/>
  <c r="B807" i="1"/>
  <c r="M806" i="1"/>
  <c r="H806" i="1"/>
  <c r="F806" i="1"/>
  <c r="E806" i="1"/>
  <c r="D806" i="1"/>
  <c r="C806" i="1"/>
  <c r="B806" i="1"/>
  <c r="M805" i="1"/>
  <c r="H805" i="1"/>
  <c r="F805" i="1"/>
  <c r="E805" i="1"/>
  <c r="D805" i="1"/>
  <c r="C805" i="1"/>
  <c r="B805" i="1"/>
  <c r="M804" i="1"/>
  <c r="H804" i="1"/>
  <c r="F804" i="1"/>
  <c r="E804" i="1"/>
  <c r="D804" i="1"/>
  <c r="C804" i="1"/>
  <c r="B804" i="1"/>
  <c r="M803" i="1"/>
  <c r="H803" i="1"/>
  <c r="F803" i="1"/>
  <c r="E803" i="1"/>
  <c r="D803" i="1"/>
  <c r="C803" i="1"/>
  <c r="B803" i="1"/>
  <c r="M802" i="1"/>
  <c r="H802" i="1"/>
  <c r="F802" i="1"/>
  <c r="E802" i="1"/>
  <c r="D802" i="1"/>
  <c r="C802" i="1"/>
  <c r="B802" i="1"/>
  <c r="M801" i="1"/>
  <c r="H801" i="1"/>
  <c r="F801" i="1"/>
  <c r="E801" i="1"/>
  <c r="D801" i="1"/>
  <c r="C801" i="1"/>
  <c r="B801" i="1"/>
  <c r="M800" i="1"/>
  <c r="H800" i="1"/>
  <c r="F800" i="1"/>
  <c r="E800" i="1"/>
  <c r="D800" i="1"/>
  <c r="C800" i="1"/>
  <c r="B800" i="1"/>
  <c r="M799" i="1"/>
  <c r="H799" i="1"/>
  <c r="F799" i="1"/>
  <c r="E799" i="1"/>
  <c r="D799" i="1"/>
  <c r="C799" i="1"/>
  <c r="B799" i="1"/>
  <c r="M798" i="1"/>
  <c r="H798" i="1"/>
  <c r="F798" i="1"/>
  <c r="E798" i="1"/>
  <c r="D798" i="1"/>
  <c r="C798" i="1"/>
  <c r="B798" i="1"/>
  <c r="M797" i="1"/>
  <c r="H797" i="1"/>
  <c r="F797" i="1"/>
  <c r="E797" i="1"/>
  <c r="D797" i="1"/>
  <c r="C797" i="1"/>
  <c r="B797" i="1"/>
  <c r="M796" i="1"/>
  <c r="H796" i="1"/>
  <c r="F796" i="1"/>
  <c r="E796" i="1"/>
  <c r="D796" i="1"/>
  <c r="C796" i="1"/>
  <c r="B796" i="1"/>
  <c r="M795" i="1"/>
  <c r="H795" i="1"/>
  <c r="F795" i="1"/>
  <c r="E795" i="1"/>
  <c r="D795" i="1"/>
  <c r="C795" i="1"/>
  <c r="B795" i="1"/>
  <c r="M794" i="1"/>
  <c r="H794" i="1"/>
  <c r="F794" i="1"/>
  <c r="E794" i="1"/>
  <c r="D794" i="1"/>
  <c r="C794" i="1"/>
  <c r="B794" i="1"/>
  <c r="M793" i="1"/>
  <c r="H793" i="1"/>
  <c r="F793" i="1"/>
  <c r="E793" i="1"/>
  <c r="D793" i="1"/>
  <c r="C793" i="1"/>
  <c r="B793" i="1"/>
  <c r="M792" i="1"/>
  <c r="H792" i="1"/>
  <c r="F792" i="1"/>
  <c r="E792" i="1"/>
  <c r="D792" i="1"/>
  <c r="C792" i="1"/>
  <c r="B792" i="1"/>
  <c r="M791" i="1"/>
  <c r="H791" i="1"/>
  <c r="F791" i="1"/>
  <c r="E791" i="1"/>
  <c r="D791" i="1"/>
  <c r="C791" i="1"/>
  <c r="B791" i="1"/>
  <c r="M790" i="1"/>
  <c r="H790" i="1"/>
  <c r="F790" i="1"/>
  <c r="E790" i="1"/>
  <c r="D790" i="1"/>
  <c r="C790" i="1"/>
  <c r="B790" i="1"/>
  <c r="M789" i="1"/>
  <c r="H789" i="1"/>
  <c r="F789" i="1"/>
  <c r="E789" i="1"/>
  <c r="D789" i="1"/>
  <c r="C789" i="1"/>
  <c r="B789" i="1"/>
  <c r="M788" i="1"/>
  <c r="H788" i="1"/>
  <c r="F788" i="1"/>
  <c r="E788" i="1"/>
  <c r="D788" i="1"/>
  <c r="C788" i="1"/>
  <c r="B788" i="1"/>
  <c r="M787" i="1"/>
  <c r="H787" i="1"/>
  <c r="F787" i="1"/>
  <c r="E787" i="1"/>
  <c r="D787" i="1"/>
  <c r="C787" i="1"/>
  <c r="B787" i="1"/>
  <c r="M786" i="1"/>
  <c r="H786" i="1"/>
  <c r="F786" i="1"/>
  <c r="E786" i="1"/>
  <c r="D786" i="1"/>
  <c r="C786" i="1"/>
  <c r="B786" i="1"/>
  <c r="M785" i="1"/>
  <c r="H785" i="1"/>
  <c r="F785" i="1"/>
  <c r="E785" i="1"/>
  <c r="D785" i="1"/>
  <c r="C785" i="1"/>
  <c r="B785" i="1"/>
  <c r="M784" i="1"/>
  <c r="H784" i="1"/>
  <c r="F784" i="1"/>
  <c r="E784" i="1"/>
  <c r="D784" i="1"/>
  <c r="C784" i="1"/>
  <c r="B784" i="1"/>
  <c r="M783" i="1"/>
  <c r="H783" i="1"/>
  <c r="F783" i="1"/>
  <c r="E783" i="1"/>
  <c r="D783" i="1"/>
  <c r="C783" i="1"/>
  <c r="B783" i="1"/>
  <c r="M782" i="1"/>
  <c r="H782" i="1"/>
  <c r="F782" i="1"/>
  <c r="E782" i="1"/>
  <c r="D782" i="1"/>
  <c r="C782" i="1"/>
  <c r="B782" i="1"/>
  <c r="M781" i="1"/>
  <c r="H781" i="1"/>
  <c r="F781" i="1"/>
  <c r="E781" i="1"/>
  <c r="D781" i="1"/>
  <c r="C781" i="1"/>
  <c r="B781" i="1"/>
  <c r="M780" i="1"/>
  <c r="H780" i="1"/>
  <c r="F780" i="1"/>
  <c r="E780" i="1"/>
  <c r="D780" i="1"/>
  <c r="C780" i="1"/>
  <c r="B780" i="1"/>
  <c r="M779" i="1"/>
  <c r="H779" i="1"/>
  <c r="F779" i="1"/>
  <c r="E779" i="1"/>
  <c r="D779" i="1"/>
  <c r="C779" i="1"/>
  <c r="B779" i="1"/>
  <c r="M778" i="1"/>
  <c r="H778" i="1"/>
  <c r="F778" i="1"/>
  <c r="E778" i="1"/>
  <c r="D778" i="1"/>
  <c r="C778" i="1"/>
  <c r="B778" i="1"/>
  <c r="M777" i="1"/>
  <c r="H777" i="1"/>
  <c r="F777" i="1"/>
  <c r="E777" i="1"/>
  <c r="D777" i="1"/>
  <c r="C777" i="1"/>
  <c r="B777" i="1"/>
  <c r="M776" i="1"/>
  <c r="H776" i="1"/>
  <c r="F776" i="1"/>
  <c r="E776" i="1"/>
  <c r="D776" i="1"/>
  <c r="C776" i="1"/>
  <c r="B776" i="1"/>
  <c r="M775" i="1"/>
  <c r="H775" i="1"/>
  <c r="F775" i="1"/>
  <c r="E775" i="1"/>
  <c r="D775" i="1"/>
  <c r="C775" i="1"/>
  <c r="B775" i="1"/>
  <c r="M774" i="1"/>
  <c r="H774" i="1"/>
  <c r="F774" i="1"/>
  <c r="E774" i="1"/>
  <c r="D774" i="1"/>
  <c r="C774" i="1"/>
  <c r="B774" i="1"/>
  <c r="M773" i="1"/>
  <c r="H773" i="1"/>
  <c r="F773" i="1"/>
  <c r="E773" i="1"/>
  <c r="D773" i="1"/>
  <c r="C773" i="1"/>
  <c r="B773" i="1"/>
  <c r="M772" i="1"/>
  <c r="H772" i="1"/>
  <c r="F772" i="1"/>
  <c r="E772" i="1"/>
  <c r="D772" i="1"/>
  <c r="C772" i="1"/>
  <c r="B772" i="1"/>
  <c r="M771" i="1"/>
  <c r="H771" i="1"/>
  <c r="F771" i="1"/>
  <c r="E771" i="1"/>
  <c r="D771" i="1"/>
  <c r="C771" i="1"/>
  <c r="B771" i="1"/>
  <c r="M770" i="1"/>
  <c r="H770" i="1"/>
  <c r="F770" i="1"/>
  <c r="E770" i="1"/>
  <c r="D770" i="1"/>
  <c r="C770" i="1"/>
  <c r="B770" i="1"/>
  <c r="M769" i="1"/>
  <c r="H769" i="1"/>
  <c r="F769" i="1"/>
  <c r="E769" i="1"/>
  <c r="D769" i="1"/>
  <c r="C769" i="1"/>
  <c r="B769" i="1"/>
  <c r="M768" i="1"/>
  <c r="H768" i="1"/>
  <c r="F768" i="1"/>
  <c r="E768" i="1"/>
  <c r="D768" i="1"/>
  <c r="C768" i="1"/>
  <c r="B768" i="1"/>
  <c r="M767" i="1"/>
  <c r="H767" i="1"/>
  <c r="F767" i="1"/>
  <c r="E767" i="1"/>
  <c r="D767" i="1"/>
  <c r="C767" i="1"/>
  <c r="B767" i="1"/>
  <c r="M766" i="1"/>
  <c r="H766" i="1"/>
  <c r="F766" i="1"/>
  <c r="E766" i="1"/>
  <c r="D766" i="1"/>
  <c r="C766" i="1"/>
  <c r="B766" i="1"/>
  <c r="M765" i="1"/>
  <c r="H765" i="1"/>
  <c r="F765" i="1"/>
  <c r="E765" i="1"/>
  <c r="D765" i="1"/>
  <c r="C765" i="1"/>
  <c r="B765" i="1"/>
  <c r="M764" i="1"/>
  <c r="H764" i="1"/>
  <c r="F764" i="1"/>
  <c r="E764" i="1"/>
  <c r="D764" i="1"/>
  <c r="C764" i="1"/>
  <c r="B764" i="1"/>
  <c r="M763" i="1"/>
  <c r="H763" i="1"/>
  <c r="F763" i="1"/>
  <c r="E763" i="1"/>
  <c r="D763" i="1"/>
  <c r="C763" i="1"/>
  <c r="B763" i="1"/>
  <c r="M762" i="1"/>
  <c r="H762" i="1"/>
  <c r="F762" i="1"/>
  <c r="E762" i="1"/>
  <c r="D762" i="1"/>
  <c r="C762" i="1"/>
  <c r="B762" i="1"/>
  <c r="M761" i="1"/>
  <c r="H761" i="1"/>
  <c r="F761" i="1"/>
  <c r="E761" i="1"/>
  <c r="D761" i="1"/>
  <c r="C761" i="1"/>
  <c r="B761" i="1"/>
  <c r="M760" i="1"/>
  <c r="H760" i="1"/>
  <c r="F760" i="1"/>
  <c r="E760" i="1"/>
  <c r="D760" i="1"/>
  <c r="C760" i="1"/>
  <c r="B760" i="1"/>
  <c r="M759" i="1"/>
  <c r="H759" i="1"/>
  <c r="F759" i="1"/>
  <c r="E759" i="1"/>
  <c r="D759" i="1"/>
  <c r="C759" i="1"/>
  <c r="B759" i="1"/>
  <c r="M758" i="1"/>
  <c r="H758" i="1"/>
  <c r="F758" i="1"/>
  <c r="E758" i="1"/>
  <c r="D758" i="1"/>
  <c r="C758" i="1"/>
  <c r="B758" i="1"/>
  <c r="M757" i="1"/>
  <c r="H757" i="1"/>
  <c r="F757" i="1"/>
  <c r="E757" i="1"/>
  <c r="D757" i="1"/>
  <c r="C757" i="1"/>
  <c r="B757" i="1"/>
  <c r="M756" i="1"/>
  <c r="H756" i="1"/>
  <c r="F756" i="1"/>
  <c r="E756" i="1"/>
  <c r="D756" i="1"/>
  <c r="C756" i="1"/>
  <c r="B756" i="1"/>
  <c r="M755" i="1"/>
  <c r="H755" i="1"/>
  <c r="F755" i="1"/>
  <c r="E755" i="1"/>
  <c r="D755" i="1"/>
  <c r="C755" i="1"/>
  <c r="B755" i="1"/>
  <c r="M754" i="1"/>
  <c r="H754" i="1"/>
  <c r="F754" i="1"/>
  <c r="E754" i="1"/>
  <c r="D754" i="1"/>
  <c r="C754" i="1"/>
  <c r="B754" i="1"/>
  <c r="M753" i="1"/>
  <c r="H753" i="1"/>
  <c r="F753" i="1"/>
  <c r="E753" i="1"/>
  <c r="D753" i="1"/>
  <c r="C753" i="1"/>
  <c r="B753" i="1"/>
  <c r="M752" i="1"/>
  <c r="H752" i="1"/>
  <c r="F752" i="1"/>
  <c r="E752" i="1"/>
  <c r="D752" i="1"/>
  <c r="C752" i="1"/>
  <c r="B752" i="1"/>
  <c r="M751" i="1"/>
  <c r="H751" i="1"/>
  <c r="F751" i="1"/>
  <c r="E751" i="1"/>
  <c r="D751" i="1"/>
  <c r="C751" i="1"/>
  <c r="B751" i="1"/>
  <c r="M750" i="1"/>
  <c r="H750" i="1"/>
  <c r="F750" i="1"/>
  <c r="E750" i="1"/>
  <c r="D750" i="1"/>
  <c r="C750" i="1"/>
  <c r="B750" i="1"/>
  <c r="M749" i="1"/>
  <c r="H749" i="1"/>
  <c r="F749" i="1"/>
  <c r="E749" i="1"/>
  <c r="D749" i="1"/>
  <c r="C749" i="1"/>
  <c r="B749" i="1"/>
  <c r="M748" i="1"/>
  <c r="H748" i="1"/>
  <c r="F748" i="1"/>
  <c r="E748" i="1"/>
  <c r="D748" i="1"/>
  <c r="C748" i="1"/>
  <c r="B748" i="1"/>
  <c r="M747" i="1"/>
  <c r="H747" i="1"/>
  <c r="F747" i="1"/>
  <c r="E747" i="1"/>
  <c r="D747" i="1"/>
  <c r="C747" i="1"/>
  <c r="B747" i="1"/>
  <c r="M746" i="1"/>
  <c r="H746" i="1"/>
  <c r="F746" i="1"/>
  <c r="E746" i="1"/>
  <c r="D746" i="1"/>
  <c r="C746" i="1"/>
  <c r="B746" i="1"/>
  <c r="M745" i="1"/>
  <c r="H745" i="1"/>
  <c r="F745" i="1"/>
  <c r="E745" i="1"/>
  <c r="D745" i="1"/>
  <c r="C745" i="1"/>
  <c r="B745" i="1"/>
  <c r="M744" i="1"/>
  <c r="H744" i="1"/>
  <c r="F744" i="1"/>
  <c r="E744" i="1"/>
  <c r="D744" i="1"/>
  <c r="C744" i="1"/>
  <c r="B744" i="1"/>
  <c r="M743" i="1"/>
  <c r="H743" i="1"/>
  <c r="F743" i="1"/>
  <c r="E743" i="1"/>
  <c r="D743" i="1"/>
  <c r="C743" i="1"/>
  <c r="B743" i="1"/>
  <c r="M742" i="1"/>
  <c r="H742" i="1"/>
  <c r="F742" i="1"/>
  <c r="E742" i="1"/>
  <c r="D742" i="1"/>
  <c r="C742" i="1"/>
  <c r="B742" i="1"/>
  <c r="M741" i="1"/>
  <c r="H741" i="1"/>
  <c r="F741" i="1"/>
  <c r="E741" i="1"/>
  <c r="D741" i="1"/>
  <c r="C741" i="1"/>
  <c r="B741" i="1"/>
  <c r="M740" i="1"/>
  <c r="H740" i="1"/>
  <c r="F740" i="1"/>
  <c r="E740" i="1"/>
  <c r="D740" i="1"/>
  <c r="C740" i="1"/>
  <c r="B740" i="1"/>
  <c r="M739" i="1"/>
  <c r="H739" i="1"/>
  <c r="F739" i="1"/>
  <c r="E739" i="1"/>
  <c r="D739" i="1"/>
  <c r="C739" i="1"/>
  <c r="B739" i="1"/>
  <c r="M738" i="1"/>
  <c r="H738" i="1"/>
  <c r="F738" i="1"/>
  <c r="E738" i="1"/>
  <c r="D738" i="1"/>
  <c r="C738" i="1"/>
  <c r="B738" i="1"/>
  <c r="M737" i="1"/>
  <c r="H737" i="1"/>
  <c r="F737" i="1"/>
  <c r="E737" i="1"/>
  <c r="D737" i="1"/>
  <c r="C737" i="1"/>
  <c r="B737" i="1"/>
  <c r="M736" i="1"/>
  <c r="H736" i="1"/>
  <c r="F736" i="1"/>
  <c r="E736" i="1"/>
  <c r="D736" i="1"/>
  <c r="C736" i="1"/>
  <c r="B736" i="1"/>
  <c r="M735" i="1"/>
  <c r="H735" i="1"/>
  <c r="F735" i="1"/>
  <c r="E735" i="1"/>
  <c r="D735" i="1"/>
  <c r="C735" i="1"/>
  <c r="B735" i="1"/>
  <c r="M734" i="1"/>
  <c r="H734" i="1"/>
  <c r="F734" i="1"/>
  <c r="E734" i="1"/>
  <c r="D734" i="1"/>
  <c r="C734" i="1"/>
  <c r="B734" i="1"/>
  <c r="M733" i="1"/>
  <c r="H733" i="1"/>
  <c r="F733" i="1"/>
  <c r="E733" i="1"/>
  <c r="D733" i="1"/>
  <c r="C733" i="1"/>
  <c r="B733" i="1"/>
  <c r="M732" i="1"/>
  <c r="H732" i="1"/>
  <c r="F732" i="1"/>
  <c r="E732" i="1"/>
  <c r="D732" i="1"/>
  <c r="C732" i="1"/>
  <c r="B732" i="1"/>
  <c r="M731" i="1"/>
  <c r="H731" i="1"/>
  <c r="F731" i="1"/>
  <c r="E731" i="1"/>
  <c r="D731" i="1"/>
  <c r="C731" i="1"/>
  <c r="B731" i="1"/>
  <c r="M730" i="1"/>
  <c r="H730" i="1"/>
  <c r="F730" i="1"/>
  <c r="E730" i="1"/>
  <c r="D730" i="1"/>
  <c r="C730" i="1"/>
  <c r="B730" i="1"/>
  <c r="M729" i="1"/>
  <c r="H729" i="1"/>
  <c r="F729" i="1"/>
  <c r="E729" i="1"/>
  <c r="D729" i="1"/>
  <c r="C729" i="1"/>
  <c r="B729" i="1"/>
  <c r="M728" i="1"/>
  <c r="H728" i="1"/>
  <c r="F728" i="1"/>
  <c r="E728" i="1"/>
  <c r="D728" i="1"/>
  <c r="C728" i="1"/>
  <c r="B728" i="1"/>
  <c r="M727" i="1"/>
  <c r="H727" i="1"/>
  <c r="F727" i="1"/>
  <c r="E727" i="1"/>
  <c r="D727" i="1"/>
  <c r="C727" i="1"/>
  <c r="B727" i="1"/>
  <c r="M726" i="1"/>
  <c r="H726" i="1"/>
  <c r="F726" i="1"/>
  <c r="E726" i="1"/>
  <c r="D726" i="1"/>
  <c r="C726" i="1"/>
  <c r="B726" i="1"/>
  <c r="M725" i="1"/>
  <c r="H725" i="1"/>
  <c r="F725" i="1"/>
  <c r="E725" i="1"/>
  <c r="D725" i="1"/>
  <c r="C725" i="1"/>
  <c r="B725" i="1"/>
  <c r="M724" i="1"/>
  <c r="H724" i="1"/>
  <c r="F724" i="1"/>
  <c r="E724" i="1"/>
  <c r="D724" i="1"/>
  <c r="C724" i="1"/>
  <c r="B724" i="1"/>
  <c r="M723" i="1"/>
  <c r="H723" i="1"/>
  <c r="F723" i="1"/>
  <c r="E723" i="1"/>
  <c r="D723" i="1"/>
  <c r="C723" i="1"/>
  <c r="B723" i="1"/>
  <c r="M722" i="1"/>
  <c r="H722" i="1"/>
  <c r="F722" i="1"/>
  <c r="E722" i="1"/>
  <c r="D722" i="1"/>
  <c r="C722" i="1"/>
  <c r="B722" i="1"/>
  <c r="M721" i="1"/>
  <c r="H721" i="1"/>
  <c r="F721" i="1"/>
  <c r="E721" i="1"/>
  <c r="D721" i="1"/>
  <c r="C721" i="1"/>
  <c r="B721" i="1"/>
  <c r="M720" i="1"/>
  <c r="H720" i="1"/>
  <c r="F720" i="1"/>
  <c r="E720" i="1"/>
  <c r="D720" i="1"/>
  <c r="C720" i="1"/>
  <c r="B720" i="1"/>
  <c r="M719" i="1"/>
  <c r="H719" i="1"/>
  <c r="F719" i="1"/>
  <c r="E719" i="1"/>
  <c r="D719" i="1"/>
  <c r="C719" i="1"/>
  <c r="B719" i="1"/>
  <c r="M718" i="1"/>
  <c r="H718" i="1"/>
  <c r="F718" i="1"/>
  <c r="E718" i="1"/>
  <c r="D718" i="1"/>
  <c r="C718" i="1"/>
  <c r="B718" i="1"/>
  <c r="M717" i="1"/>
  <c r="H717" i="1"/>
  <c r="F717" i="1"/>
  <c r="E717" i="1"/>
  <c r="D717" i="1"/>
  <c r="C717" i="1"/>
  <c r="B717" i="1"/>
  <c r="M716" i="1"/>
  <c r="H716" i="1"/>
  <c r="F716" i="1"/>
  <c r="E716" i="1"/>
  <c r="D716" i="1"/>
  <c r="C716" i="1"/>
  <c r="B716" i="1"/>
  <c r="M715" i="1"/>
  <c r="H715" i="1"/>
  <c r="F715" i="1"/>
  <c r="E715" i="1"/>
  <c r="D715" i="1"/>
  <c r="C715" i="1"/>
  <c r="B715" i="1"/>
  <c r="M714" i="1"/>
  <c r="H714" i="1"/>
  <c r="F714" i="1"/>
  <c r="E714" i="1"/>
  <c r="D714" i="1"/>
  <c r="C714" i="1"/>
  <c r="B714" i="1"/>
  <c r="M713" i="1"/>
  <c r="H713" i="1"/>
  <c r="F713" i="1"/>
  <c r="E713" i="1"/>
  <c r="D713" i="1"/>
  <c r="C713" i="1"/>
  <c r="B713" i="1"/>
  <c r="M712" i="1"/>
  <c r="H712" i="1"/>
  <c r="F712" i="1"/>
  <c r="E712" i="1"/>
  <c r="D712" i="1"/>
  <c r="C712" i="1"/>
  <c r="B712" i="1"/>
  <c r="M711" i="1"/>
  <c r="H711" i="1"/>
  <c r="F711" i="1"/>
  <c r="E711" i="1"/>
  <c r="D711" i="1"/>
  <c r="C711" i="1"/>
  <c r="B711" i="1"/>
  <c r="M710" i="1"/>
  <c r="H710" i="1"/>
  <c r="F710" i="1"/>
  <c r="E710" i="1"/>
  <c r="D710" i="1"/>
  <c r="C710" i="1"/>
  <c r="B710" i="1"/>
  <c r="M709" i="1"/>
  <c r="H709" i="1"/>
  <c r="F709" i="1"/>
  <c r="E709" i="1"/>
  <c r="D709" i="1"/>
  <c r="C709" i="1"/>
  <c r="B709" i="1"/>
  <c r="M708" i="1"/>
  <c r="H708" i="1"/>
  <c r="F708" i="1"/>
  <c r="E708" i="1"/>
  <c r="D708" i="1"/>
  <c r="C708" i="1"/>
  <c r="B708" i="1"/>
  <c r="M707" i="1"/>
  <c r="H707" i="1"/>
  <c r="F707" i="1"/>
  <c r="E707" i="1"/>
  <c r="D707" i="1"/>
  <c r="C707" i="1"/>
  <c r="B707" i="1"/>
  <c r="M706" i="1"/>
  <c r="H706" i="1"/>
  <c r="F706" i="1"/>
  <c r="E706" i="1"/>
  <c r="D706" i="1"/>
  <c r="C706" i="1"/>
  <c r="B706" i="1"/>
  <c r="M705" i="1"/>
  <c r="H705" i="1"/>
  <c r="F705" i="1"/>
  <c r="E705" i="1"/>
  <c r="D705" i="1"/>
  <c r="C705" i="1"/>
  <c r="B705" i="1"/>
  <c r="M704" i="1"/>
  <c r="H704" i="1"/>
  <c r="F704" i="1"/>
  <c r="E704" i="1"/>
  <c r="D704" i="1"/>
  <c r="C704" i="1"/>
  <c r="B704" i="1"/>
  <c r="M703" i="1"/>
  <c r="H703" i="1"/>
  <c r="F703" i="1"/>
  <c r="E703" i="1"/>
  <c r="D703" i="1"/>
  <c r="C703" i="1"/>
  <c r="B703" i="1"/>
  <c r="M702" i="1"/>
  <c r="H702" i="1"/>
  <c r="F702" i="1"/>
  <c r="E702" i="1"/>
  <c r="D702" i="1"/>
  <c r="C702" i="1"/>
  <c r="B702" i="1"/>
  <c r="M701" i="1"/>
  <c r="H701" i="1"/>
  <c r="F701" i="1"/>
  <c r="E701" i="1"/>
  <c r="D701" i="1"/>
  <c r="C701" i="1"/>
  <c r="B701" i="1"/>
  <c r="M700" i="1"/>
  <c r="H700" i="1"/>
  <c r="F700" i="1"/>
  <c r="E700" i="1"/>
  <c r="D700" i="1"/>
  <c r="C700" i="1"/>
  <c r="B700" i="1"/>
  <c r="M699" i="1"/>
  <c r="H699" i="1"/>
  <c r="F699" i="1"/>
  <c r="E699" i="1"/>
  <c r="D699" i="1"/>
  <c r="C699" i="1"/>
  <c r="B699" i="1"/>
  <c r="M698" i="1"/>
  <c r="H698" i="1"/>
  <c r="F698" i="1"/>
  <c r="E698" i="1"/>
  <c r="D698" i="1"/>
  <c r="C698" i="1"/>
  <c r="B698" i="1"/>
  <c r="M697" i="1"/>
  <c r="H697" i="1"/>
  <c r="F697" i="1"/>
  <c r="E697" i="1"/>
  <c r="D697" i="1"/>
  <c r="C697" i="1"/>
  <c r="B697" i="1"/>
  <c r="M696" i="1"/>
  <c r="H696" i="1"/>
  <c r="F696" i="1"/>
  <c r="E696" i="1"/>
  <c r="D696" i="1"/>
  <c r="C696" i="1"/>
  <c r="B696" i="1"/>
  <c r="M695" i="1"/>
  <c r="H695" i="1"/>
  <c r="F695" i="1"/>
  <c r="E695" i="1"/>
  <c r="D695" i="1"/>
  <c r="C695" i="1"/>
  <c r="B695" i="1"/>
  <c r="M694" i="1"/>
  <c r="H694" i="1"/>
  <c r="F694" i="1"/>
  <c r="E694" i="1"/>
  <c r="D694" i="1"/>
  <c r="C694" i="1"/>
  <c r="B694" i="1"/>
  <c r="M693" i="1"/>
  <c r="H693" i="1"/>
  <c r="F693" i="1"/>
  <c r="E693" i="1"/>
  <c r="D693" i="1"/>
  <c r="C693" i="1"/>
  <c r="B693" i="1"/>
  <c r="M692" i="1"/>
  <c r="H692" i="1"/>
  <c r="F692" i="1"/>
  <c r="E692" i="1"/>
  <c r="D692" i="1"/>
  <c r="C692" i="1"/>
  <c r="B692" i="1"/>
  <c r="M691" i="1"/>
  <c r="H691" i="1"/>
  <c r="F691" i="1"/>
  <c r="E691" i="1"/>
  <c r="D691" i="1"/>
  <c r="C691" i="1"/>
  <c r="B691" i="1"/>
  <c r="M690" i="1"/>
  <c r="H690" i="1"/>
  <c r="F690" i="1"/>
  <c r="E690" i="1"/>
  <c r="D690" i="1"/>
  <c r="C690" i="1"/>
  <c r="B690" i="1"/>
  <c r="M689" i="1"/>
  <c r="H689" i="1"/>
  <c r="F689" i="1"/>
  <c r="E689" i="1"/>
  <c r="D689" i="1"/>
  <c r="C689" i="1"/>
  <c r="B689" i="1"/>
  <c r="M688" i="1"/>
  <c r="H688" i="1"/>
  <c r="F688" i="1"/>
  <c r="E688" i="1"/>
  <c r="D688" i="1"/>
  <c r="C688" i="1"/>
  <c r="B688" i="1"/>
  <c r="M687" i="1"/>
  <c r="H687" i="1"/>
  <c r="F687" i="1"/>
  <c r="E687" i="1"/>
  <c r="D687" i="1"/>
  <c r="C687" i="1"/>
  <c r="B687" i="1"/>
  <c r="M686" i="1"/>
  <c r="H686" i="1"/>
  <c r="F686" i="1"/>
  <c r="E686" i="1"/>
  <c r="D686" i="1"/>
  <c r="C686" i="1"/>
  <c r="B686" i="1"/>
  <c r="M685" i="1"/>
  <c r="H685" i="1"/>
  <c r="F685" i="1"/>
  <c r="E685" i="1"/>
  <c r="D685" i="1"/>
  <c r="C685" i="1"/>
  <c r="B685" i="1"/>
  <c r="M684" i="1"/>
  <c r="H684" i="1"/>
  <c r="F684" i="1"/>
  <c r="E684" i="1"/>
  <c r="D684" i="1"/>
  <c r="C684" i="1"/>
  <c r="B684" i="1"/>
  <c r="M683" i="1"/>
  <c r="H683" i="1"/>
  <c r="F683" i="1"/>
  <c r="E683" i="1"/>
  <c r="D683" i="1"/>
  <c r="C683" i="1"/>
  <c r="B683" i="1"/>
  <c r="M682" i="1"/>
  <c r="H682" i="1"/>
  <c r="F682" i="1"/>
  <c r="E682" i="1"/>
  <c r="D682" i="1"/>
  <c r="C682" i="1"/>
  <c r="B682" i="1"/>
  <c r="M681" i="1"/>
  <c r="H681" i="1"/>
  <c r="F681" i="1"/>
  <c r="E681" i="1"/>
  <c r="D681" i="1"/>
  <c r="C681" i="1"/>
  <c r="B681" i="1"/>
  <c r="M680" i="1"/>
  <c r="H680" i="1"/>
  <c r="F680" i="1"/>
  <c r="E680" i="1"/>
  <c r="D680" i="1"/>
  <c r="C680" i="1"/>
  <c r="B680" i="1"/>
  <c r="M679" i="1"/>
  <c r="H679" i="1"/>
  <c r="F679" i="1"/>
  <c r="E679" i="1"/>
  <c r="D679" i="1"/>
  <c r="C679" i="1"/>
  <c r="B679" i="1"/>
  <c r="M678" i="1"/>
  <c r="H678" i="1"/>
  <c r="F678" i="1"/>
  <c r="E678" i="1"/>
  <c r="D678" i="1"/>
  <c r="C678" i="1"/>
  <c r="B678" i="1"/>
  <c r="M677" i="1"/>
  <c r="H677" i="1"/>
  <c r="F677" i="1"/>
  <c r="E677" i="1"/>
  <c r="D677" i="1"/>
  <c r="C677" i="1"/>
  <c r="B677" i="1"/>
  <c r="M676" i="1"/>
  <c r="H676" i="1"/>
  <c r="F676" i="1"/>
  <c r="E676" i="1"/>
  <c r="D676" i="1"/>
  <c r="C676" i="1"/>
  <c r="B676" i="1"/>
  <c r="M675" i="1"/>
  <c r="H675" i="1"/>
  <c r="F675" i="1"/>
  <c r="E675" i="1"/>
  <c r="D675" i="1"/>
  <c r="C675" i="1"/>
  <c r="B675" i="1"/>
  <c r="M674" i="1"/>
  <c r="H674" i="1"/>
  <c r="F674" i="1"/>
  <c r="E674" i="1"/>
  <c r="D674" i="1"/>
  <c r="C674" i="1"/>
  <c r="B674" i="1"/>
  <c r="M673" i="1"/>
  <c r="H673" i="1"/>
  <c r="F673" i="1"/>
  <c r="E673" i="1"/>
  <c r="D673" i="1"/>
  <c r="C673" i="1"/>
  <c r="B673" i="1"/>
  <c r="M672" i="1"/>
  <c r="H672" i="1"/>
  <c r="F672" i="1"/>
  <c r="E672" i="1"/>
  <c r="D672" i="1"/>
  <c r="C672" i="1"/>
  <c r="B672" i="1"/>
  <c r="M671" i="1"/>
  <c r="H671" i="1"/>
  <c r="F671" i="1"/>
  <c r="E671" i="1"/>
  <c r="D671" i="1"/>
  <c r="C671" i="1"/>
  <c r="B671" i="1"/>
  <c r="M670" i="1"/>
  <c r="H670" i="1"/>
  <c r="F670" i="1"/>
  <c r="E670" i="1"/>
  <c r="D670" i="1"/>
  <c r="C670" i="1"/>
  <c r="B670" i="1"/>
  <c r="M669" i="1"/>
  <c r="H669" i="1"/>
  <c r="F669" i="1"/>
  <c r="E669" i="1"/>
  <c r="D669" i="1"/>
  <c r="C669" i="1"/>
  <c r="B669" i="1"/>
  <c r="M668" i="1"/>
  <c r="H668" i="1"/>
  <c r="F668" i="1"/>
  <c r="E668" i="1"/>
  <c r="D668" i="1"/>
  <c r="C668" i="1"/>
  <c r="B668" i="1"/>
  <c r="M667" i="1"/>
  <c r="H667" i="1"/>
  <c r="F667" i="1"/>
  <c r="E667" i="1"/>
  <c r="D667" i="1"/>
  <c r="C667" i="1"/>
  <c r="B667" i="1"/>
  <c r="M666" i="1"/>
  <c r="H666" i="1"/>
  <c r="F666" i="1"/>
  <c r="E666" i="1"/>
  <c r="D666" i="1"/>
  <c r="C666" i="1"/>
  <c r="B666" i="1"/>
  <c r="M665" i="1"/>
  <c r="H665" i="1"/>
  <c r="F665" i="1"/>
  <c r="E665" i="1"/>
  <c r="D665" i="1"/>
  <c r="C665" i="1"/>
  <c r="B665" i="1"/>
  <c r="M664" i="1"/>
  <c r="H664" i="1"/>
  <c r="F664" i="1"/>
  <c r="E664" i="1"/>
  <c r="D664" i="1"/>
  <c r="C664" i="1"/>
  <c r="B664" i="1"/>
  <c r="M663" i="1"/>
  <c r="H663" i="1"/>
  <c r="F663" i="1"/>
  <c r="E663" i="1"/>
  <c r="D663" i="1"/>
  <c r="C663" i="1"/>
  <c r="B663" i="1"/>
  <c r="M662" i="1"/>
  <c r="H662" i="1"/>
  <c r="F662" i="1"/>
  <c r="E662" i="1"/>
  <c r="D662" i="1"/>
  <c r="C662" i="1"/>
  <c r="B662" i="1"/>
  <c r="M661" i="1"/>
  <c r="H661" i="1"/>
  <c r="F661" i="1"/>
  <c r="E661" i="1"/>
  <c r="D661" i="1"/>
  <c r="C661" i="1"/>
  <c r="B661" i="1"/>
  <c r="M660" i="1"/>
  <c r="H660" i="1"/>
  <c r="F660" i="1"/>
  <c r="E660" i="1"/>
  <c r="D660" i="1"/>
  <c r="C660" i="1"/>
  <c r="B660" i="1"/>
  <c r="M659" i="1"/>
  <c r="H659" i="1"/>
  <c r="F659" i="1"/>
  <c r="E659" i="1"/>
  <c r="D659" i="1"/>
  <c r="C659" i="1"/>
  <c r="B659" i="1"/>
  <c r="M658" i="1"/>
  <c r="H658" i="1"/>
  <c r="F658" i="1"/>
  <c r="E658" i="1"/>
  <c r="D658" i="1"/>
  <c r="C658" i="1"/>
  <c r="B658" i="1"/>
  <c r="M657" i="1"/>
  <c r="H657" i="1"/>
  <c r="F657" i="1"/>
  <c r="E657" i="1"/>
  <c r="D657" i="1"/>
  <c r="C657" i="1"/>
  <c r="B657" i="1"/>
  <c r="M656" i="1"/>
  <c r="H656" i="1"/>
  <c r="F656" i="1"/>
  <c r="E656" i="1"/>
  <c r="D656" i="1"/>
  <c r="C656" i="1"/>
  <c r="B656" i="1"/>
  <c r="M655" i="1"/>
  <c r="H655" i="1"/>
  <c r="F655" i="1"/>
  <c r="E655" i="1"/>
  <c r="D655" i="1"/>
  <c r="C655" i="1"/>
  <c r="B655" i="1"/>
  <c r="M654" i="1"/>
  <c r="H654" i="1"/>
  <c r="F654" i="1"/>
  <c r="E654" i="1"/>
  <c r="D654" i="1"/>
  <c r="C654" i="1"/>
  <c r="B654" i="1"/>
  <c r="M653" i="1"/>
  <c r="H653" i="1"/>
  <c r="F653" i="1"/>
  <c r="E653" i="1"/>
  <c r="D653" i="1"/>
  <c r="C653" i="1"/>
  <c r="B653" i="1"/>
  <c r="M652" i="1"/>
  <c r="H652" i="1"/>
  <c r="F652" i="1"/>
  <c r="E652" i="1"/>
  <c r="D652" i="1"/>
  <c r="C652" i="1"/>
  <c r="B652" i="1"/>
  <c r="M651" i="1"/>
  <c r="H651" i="1"/>
  <c r="F651" i="1"/>
  <c r="E651" i="1"/>
  <c r="D651" i="1"/>
  <c r="C651" i="1"/>
  <c r="B651" i="1"/>
  <c r="M650" i="1"/>
  <c r="H650" i="1"/>
  <c r="F650" i="1"/>
  <c r="E650" i="1"/>
  <c r="D650" i="1"/>
  <c r="C650" i="1"/>
  <c r="B650" i="1"/>
  <c r="M649" i="1"/>
  <c r="H649" i="1"/>
  <c r="F649" i="1"/>
  <c r="E649" i="1"/>
  <c r="D649" i="1"/>
  <c r="C649" i="1"/>
  <c r="B649" i="1"/>
  <c r="M648" i="1"/>
  <c r="H648" i="1"/>
  <c r="F648" i="1"/>
  <c r="E648" i="1"/>
  <c r="D648" i="1"/>
  <c r="C648" i="1"/>
  <c r="B648" i="1"/>
  <c r="M647" i="1"/>
  <c r="H647" i="1"/>
  <c r="F647" i="1"/>
  <c r="E647" i="1"/>
  <c r="D647" i="1"/>
  <c r="C647" i="1"/>
  <c r="B647" i="1"/>
  <c r="M646" i="1"/>
  <c r="H646" i="1"/>
  <c r="F646" i="1"/>
  <c r="E646" i="1"/>
  <c r="D646" i="1"/>
  <c r="C646" i="1"/>
  <c r="B646" i="1"/>
  <c r="M645" i="1"/>
  <c r="H645" i="1"/>
  <c r="F645" i="1"/>
  <c r="E645" i="1"/>
  <c r="D645" i="1"/>
  <c r="C645" i="1"/>
  <c r="B645" i="1"/>
  <c r="M644" i="1"/>
  <c r="H644" i="1"/>
  <c r="F644" i="1"/>
  <c r="E644" i="1"/>
  <c r="D644" i="1"/>
  <c r="C644" i="1"/>
  <c r="B644" i="1"/>
  <c r="M643" i="1"/>
  <c r="H643" i="1"/>
  <c r="F643" i="1"/>
  <c r="E643" i="1"/>
  <c r="D643" i="1"/>
  <c r="C643" i="1"/>
  <c r="B643" i="1"/>
  <c r="M642" i="1"/>
  <c r="H642" i="1"/>
  <c r="F642" i="1"/>
  <c r="E642" i="1"/>
  <c r="D642" i="1"/>
  <c r="C642" i="1"/>
  <c r="B642" i="1"/>
  <c r="M641" i="1"/>
  <c r="H641" i="1"/>
  <c r="F641" i="1"/>
  <c r="E641" i="1"/>
  <c r="D641" i="1"/>
  <c r="C641" i="1"/>
  <c r="B641" i="1"/>
  <c r="M640" i="1"/>
  <c r="H640" i="1"/>
  <c r="F640" i="1"/>
  <c r="E640" i="1"/>
  <c r="D640" i="1"/>
  <c r="C640" i="1"/>
  <c r="B640" i="1"/>
  <c r="M639" i="1"/>
  <c r="H639" i="1"/>
  <c r="F639" i="1"/>
  <c r="E639" i="1"/>
  <c r="D639" i="1"/>
  <c r="C639" i="1"/>
  <c r="B639" i="1"/>
  <c r="M638" i="1"/>
  <c r="H638" i="1"/>
  <c r="F638" i="1"/>
  <c r="E638" i="1"/>
  <c r="D638" i="1"/>
  <c r="C638" i="1"/>
  <c r="B638" i="1"/>
  <c r="M637" i="1"/>
  <c r="H637" i="1"/>
  <c r="F637" i="1"/>
  <c r="E637" i="1"/>
  <c r="D637" i="1"/>
  <c r="C637" i="1"/>
  <c r="B637" i="1"/>
  <c r="M636" i="1"/>
  <c r="H636" i="1"/>
  <c r="F636" i="1"/>
  <c r="E636" i="1"/>
  <c r="D636" i="1"/>
  <c r="C636" i="1"/>
  <c r="B636" i="1"/>
  <c r="M635" i="1"/>
  <c r="H635" i="1"/>
  <c r="F635" i="1"/>
  <c r="E635" i="1"/>
  <c r="D635" i="1"/>
  <c r="C635" i="1"/>
  <c r="B635" i="1"/>
  <c r="M634" i="1"/>
  <c r="H634" i="1"/>
  <c r="F634" i="1"/>
  <c r="E634" i="1"/>
  <c r="D634" i="1"/>
  <c r="C634" i="1"/>
  <c r="B634" i="1"/>
  <c r="M633" i="1"/>
  <c r="H633" i="1"/>
  <c r="F633" i="1"/>
  <c r="E633" i="1"/>
  <c r="D633" i="1"/>
  <c r="C633" i="1"/>
  <c r="B633" i="1"/>
  <c r="M632" i="1"/>
  <c r="H632" i="1"/>
  <c r="F632" i="1"/>
  <c r="E632" i="1"/>
  <c r="D632" i="1"/>
  <c r="C632" i="1"/>
  <c r="B632" i="1"/>
  <c r="M631" i="1"/>
  <c r="H631" i="1"/>
  <c r="F631" i="1"/>
  <c r="E631" i="1"/>
  <c r="D631" i="1"/>
  <c r="C631" i="1"/>
  <c r="B631" i="1"/>
  <c r="M630" i="1"/>
  <c r="H630" i="1"/>
  <c r="F630" i="1"/>
  <c r="E630" i="1"/>
  <c r="D630" i="1"/>
  <c r="C630" i="1"/>
  <c r="B630" i="1"/>
  <c r="M629" i="1"/>
  <c r="H629" i="1"/>
  <c r="F629" i="1"/>
  <c r="E629" i="1"/>
  <c r="D629" i="1"/>
  <c r="C629" i="1"/>
  <c r="B629" i="1"/>
  <c r="M628" i="1"/>
  <c r="H628" i="1"/>
  <c r="F628" i="1"/>
  <c r="E628" i="1"/>
  <c r="D628" i="1"/>
  <c r="C628" i="1"/>
  <c r="B628" i="1"/>
  <c r="M627" i="1"/>
  <c r="H627" i="1"/>
  <c r="F627" i="1"/>
  <c r="E627" i="1"/>
  <c r="D627" i="1"/>
  <c r="C627" i="1"/>
  <c r="B627" i="1"/>
  <c r="M626" i="1"/>
  <c r="H626" i="1"/>
  <c r="F626" i="1"/>
  <c r="E626" i="1"/>
  <c r="D626" i="1"/>
  <c r="C626" i="1"/>
  <c r="B626" i="1"/>
  <c r="M625" i="1"/>
  <c r="H625" i="1"/>
  <c r="F625" i="1"/>
  <c r="E625" i="1"/>
  <c r="D625" i="1"/>
  <c r="C625" i="1"/>
  <c r="B625" i="1"/>
  <c r="M624" i="1"/>
  <c r="H624" i="1"/>
  <c r="F624" i="1"/>
  <c r="E624" i="1"/>
  <c r="D624" i="1"/>
  <c r="C624" i="1"/>
  <c r="B624" i="1"/>
  <c r="M623" i="1"/>
  <c r="H623" i="1"/>
  <c r="F623" i="1"/>
  <c r="E623" i="1"/>
  <c r="D623" i="1"/>
  <c r="C623" i="1"/>
  <c r="B623" i="1"/>
  <c r="M622" i="1"/>
  <c r="H622" i="1"/>
  <c r="F622" i="1"/>
  <c r="E622" i="1"/>
  <c r="D622" i="1"/>
  <c r="C622" i="1"/>
  <c r="B622" i="1"/>
  <c r="M621" i="1"/>
  <c r="H621" i="1"/>
  <c r="F621" i="1"/>
  <c r="E621" i="1"/>
  <c r="D621" i="1"/>
  <c r="C621" i="1"/>
  <c r="B621" i="1"/>
  <c r="M620" i="1"/>
  <c r="H620" i="1"/>
  <c r="F620" i="1"/>
  <c r="E620" i="1"/>
  <c r="D620" i="1"/>
  <c r="C620" i="1"/>
  <c r="B620" i="1"/>
  <c r="M619" i="1"/>
  <c r="H619" i="1"/>
  <c r="F619" i="1"/>
  <c r="E619" i="1"/>
  <c r="D619" i="1"/>
  <c r="C619" i="1"/>
  <c r="B619" i="1"/>
  <c r="M618" i="1"/>
  <c r="H618" i="1"/>
  <c r="F618" i="1"/>
  <c r="E618" i="1"/>
  <c r="D618" i="1"/>
  <c r="C618" i="1"/>
  <c r="B618" i="1"/>
  <c r="M617" i="1"/>
  <c r="H617" i="1"/>
  <c r="F617" i="1"/>
  <c r="E617" i="1"/>
  <c r="D617" i="1"/>
  <c r="C617" i="1"/>
  <c r="B617" i="1"/>
  <c r="M616" i="1"/>
  <c r="H616" i="1"/>
  <c r="F616" i="1"/>
  <c r="E616" i="1"/>
  <c r="D616" i="1"/>
  <c r="C616" i="1"/>
  <c r="B616" i="1"/>
  <c r="M615" i="1"/>
  <c r="H615" i="1"/>
  <c r="F615" i="1"/>
  <c r="E615" i="1"/>
  <c r="D615" i="1"/>
  <c r="C615" i="1"/>
  <c r="B615" i="1"/>
  <c r="M614" i="1"/>
  <c r="H614" i="1"/>
  <c r="F614" i="1"/>
  <c r="E614" i="1"/>
  <c r="D614" i="1"/>
  <c r="C614" i="1"/>
  <c r="B614" i="1"/>
  <c r="M613" i="1"/>
  <c r="H613" i="1"/>
  <c r="F613" i="1"/>
  <c r="E613" i="1"/>
  <c r="D613" i="1"/>
  <c r="C613" i="1"/>
  <c r="B613" i="1"/>
  <c r="M612" i="1"/>
  <c r="H612" i="1"/>
  <c r="F612" i="1"/>
  <c r="E612" i="1"/>
  <c r="D612" i="1"/>
  <c r="C612" i="1"/>
  <c r="B612" i="1"/>
  <c r="M611" i="1"/>
  <c r="H611" i="1"/>
  <c r="F611" i="1"/>
  <c r="E611" i="1"/>
  <c r="D611" i="1"/>
  <c r="C611" i="1"/>
  <c r="B611" i="1"/>
  <c r="M610" i="1"/>
  <c r="H610" i="1"/>
  <c r="F610" i="1"/>
  <c r="E610" i="1"/>
  <c r="D610" i="1"/>
  <c r="C610" i="1"/>
  <c r="B610" i="1"/>
  <c r="M609" i="1"/>
  <c r="H609" i="1"/>
  <c r="F609" i="1"/>
  <c r="E609" i="1"/>
  <c r="D609" i="1"/>
  <c r="C609" i="1"/>
  <c r="B609" i="1"/>
  <c r="M608" i="1"/>
  <c r="H608" i="1"/>
  <c r="F608" i="1"/>
  <c r="E608" i="1"/>
  <c r="D608" i="1"/>
  <c r="C608" i="1"/>
  <c r="B608" i="1"/>
  <c r="M607" i="1"/>
  <c r="H607" i="1"/>
  <c r="F607" i="1"/>
  <c r="E607" i="1"/>
  <c r="D607" i="1"/>
  <c r="C607" i="1"/>
  <c r="B607" i="1"/>
  <c r="M606" i="1"/>
  <c r="H606" i="1"/>
  <c r="F606" i="1"/>
  <c r="E606" i="1"/>
  <c r="D606" i="1"/>
  <c r="C606" i="1"/>
  <c r="B606" i="1"/>
  <c r="M605" i="1"/>
  <c r="H605" i="1"/>
  <c r="F605" i="1"/>
  <c r="E605" i="1"/>
  <c r="D605" i="1"/>
  <c r="C605" i="1"/>
  <c r="B605" i="1"/>
  <c r="M604" i="1"/>
  <c r="H604" i="1"/>
  <c r="F604" i="1"/>
  <c r="E604" i="1"/>
  <c r="D604" i="1"/>
  <c r="C604" i="1"/>
  <c r="B604" i="1"/>
  <c r="M603" i="1"/>
  <c r="H603" i="1"/>
  <c r="F603" i="1"/>
  <c r="E603" i="1"/>
  <c r="D603" i="1"/>
  <c r="C603" i="1"/>
  <c r="B603" i="1"/>
  <c r="M602" i="1"/>
  <c r="H602" i="1"/>
  <c r="F602" i="1"/>
  <c r="E602" i="1"/>
  <c r="D602" i="1"/>
  <c r="C602" i="1"/>
  <c r="B602" i="1"/>
  <c r="M601" i="1"/>
  <c r="H601" i="1"/>
  <c r="F601" i="1"/>
  <c r="E601" i="1"/>
  <c r="D601" i="1"/>
  <c r="C601" i="1"/>
  <c r="B601" i="1"/>
  <c r="M600" i="1"/>
  <c r="H600" i="1"/>
  <c r="F600" i="1"/>
  <c r="E600" i="1"/>
  <c r="D600" i="1"/>
  <c r="C600" i="1"/>
  <c r="B600" i="1"/>
  <c r="M599" i="1"/>
  <c r="H599" i="1"/>
  <c r="F599" i="1"/>
  <c r="E599" i="1"/>
  <c r="D599" i="1"/>
  <c r="C599" i="1"/>
  <c r="B599" i="1"/>
  <c r="M598" i="1"/>
  <c r="H598" i="1"/>
  <c r="F598" i="1"/>
  <c r="E598" i="1"/>
  <c r="D598" i="1"/>
  <c r="C598" i="1"/>
  <c r="B598" i="1"/>
  <c r="M597" i="1"/>
  <c r="H597" i="1"/>
  <c r="F597" i="1"/>
  <c r="E597" i="1"/>
  <c r="D597" i="1"/>
  <c r="C597" i="1"/>
  <c r="B597" i="1"/>
  <c r="M596" i="1"/>
  <c r="H596" i="1"/>
  <c r="F596" i="1"/>
  <c r="E596" i="1"/>
  <c r="D596" i="1"/>
  <c r="C596" i="1"/>
  <c r="B596" i="1"/>
  <c r="M595" i="1"/>
  <c r="H595" i="1"/>
  <c r="F595" i="1"/>
  <c r="E595" i="1"/>
  <c r="D595" i="1"/>
  <c r="C595" i="1"/>
  <c r="B595" i="1"/>
  <c r="M594" i="1"/>
  <c r="H594" i="1"/>
  <c r="F594" i="1"/>
  <c r="E594" i="1"/>
  <c r="D594" i="1"/>
  <c r="C594" i="1"/>
  <c r="B594" i="1"/>
  <c r="M593" i="1"/>
  <c r="H593" i="1"/>
  <c r="F593" i="1"/>
  <c r="E593" i="1"/>
  <c r="D593" i="1"/>
  <c r="C593" i="1"/>
  <c r="B593" i="1"/>
  <c r="M592" i="1"/>
  <c r="H592" i="1"/>
  <c r="F592" i="1"/>
  <c r="E592" i="1"/>
  <c r="D592" i="1"/>
  <c r="C592" i="1"/>
  <c r="B592" i="1"/>
  <c r="M591" i="1"/>
  <c r="H591" i="1"/>
  <c r="F591" i="1"/>
  <c r="E591" i="1"/>
  <c r="D591" i="1"/>
  <c r="C591" i="1"/>
  <c r="B591" i="1"/>
  <c r="M590" i="1"/>
  <c r="H590" i="1"/>
  <c r="F590" i="1"/>
  <c r="E590" i="1"/>
  <c r="D590" i="1"/>
  <c r="C590" i="1"/>
  <c r="B590" i="1"/>
  <c r="M589" i="1"/>
  <c r="H589" i="1"/>
  <c r="F589" i="1"/>
  <c r="E589" i="1"/>
  <c r="D589" i="1"/>
  <c r="C589" i="1"/>
  <c r="B589" i="1"/>
  <c r="M588" i="1"/>
  <c r="H588" i="1"/>
  <c r="F588" i="1"/>
  <c r="E588" i="1"/>
  <c r="D588" i="1"/>
  <c r="C588" i="1"/>
  <c r="B588" i="1"/>
  <c r="M587" i="1"/>
  <c r="H587" i="1"/>
  <c r="F587" i="1"/>
  <c r="E587" i="1"/>
  <c r="D587" i="1"/>
  <c r="C587" i="1"/>
  <c r="B587" i="1"/>
  <c r="M586" i="1"/>
  <c r="H586" i="1"/>
  <c r="F586" i="1"/>
  <c r="E586" i="1"/>
  <c r="D586" i="1"/>
  <c r="C586" i="1"/>
  <c r="B586" i="1"/>
  <c r="M585" i="1"/>
  <c r="H585" i="1"/>
  <c r="F585" i="1"/>
  <c r="E585" i="1"/>
  <c r="D585" i="1"/>
  <c r="C585" i="1"/>
  <c r="B585" i="1"/>
  <c r="M584" i="1"/>
  <c r="H584" i="1"/>
  <c r="F584" i="1"/>
  <c r="E584" i="1"/>
  <c r="D584" i="1"/>
  <c r="C584" i="1"/>
  <c r="B584" i="1"/>
  <c r="M583" i="1"/>
  <c r="H583" i="1"/>
  <c r="F583" i="1"/>
  <c r="E583" i="1"/>
  <c r="D583" i="1"/>
  <c r="C583" i="1"/>
  <c r="B583" i="1"/>
  <c r="M582" i="1"/>
  <c r="H582" i="1"/>
  <c r="F582" i="1"/>
  <c r="E582" i="1"/>
  <c r="D582" i="1"/>
  <c r="C582" i="1"/>
  <c r="B582" i="1"/>
  <c r="M581" i="1"/>
  <c r="H581" i="1"/>
  <c r="F581" i="1"/>
  <c r="E581" i="1"/>
  <c r="D581" i="1"/>
  <c r="C581" i="1"/>
  <c r="B581" i="1"/>
  <c r="M580" i="1"/>
  <c r="H580" i="1"/>
  <c r="F580" i="1"/>
  <c r="E580" i="1"/>
  <c r="D580" i="1"/>
  <c r="C580" i="1"/>
  <c r="B580" i="1"/>
  <c r="M579" i="1"/>
  <c r="H579" i="1"/>
  <c r="F579" i="1"/>
  <c r="E579" i="1"/>
  <c r="D579" i="1"/>
  <c r="C579" i="1"/>
  <c r="B579" i="1"/>
  <c r="M578" i="1"/>
  <c r="H578" i="1"/>
  <c r="F578" i="1"/>
  <c r="E578" i="1"/>
  <c r="D578" i="1"/>
  <c r="C578" i="1"/>
  <c r="B578" i="1"/>
  <c r="M577" i="1"/>
  <c r="H577" i="1"/>
  <c r="F577" i="1"/>
  <c r="E577" i="1"/>
  <c r="D577" i="1"/>
  <c r="C577" i="1"/>
  <c r="B577" i="1"/>
  <c r="M576" i="1"/>
  <c r="H576" i="1"/>
  <c r="F576" i="1"/>
  <c r="E576" i="1"/>
  <c r="D576" i="1"/>
  <c r="C576" i="1"/>
  <c r="B576" i="1"/>
  <c r="M575" i="1"/>
  <c r="H575" i="1"/>
  <c r="F575" i="1"/>
  <c r="E575" i="1"/>
  <c r="D575" i="1"/>
  <c r="C575" i="1"/>
  <c r="B575" i="1"/>
  <c r="M574" i="1"/>
  <c r="H574" i="1"/>
  <c r="F574" i="1"/>
  <c r="E574" i="1"/>
  <c r="D574" i="1"/>
  <c r="C574" i="1"/>
  <c r="B574" i="1"/>
  <c r="M573" i="1"/>
  <c r="H573" i="1"/>
  <c r="F573" i="1"/>
  <c r="E573" i="1"/>
  <c r="D573" i="1"/>
  <c r="C573" i="1"/>
  <c r="B573" i="1"/>
  <c r="M572" i="1"/>
  <c r="H572" i="1"/>
  <c r="F572" i="1"/>
  <c r="E572" i="1"/>
  <c r="D572" i="1"/>
  <c r="C572" i="1"/>
  <c r="B572" i="1"/>
  <c r="M571" i="1"/>
  <c r="H571" i="1"/>
  <c r="F571" i="1"/>
  <c r="E571" i="1"/>
  <c r="D571" i="1"/>
  <c r="C571" i="1"/>
  <c r="B571" i="1"/>
  <c r="M570" i="1"/>
  <c r="H570" i="1"/>
  <c r="F570" i="1"/>
  <c r="E570" i="1"/>
  <c r="D570" i="1"/>
  <c r="C570" i="1"/>
  <c r="B570" i="1"/>
  <c r="M569" i="1"/>
  <c r="H569" i="1"/>
  <c r="F569" i="1"/>
  <c r="E569" i="1"/>
  <c r="D569" i="1"/>
  <c r="C569" i="1"/>
  <c r="B569" i="1"/>
  <c r="M568" i="1"/>
  <c r="H568" i="1"/>
  <c r="F568" i="1"/>
  <c r="E568" i="1"/>
  <c r="D568" i="1"/>
  <c r="C568" i="1"/>
  <c r="B568" i="1"/>
  <c r="M567" i="1"/>
  <c r="H567" i="1"/>
  <c r="F567" i="1"/>
  <c r="E567" i="1"/>
  <c r="D567" i="1"/>
  <c r="C567" i="1"/>
  <c r="B567" i="1"/>
  <c r="M566" i="1"/>
  <c r="H566" i="1"/>
  <c r="F566" i="1"/>
  <c r="E566" i="1"/>
  <c r="D566" i="1"/>
  <c r="C566" i="1"/>
  <c r="B566" i="1"/>
  <c r="M565" i="1"/>
  <c r="H565" i="1"/>
  <c r="F565" i="1"/>
  <c r="E565" i="1"/>
  <c r="D565" i="1"/>
  <c r="C565" i="1"/>
  <c r="B565" i="1"/>
  <c r="M564" i="1"/>
  <c r="H564" i="1"/>
  <c r="F564" i="1"/>
  <c r="E564" i="1"/>
  <c r="D564" i="1"/>
  <c r="C564" i="1"/>
  <c r="B564" i="1"/>
  <c r="M563" i="1"/>
  <c r="H563" i="1"/>
  <c r="F563" i="1"/>
  <c r="E563" i="1"/>
  <c r="D563" i="1"/>
  <c r="C563" i="1"/>
  <c r="B563" i="1"/>
  <c r="M562" i="1"/>
  <c r="H562" i="1"/>
  <c r="F562" i="1"/>
  <c r="E562" i="1"/>
  <c r="D562" i="1"/>
  <c r="C562" i="1"/>
  <c r="B562" i="1"/>
  <c r="M561" i="1"/>
  <c r="H561" i="1"/>
  <c r="F561" i="1"/>
  <c r="E561" i="1"/>
  <c r="D561" i="1"/>
  <c r="C561" i="1"/>
  <c r="B561" i="1"/>
  <c r="M560" i="1"/>
  <c r="H560" i="1"/>
  <c r="F560" i="1"/>
  <c r="E560" i="1"/>
  <c r="D560" i="1"/>
  <c r="C560" i="1"/>
  <c r="B560" i="1"/>
  <c r="M559" i="1"/>
  <c r="H559" i="1"/>
  <c r="F559" i="1"/>
  <c r="E559" i="1"/>
  <c r="D559" i="1"/>
  <c r="C559" i="1"/>
  <c r="B559" i="1"/>
  <c r="M558" i="1"/>
  <c r="H558" i="1"/>
  <c r="F558" i="1"/>
  <c r="E558" i="1"/>
  <c r="D558" i="1"/>
  <c r="C558" i="1"/>
  <c r="B558" i="1"/>
  <c r="M557" i="1"/>
  <c r="H557" i="1"/>
  <c r="F557" i="1"/>
  <c r="E557" i="1"/>
  <c r="D557" i="1"/>
  <c r="C557" i="1"/>
  <c r="B557" i="1"/>
  <c r="M556" i="1"/>
  <c r="H556" i="1"/>
  <c r="F556" i="1"/>
  <c r="E556" i="1"/>
  <c r="D556" i="1"/>
  <c r="C556" i="1"/>
  <c r="B556" i="1"/>
  <c r="M555" i="1"/>
  <c r="H555" i="1"/>
  <c r="F555" i="1"/>
  <c r="E555" i="1"/>
  <c r="D555" i="1"/>
  <c r="C555" i="1"/>
  <c r="B555" i="1"/>
  <c r="M554" i="1"/>
  <c r="H554" i="1"/>
  <c r="F554" i="1"/>
  <c r="E554" i="1"/>
  <c r="D554" i="1"/>
  <c r="C554" i="1"/>
  <c r="B554" i="1"/>
  <c r="M553" i="1"/>
  <c r="H553" i="1"/>
  <c r="F553" i="1"/>
  <c r="E553" i="1"/>
  <c r="D553" i="1"/>
  <c r="C553" i="1"/>
  <c r="B553" i="1"/>
  <c r="M552" i="1"/>
  <c r="H552" i="1"/>
  <c r="F552" i="1"/>
  <c r="E552" i="1"/>
  <c r="D552" i="1"/>
  <c r="C552" i="1"/>
  <c r="B552" i="1"/>
  <c r="M551" i="1"/>
  <c r="H551" i="1"/>
  <c r="F551" i="1"/>
  <c r="E551" i="1"/>
  <c r="D551" i="1"/>
  <c r="C551" i="1"/>
  <c r="B551" i="1"/>
  <c r="M550" i="1"/>
  <c r="H550" i="1"/>
  <c r="F550" i="1"/>
  <c r="E550" i="1"/>
  <c r="D550" i="1"/>
  <c r="C550" i="1"/>
  <c r="B550" i="1"/>
  <c r="M549" i="1"/>
  <c r="H549" i="1"/>
  <c r="F549" i="1"/>
  <c r="E549" i="1"/>
  <c r="D549" i="1"/>
  <c r="C549" i="1"/>
  <c r="B549" i="1"/>
  <c r="M548" i="1"/>
  <c r="H548" i="1"/>
  <c r="F548" i="1"/>
  <c r="E548" i="1"/>
  <c r="D548" i="1"/>
  <c r="C548" i="1"/>
  <c r="B548" i="1"/>
  <c r="M547" i="1"/>
  <c r="H547" i="1"/>
  <c r="F547" i="1"/>
  <c r="E547" i="1"/>
  <c r="D547" i="1"/>
  <c r="C547" i="1"/>
  <c r="B547" i="1"/>
  <c r="M546" i="1"/>
  <c r="H546" i="1"/>
  <c r="F546" i="1"/>
  <c r="E546" i="1"/>
  <c r="D546" i="1"/>
  <c r="C546" i="1"/>
  <c r="B546" i="1"/>
  <c r="M545" i="1"/>
  <c r="H545" i="1"/>
  <c r="F545" i="1"/>
  <c r="E545" i="1"/>
  <c r="D545" i="1"/>
  <c r="C545" i="1"/>
  <c r="B545" i="1"/>
  <c r="M544" i="1"/>
  <c r="H544" i="1"/>
  <c r="F544" i="1"/>
  <c r="E544" i="1"/>
  <c r="D544" i="1"/>
  <c r="C544" i="1"/>
  <c r="B544" i="1"/>
  <c r="M543" i="1"/>
  <c r="H543" i="1"/>
  <c r="F543" i="1"/>
  <c r="E543" i="1"/>
  <c r="D543" i="1"/>
  <c r="C543" i="1"/>
  <c r="B543" i="1"/>
  <c r="M542" i="1"/>
  <c r="H542" i="1"/>
  <c r="F542" i="1"/>
  <c r="E542" i="1"/>
  <c r="D542" i="1"/>
  <c r="C542" i="1"/>
  <c r="B542" i="1"/>
  <c r="M541" i="1"/>
  <c r="H541" i="1"/>
  <c r="F541" i="1"/>
  <c r="E541" i="1"/>
  <c r="D541" i="1"/>
  <c r="C541" i="1"/>
  <c r="B541" i="1"/>
  <c r="M540" i="1"/>
  <c r="H540" i="1"/>
  <c r="F540" i="1"/>
  <c r="E540" i="1"/>
  <c r="D540" i="1"/>
  <c r="C540" i="1"/>
  <c r="B540" i="1"/>
  <c r="M539" i="1"/>
  <c r="H539" i="1"/>
  <c r="F539" i="1"/>
  <c r="E539" i="1"/>
  <c r="D539" i="1"/>
  <c r="C539" i="1"/>
  <c r="B539" i="1"/>
  <c r="M538" i="1"/>
  <c r="H538" i="1"/>
  <c r="F538" i="1"/>
  <c r="E538" i="1"/>
  <c r="D538" i="1"/>
  <c r="C538" i="1"/>
  <c r="B538" i="1"/>
  <c r="M537" i="1"/>
  <c r="H537" i="1"/>
  <c r="F537" i="1"/>
  <c r="E537" i="1"/>
  <c r="D537" i="1"/>
  <c r="C537" i="1"/>
  <c r="B537" i="1"/>
  <c r="M536" i="1"/>
  <c r="H536" i="1"/>
  <c r="F536" i="1"/>
  <c r="E536" i="1"/>
  <c r="D536" i="1"/>
  <c r="C536" i="1"/>
  <c r="B536" i="1"/>
  <c r="M535" i="1"/>
  <c r="H535" i="1"/>
  <c r="F535" i="1"/>
  <c r="E535" i="1"/>
  <c r="D535" i="1"/>
  <c r="C535" i="1"/>
  <c r="B535" i="1"/>
  <c r="M534" i="1"/>
  <c r="H534" i="1"/>
  <c r="F534" i="1"/>
  <c r="E534" i="1"/>
  <c r="D534" i="1"/>
  <c r="C534" i="1"/>
  <c r="B534" i="1"/>
  <c r="M533" i="1"/>
  <c r="H533" i="1"/>
  <c r="F533" i="1"/>
  <c r="E533" i="1"/>
  <c r="D533" i="1"/>
  <c r="C533" i="1"/>
  <c r="B533" i="1"/>
  <c r="M532" i="1"/>
  <c r="H532" i="1"/>
  <c r="F532" i="1"/>
  <c r="E532" i="1"/>
  <c r="D532" i="1"/>
  <c r="C532" i="1"/>
  <c r="B532" i="1"/>
  <c r="M531" i="1"/>
  <c r="H531" i="1"/>
  <c r="F531" i="1"/>
  <c r="E531" i="1"/>
  <c r="D531" i="1"/>
  <c r="C531" i="1"/>
  <c r="B531" i="1"/>
  <c r="M530" i="1"/>
  <c r="H530" i="1"/>
  <c r="F530" i="1"/>
  <c r="E530" i="1"/>
  <c r="D530" i="1"/>
  <c r="C530" i="1"/>
  <c r="B530" i="1"/>
  <c r="M529" i="1"/>
  <c r="H529" i="1"/>
  <c r="F529" i="1"/>
  <c r="E529" i="1"/>
  <c r="D529" i="1"/>
  <c r="C529" i="1"/>
  <c r="B529" i="1"/>
  <c r="M528" i="1"/>
  <c r="H528" i="1"/>
  <c r="F528" i="1"/>
  <c r="E528" i="1"/>
  <c r="D528" i="1"/>
  <c r="C528" i="1"/>
  <c r="B528" i="1"/>
  <c r="M527" i="1"/>
  <c r="H527" i="1"/>
  <c r="F527" i="1"/>
  <c r="E527" i="1"/>
  <c r="D527" i="1"/>
  <c r="C527" i="1"/>
  <c r="B527" i="1"/>
  <c r="M526" i="1"/>
  <c r="H526" i="1"/>
  <c r="F526" i="1"/>
  <c r="E526" i="1"/>
  <c r="D526" i="1"/>
  <c r="C526" i="1"/>
  <c r="B526" i="1"/>
  <c r="M525" i="1"/>
  <c r="H525" i="1"/>
  <c r="F525" i="1"/>
  <c r="E525" i="1"/>
  <c r="D525" i="1"/>
  <c r="C525" i="1"/>
  <c r="B525" i="1"/>
  <c r="M524" i="1"/>
  <c r="H524" i="1"/>
  <c r="F524" i="1"/>
  <c r="E524" i="1"/>
  <c r="D524" i="1"/>
  <c r="C524" i="1"/>
  <c r="B524" i="1"/>
  <c r="M523" i="1"/>
  <c r="H523" i="1"/>
  <c r="F523" i="1"/>
  <c r="E523" i="1"/>
  <c r="D523" i="1"/>
  <c r="C523" i="1"/>
  <c r="B523" i="1"/>
  <c r="M522" i="1"/>
  <c r="H522" i="1"/>
  <c r="F522" i="1"/>
  <c r="E522" i="1"/>
  <c r="D522" i="1"/>
  <c r="C522" i="1"/>
  <c r="B522" i="1"/>
  <c r="M521" i="1"/>
  <c r="H521" i="1"/>
  <c r="F521" i="1"/>
  <c r="E521" i="1"/>
  <c r="D521" i="1"/>
  <c r="C521" i="1"/>
  <c r="B521" i="1"/>
  <c r="M520" i="1"/>
  <c r="H520" i="1"/>
  <c r="F520" i="1"/>
  <c r="E520" i="1"/>
  <c r="D520" i="1"/>
  <c r="C520" i="1"/>
  <c r="B520" i="1"/>
  <c r="M519" i="1"/>
  <c r="H519" i="1"/>
  <c r="F519" i="1"/>
  <c r="E519" i="1"/>
  <c r="D519" i="1"/>
  <c r="C519" i="1"/>
  <c r="B519" i="1"/>
  <c r="M518" i="1"/>
  <c r="H518" i="1"/>
  <c r="F518" i="1"/>
  <c r="E518" i="1"/>
  <c r="D518" i="1"/>
  <c r="C518" i="1"/>
  <c r="B518" i="1"/>
  <c r="M517" i="1"/>
  <c r="H517" i="1"/>
  <c r="F517" i="1"/>
  <c r="E517" i="1"/>
  <c r="D517" i="1"/>
  <c r="C517" i="1"/>
  <c r="B517" i="1"/>
  <c r="M516" i="1"/>
  <c r="H516" i="1"/>
  <c r="F516" i="1"/>
  <c r="E516" i="1"/>
  <c r="D516" i="1"/>
  <c r="C516" i="1"/>
  <c r="B516" i="1"/>
  <c r="M515" i="1"/>
  <c r="H515" i="1"/>
  <c r="F515" i="1"/>
  <c r="E515" i="1"/>
  <c r="D515" i="1"/>
  <c r="C515" i="1"/>
  <c r="B515" i="1"/>
  <c r="M514" i="1"/>
  <c r="H514" i="1"/>
  <c r="F514" i="1"/>
  <c r="E514" i="1"/>
  <c r="D514" i="1"/>
  <c r="C514" i="1"/>
  <c r="B514" i="1"/>
  <c r="M513" i="1"/>
  <c r="H513" i="1"/>
  <c r="F513" i="1"/>
  <c r="E513" i="1"/>
  <c r="D513" i="1"/>
  <c r="C513" i="1"/>
  <c r="B513" i="1"/>
  <c r="M512" i="1"/>
  <c r="H512" i="1"/>
  <c r="F512" i="1"/>
  <c r="E512" i="1"/>
  <c r="D512" i="1"/>
  <c r="C512" i="1"/>
  <c r="B512" i="1"/>
  <c r="M511" i="1"/>
  <c r="H511" i="1"/>
  <c r="F511" i="1"/>
  <c r="E511" i="1"/>
  <c r="D511" i="1"/>
  <c r="C511" i="1"/>
  <c r="B511" i="1"/>
  <c r="M510" i="1"/>
  <c r="H510" i="1"/>
  <c r="F510" i="1"/>
  <c r="E510" i="1"/>
  <c r="D510" i="1"/>
  <c r="C510" i="1"/>
  <c r="B510" i="1"/>
  <c r="M509" i="1"/>
  <c r="H509" i="1"/>
  <c r="F509" i="1"/>
  <c r="E509" i="1"/>
  <c r="D509" i="1"/>
  <c r="C509" i="1"/>
  <c r="B509" i="1"/>
  <c r="M508" i="1"/>
  <c r="H508" i="1"/>
  <c r="F508" i="1"/>
  <c r="E508" i="1"/>
  <c r="D508" i="1"/>
  <c r="C508" i="1"/>
  <c r="B508" i="1"/>
  <c r="M507" i="1"/>
  <c r="H507" i="1"/>
  <c r="F507" i="1"/>
  <c r="E507" i="1"/>
  <c r="D507" i="1"/>
  <c r="C507" i="1"/>
  <c r="B507" i="1"/>
  <c r="M506" i="1"/>
  <c r="H506" i="1"/>
  <c r="F506" i="1"/>
  <c r="E506" i="1"/>
  <c r="D506" i="1"/>
  <c r="C506" i="1"/>
  <c r="B506" i="1"/>
  <c r="M505" i="1"/>
  <c r="H505" i="1"/>
  <c r="F505" i="1"/>
  <c r="E505" i="1"/>
  <c r="D505" i="1"/>
  <c r="C505" i="1"/>
  <c r="B505" i="1"/>
  <c r="M504" i="1"/>
  <c r="H504" i="1"/>
  <c r="F504" i="1"/>
  <c r="E504" i="1"/>
  <c r="D504" i="1"/>
  <c r="C504" i="1"/>
  <c r="B504" i="1"/>
  <c r="M503" i="1"/>
  <c r="H503" i="1"/>
  <c r="F503" i="1"/>
  <c r="E503" i="1"/>
  <c r="D503" i="1"/>
  <c r="C503" i="1"/>
  <c r="B503" i="1"/>
  <c r="M502" i="1"/>
  <c r="H502" i="1"/>
  <c r="F502" i="1"/>
  <c r="E502" i="1"/>
  <c r="D502" i="1"/>
  <c r="C502" i="1"/>
  <c r="B502" i="1"/>
  <c r="M501" i="1"/>
  <c r="H501" i="1"/>
  <c r="F501" i="1"/>
  <c r="E501" i="1"/>
  <c r="D501" i="1"/>
  <c r="C501" i="1"/>
  <c r="B501" i="1"/>
  <c r="M500" i="1"/>
  <c r="H500" i="1"/>
  <c r="F500" i="1"/>
  <c r="E500" i="1"/>
  <c r="D500" i="1"/>
  <c r="C500" i="1"/>
  <c r="B500" i="1"/>
  <c r="M499" i="1"/>
  <c r="H499" i="1"/>
  <c r="F499" i="1"/>
  <c r="E499" i="1"/>
  <c r="D499" i="1"/>
  <c r="C499" i="1"/>
  <c r="B499" i="1"/>
  <c r="M498" i="1"/>
  <c r="H498" i="1"/>
  <c r="F498" i="1"/>
  <c r="E498" i="1"/>
  <c r="D498" i="1"/>
  <c r="C498" i="1"/>
  <c r="B498" i="1"/>
  <c r="M497" i="1"/>
  <c r="H497" i="1"/>
  <c r="F497" i="1"/>
  <c r="E497" i="1"/>
  <c r="D497" i="1"/>
  <c r="C497" i="1"/>
  <c r="B497" i="1"/>
  <c r="M496" i="1"/>
  <c r="H496" i="1"/>
  <c r="F496" i="1"/>
  <c r="E496" i="1"/>
  <c r="D496" i="1"/>
  <c r="C496" i="1"/>
  <c r="B496" i="1"/>
  <c r="M495" i="1"/>
  <c r="H495" i="1"/>
  <c r="F495" i="1"/>
  <c r="E495" i="1"/>
  <c r="D495" i="1"/>
  <c r="C495" i="1"/>
  <c r="B495" i="1"/>
  <c r="M494" i="1"/>
  <c r="H494" i="1"/>
  <c r="F494" i="1"/>
  <c r="E494" i="1"/>
  <c r="D494" i="1"/>
  <c r="C494" i="1"/>
  <c r="B494" i="1"/>
  <c r="M493" i="1"/>
  <c r="H493" i="1"/>
  <c r="F493" i="1"/>
  <c r="E493" i="1"/>
  <c r="D493" i="1"/>
  <c r="C493" i="1"/>
  <c r="B493" i="1"/>
  <c r="M492" i="1"/>
  <c r="H492" i="1"/>
  <c r="F492" i="1"/>
  <c r="E492" i="1"/>
  <c r="D492" i="1"/>
  <c r="C492" i="1"/>
  <c r="B492" i="1"/>
  <c r="M491" i="1"/>
  <c r="H491" i="1"/>
  <c r="F491" i="1"/>
  <c r="E491" i="1"/>
  <c r="D491" i="1"/>
  <c r="C491" i="1"/>
  <c r="B491" i="1"/>
  <c r="M490" i="1"/>
  <c r="H490" i="1"/>
  <c r="F490" i="1"/>
  <c r="E490" i="1"/>
  <c r="D490" i="1"/>
  <c r="C490" i="1"/>
  <c r="B490" i="1"/>
  <c r="M489" i="1"/>
  <c r="H489" i="1"/>
  <c r="F489" i="1"/>
  <c r="E489" i="1"/>
  <c r="D489" i="1"/>
  <c r="C489" i="1"/>
  <c r="B489" i="1"/>
  <c r="M488" i="1"/>
  <c r="H488" i="1"/>
  <c r="F488" i="1"/>
  <c r="E488" i="1"/>
  <c r="D488" i="1"/>
  <c r="C488" i="1"/>
  <c r="B488" i="1"/>
  <c r="M487" i="1"/>
  <c r="H487" i="1"/>
  <c r="F487" i="1"/>
  <c r="E487" i="1"/>
  <c r="D487" i="1"/>
  <c r="C487" i="1"/>
  <c r="B487" i="1"/>
  <c r="M486" i="1"/>
  <c r="H486" i="1"/>
  <c r="F486" i="1"/>
  <c r="E486" i="1"/>
  <c r="D486" i="1"/>
  <c r="C486" i="1"/>
  <c r="B486" i="1"/>
  <c r="M485" i="1"/>
  <c r="H485" i="1"/>
  <c r="F485" i="1"/>
  <c r="E485" i="1"/>
  <c r="D485" i="1"/>
  <c r="C485" i="1"/>
  <c r="B485" i="1"/>
  <c r="M484" i="1"/>
  <c r="H484" i="1"/>
  <c r="F484" i="1"/>
  <c r="E484" i="1"/>
  <c r="D484" i="1"/>
  <c r="C484" i="1"/>
  <c r="B484" i="1"/>
  <c r="M483" i="1"/>
  <c r="H483" i="1"/>
  <c r="F483" i="1"/>
  <c r="E483" i="1"/>
  <c r="D483" i="1"/>
  <c r="C483" i="1"/>
  <c r="B483" i="1"/>
  <c r="M482" i="1"/>
  <c r="H482" i="1"/>
  <c r="F482" i="1"/>
  <c r="E482" i="1"/>
  <c r="D482" i="1"/>
  <c r="C482" i="1"/>
  <c r="B482" i="1"/>
  <c r="M481" i="1"/>
  <c r="H481" i="1"/>
  <c r="F481" i="1"/>
  <c r="E481" i="1"/>
  <c r="D481" i="1"/>
  <c r="C481" i="1"/>
  <c r="B481" i="1"/>
  <c r="M480" i="1"/>
  <c r="H480" i="1"/>
  <c r="F480" i="1"/>
  <c r="E480" i="1"/>
  <c r="D480" i="1"/>
  <c r="C480" i="1"/>
  <c r="B480" i="1"/>
  <c r="M479" i="1"/>
  <c r="H479" i="1"/>
  <c r="F479" i="1"/>
  <c r="E479" i="1"/>
  <c r="D479" i="1"/>
  <c r="C479" i="1"/>
  <c r="B479" i="1"/>
  <c r="M478" i="1"/>
  <c r="H478" i="1"/>
  <c r="F478" i="1"/>
  <c r="E478" i="1"/>
  <c r="D478" i="1"/>
  <c r="C478" i="1"/>
  <c r="B478" i="1"/>
  <c r="M477" i="1"/>
  <c r="H477" i="1"/>
  <c r="F477" i="1"/>
  <c r="E477" i="1"/>
  <c r="D477" i="1"/>
  <c r="C477" i="1"/>
  <c r="B477" i="1"/>
  <c r="M476" i="1"/>
  <c r="H476" i="1"/>
  <c r="F476" i="1"/>
  <c r="E476" i="1"/>
  <c r="D476" i="1"/>
  <c r="C476" i="1"/>
  <c r="B476" i="1"/>
  <c r="M475" i="1"/>
  <c r="H475" i="1"/>
  <c r="F475" i="1"/>
  <c r="E475" i="1"/>
  <c r="D475" i="1"/>
  <c r="C475" i="1"/>
  <c r="B475" i="1"/>
  <c r="M474" i="1"/>
  <c r="H474" i="1"/>
  <c r="F474" i="1"/>
  <c r="E474" i="1"/>
  <c r="D474" i="1"/>
  <c r="C474" i="1"/>
  <c r="B474" i="1"/>
  <c r="M473" i="1"/>
  <c r="H473" i="1"/>
  <c r="F473" i="1"/>
  <c r="E473" i="1"/>
  <c r="D473" i="1"/>
  <c r="C473" i="1"/>
  <c r="B473" i="1"/>
  <c r="M472" i="1"/>
  <c r="H472" i="1"/>
  <c r="F472" i="1"/>
  <c r="E472" i="1"/>
  <c r="D472" i="1"/>
  <c r="C472" i="1"/>
  <c r="B472" i="1"/>
  <c r="M471" i="1"/>
  <c r="H471" i="1"/>
  <c r="F471" i="1"/>
  <c r="E471" i="1"/>
  <c r="D471" i="1"/>
  <c r="C471" i="1"/>
  <c r="B471" i="1"/>
  <c r="M470" i="1"/>
  <c r="H470" i="1"/>
  <c r="F470" i="1"/>
  <c r="E470" i="1"/>
  <c r="D470" i="1"/>
  <c r="C470" i="1"/>
  <c r="B470" i="1"/>
  <c r="M469" i="1"/>
  <c r="H469" i="1"/>
  <c r="F469" i="1"/>
  <c r="E469" i="1"/>
  <c r="D469" i="1"/>
  <c r="C469" i="1"/>
  <c r="B469" i="1"/>
  <c r="M468" i="1"/>
  <c r="H468" i="1"/>
  <c r="F468" i="1"/>
  <c r="E468" i="1"/>
  <c r="D468" i="1"/>
  <c r="C468" i="1"/>
  <c r="B468" i="1"/>
  <c r="M467" i="1"/>
  <c r="H467" i="1"/>
  <c r="F467" i="1"/>
  <c r="E467" i="1"/>
  <c r="D467" i="1"/>
  <c r="C467" i="1"/>
  <c r="B467" i="1"/>
  <c r="M466" i="1"/>
  <c r="H466" i="1"/>
  <c r="F466" i="1"/>
  <c r="E466" i="1"/>
  <c r="D466" i="1"/>
  <c r="C466" i="1"/>
  <c r="B466" i="1"/>
  <c r="M465" i="1"/>
  <c r="H465" i="1"/>
  <c r="F465" i="1"/>
  <c r="E465" i="1"/>
  <c r="D465" i="1"/>
  <c r="C465" i="1"/>
  <c r="B465" i="1"/>
  <c r="M464" i="1"/>
  <c r="H464" i="1"/>
  <c r="F464" i="1"/>
  <c r="E464" i="1"/>
  <c r="D464" i="1"/>
  <c r="C464" i="1"/>
  <c r="B464" i="1"/>
  <c r="M463" i="1"/>
  <c r="H463" i="1"/>
  <c r="F463" i="1"/>
  <c r="E463" i="1"/>
  <c r="D463" i="1"/>
  <c r="C463" i="1"/>
  <c r="B463" i="1"/>
  <c r="M462" i="1"/>
  <c r="H462" i="1"/>
  <c r="F462" i="1"/>
  <c r="E462" i="1"/>
  <c r="D462" i="1"/>
  <c r="C462" i="1"/>
  <c r="B462" i="1"/>
  <c r="M461" i="1"/>
  <c r="H461" i="1"/>
  <c r="F461" i="1"/>
  <c r="E461" i="1"/>
  <c r="D461" i="1"/>
  <c r="C461" i="1"/>
  <c r="B461" i="1"/>
  <c r="M460" i="1"/>
  <c r="H460" i="1"/>
  <c r="F460" i="1"/>
  <c r="E460" i="1"/>
  <c r="D460" i="1"/>
  <c r="C460" i="1"/>
  <c r="B460" i="1"/>
  <c r="M459" i="1"/>
  <c r="H459" i="1"/>
  <c r="F459" i="1"/>
  <c r="E459" i="1"/>
  <c r="D459" i="1"/>
  <c r="C459" i="1"/>
  <c r="B459" i="1"/>
  <c r="M458" i="1"/>
  <c r="H458" i="1"/>
  <c r="F458" i="1"/>
  <c r="E458" i="1"/>
  <c r="D458" i="1"/>
  <c r="C458" i="1"/>
  <c r="B458" i="1"/>
  <c r="M457" i="1"/>
  <c r="H457" i="1"/>
  <c r="F457" i="1"/>
  <c r="E457" i="1"/>
  <c r="D457" i="1"/>
  <c r="C457" i="1"/>
  <c r="B457" i="1"/>
  <c r="M456" i="1"/>
  <c r="H456" i="1"/>
  <c r="F456" i="1"/>
  <c r="E456" i="1"/>
  <c r="D456" i="1"/>
  <c r="C456" i="1"/>
  <c r="B456" i="1"/>
  <c r="M455" i="1"/>
  <c r="H455" i="1"/>
  <c r="F455" i="1"/>
  <c r="E455" i="1"/>
  <c r="D455" i="1"/>
  <c r="C455" i="1"/>
  <c r="B455" i="1"/>
  <c r="M454" i="1"/>
  <c r="H454" i="1"/>
  <c r="F454" i="1"/>
  <c r="E454" i="1"/>
  <c r="D454" i="1"/>
  <c r="C454" i="1"/>
  <c r="B454" i="1"/>
  <c r="M453" i="1"/>
  <c r="H453" i="1"/>
  <c r="F453" i="1"/>
  <c r="E453" i="1"/>
  <c r="D453" i="1"/>
  <c r="C453" i="1"/>
  <c r="B453" i="1"/>
  <c r="M452" i="1"/>
  <c r="H452" i="1"/>
  <c r="F452" i="1"/>
  <c r="E452" i="1"/>
  <c r="D452" i="1"/>
  <c r="C452" i="1"/>
  <c r="B452" i="1"/>
  <c r="M451" i="1"/>
  <c r="H451" i="1"/>
  <c r="F451" i="1"/>
  <c r="E451" i="1"/>
  <c r="D451" i="1"/>
  <c r="C451" i="1"/>
  <c r="B451" i="1"/>
  <c r="M450" i="1"/>
  <c r="H450" i="1"/>
  <c r="F450" i="1"/>
  <c r="E450" i="1"/>
  <c r="D450" i="1"/>
  <c r="C450" i="1"/>
  <c r="B450" i="1"/>
  <c r="M449" i="1"/>
  <c r="H449" i="1"/>
  <c r="F449" i="1"/>
  <c r="E449" i="1"/>
  <c r="D449" i="1"/>
  <c r="C449" i="1"/>
  <c r="B449" i="1"/>
  <c r="M448" i="1"/>
  <c r="H448" i="1"/>
  <c r="F448" i="1"/>
  <c r="E448" i="1"/>
  <c r="D448" i="1"/>
  <c r="C448" i="1"/>
  <c r="B448" i="1"/>
  <c r="M447" i="1"/>
  <c r="H447" i="1"/>
  <c r="F447" i="1"/>
  <c r="E447" i="1"/>
  <c r="D447" i="1"/>
  <c r="C447" i="1"/>
  <c r="B447" i="1"/>
  <c r="M446" i="1"/>
  <c r="H446" i="1"/>
  <c r="F446" i="1"/>
  <c r="E446" i="1"/>
  <c r="D446" i="1"/>
  <c r="C446" i="1"/>
  <c r="B446" i="1"/>
  <c r="M445" i="1"/>
  <c r="H445" i="1"/>
  <c r="F445" i="1"/>
  <c r="E445" i="1"/>
  <c r="D445" i="1"/>
  <c r="C445" i="1"/>
  <c r="B445" i="1"/>
  <c r="M444" i="1"/>
  <c r="H444" i="1"/>
  <c r="F444" i="1"/>
  <c r="E444" i="1"/>
  <c r="D444" i="1"/>
  <c r="C444" i="1"/>
  <c r="B444" i="1"/>
  <c r="M443" i="1"/>
  <c r="H443" i="1"/>
  <c r="F443" i="1"/>
  <c r="E443" i="1"/>
  <c r="D443" i="1"/>
  <c r="C443" i="1"/>
  <c r="B443" i="1"/>
  <c r="M442" i="1"/>
  <c r="H442" i="1"/>
  <c r="F442" i="1"/>
  <c r="E442" i="1"/>
  <c r="D442" i="1"/>
  <c r="C442" i="1"/>
  <c r="B442" i="1"/>
  <c r="M441" i="1"/>
  <c r="H441" i="1"/>
  <c r="F441" i="1"/>
  <c r="E441" i="1"/>
  <c r="D441" i="1"/>
  <c r="C441" i="1"/>
  <c r="B441" i="1"/>
  <c r="M440" i="1"/>
  <c r="H440" i="1"/>
  <c r="F440" i="1"/>
  <c r="E440" i="1"/>
  <c r="D440" i="1"/>
  <c r="C440" i="1"/>
  <c r="B440" i="1"/>
  <c r="M439" i="1"/>
  <c r="H439" i="1"/>
  <c r="F439" i="1"/>
  <c r="E439" i="1"/>
  <c r="D439" i="1"/>
  <c r="C439" i="1"/>
  <c r="B439" i="1"/>
  <c r="M438" i="1"/>
  <c r="H438" i="1"/>
  <c r="F438" i="1"/>
  <c r="E438" i="1"/>
  <c r="D438" i="1"/>
  <c r="C438" i="1"/>
  <c r="B438" i="1"/>
  <c r="M437" i="1"/>
  <c r="H437" i="1"/>
  <c r="F437" i="1"/>
  <c r="E437" i="1"/>
  <c r="D437" i="1"/>
  <c r="C437" i="1"/>
  <c r="B437" i="1"/>
  <c r="M436" i="1"/>
  <c r="H436" i="1"/>
  <c r="F436" i="1"/>
  <c r="E436" i="1"/>
  <c r="D436" i="1"/>
  <c r="C436" i="1"/>
  <c r="B436" i="1"/>
  <c r="M435" i="1"/>
  <c r="H435" i="1"/>
  <c r="F435" i="1"/>
  <c r="E435" i="1"/>
  <c r="D435" i="1"/>
  <c r="C435" i="1"/>
  <c r="B435" i="1"/>
  <c r="M434" i="1"/>
  <c r="H434" i="1"/>
  <c r="F434" i="1"/>
  <c r="E434" i="1"/>
  <c r="D434" i="1"/>
  <c r="C434" i="1"/>
  <c r="B434" i="1"/>
  <c r="M433" i="1"/>
  <c r="H433" i="1"/>
  <c r="F433" i="1"/>
  <c r="E433" i="1"/>
  <c r="D433" i="1"/>
  <c r="C433" i="1"/>
  <c r="B433" i="1"/>
  <c r="M432" i="1"/>
  <c r="H432" i="1"/>
  <c r="F432" i="1"/>
  <c r="E432" i="1"/>
  <c r="D432" i="1"/>
  <c r="C432" i="1"/>
  <c r="B432" i="1"/>
  <c r="M431" i="1"/>
  <c r="H431" i="1"/>
  <c r="F431" i="1"/>
  <c r="E431" i="1"/>
  <c r="D431" i="1"/>
  <c r="C431" i="1"/>
  <c r="B431" i="1"/>
  <c r="M430" i="1"/>
  <c r="H430" i="1"/>
  <c r="F430" i="1"/>
  <c r="E430" i="1"/>
  <c r="D430" i="1"/>
  <c r="C430" i="1"/>
  <c r="B430" i="1"/>
  <c r="M429" i="1"/>
  <c r="H429" i="1"/>
  <c r="F429" i="1"/>
  <c r="E429" i="1"/>
  <c r="D429" i="1"/>
  <c r="C429" i="1"/>
  <c r="B429" i="1"/>
  <c r="M428" i="1"/>
  <c r="H428" i="1"/>
  <c r="F428" i="1"/>
  <c r="E428" i="1"/>
  <c r="D428" i="1"/>
  <c r="C428" i="1"/>
  <c r="B428" i="1"/>
  <c r="M427" i="1"/>
  <c r="H427" i="1"/>
  <c r="F427" i="1"/>
  <c r="E427" i="1"/>
  <c r="D427" i="1"/>
  <c r="C427" i="1"/>
  <c r="B427" i="1"/>
  <c r="M426" i="1"/>
  <c r="H426" i="1"/>
  <c r="F426" i="1"/>
  <c r="E426" i="1"/>
  <c r="D426" i="1"/>
  <c r="C426" i="1"/>
  <c r="B426" i="1"/>
  <c r="M425" i="1"/>
  <c r="H425" i="1"/>
  <c r="F425" i="1"/>
  <c r="E425" i="1"/>
  <c r="D425" i="1"/>
  <c r="C425" i="1"/>
  <c r="B425" i="1"/>
  <c r="M424" i="1"/>
  <c r="H424" i="1"/>
  <c r="F424" i="1"/>
  <c r="E424" i="1"/>
  <c r="D424" i="1"/>
  <c r="C424" i="1"/>
  <c r="B424" i="1"/>
  <c r="M423" i="1"/>
  <c r="H423" i="1"/>
  <c r="F423" i="1"/>
  <c r="E423" i="1"/>
  <c r="D423" i="1"/>
  <c r="C423" i="1"/>
  <c r="B423" i="1"/>
  <c r="M422" i="1"/>
  <c r="H422" i="1"/>
  <c r="F422" i="1"/>
  <c r="E422" i="1"/>
  <c r="D422" i="1"/>
  <c r="C422" i="1"/>
  <c r="B422" i="1"/>
  <c r="M421" i="1"/>
  <c r="H421" i="1"/>
  <c r="F421" i="1"/>
  <c r="E421" i="1"/>
  <c r="D421" i="1"/>
  <c r="C421" i="1"/>
  <c r="B421" i="1"/>
  <c r="M420" i="1"/>
  <c r="H420" i="1"/>
  <c r="F420" i="1"/>
  <c r="E420" i="1"/>
  <c r="D420" i="1"/>
  <c r="C420" i="1"/>
  <c r="B420" i="1"/>
  <c r="M419" i="1"/>
  <c r="H419" i="1"/>
  <c r="F419" i="1"/>
  <c r="E419" i="1"/>
  <c r="D419" i="1"/>
  <c r="C419" i="1"/>
  <c r="B419" i="1"/>
  <c r="M418" i="1"/>
  <c r="H418" i="1"/>
  <c r="F418" i="1"/>
  <c r="E418" i="1"/>
  <c r="D418" i="1"/>
  <c r="C418" i="1"/>
  <c r="B418" i="1"/>
  <c r="M417" i="1"/>
  <c r="H417" i="1"/>
  <c r="F417" i="1"/>
  <c r="E417" i="1"/>
  <c r="D417" i="1"/>
  <c r="C417" i="1"/>
  <c r="B417" i="1"/>
  <c r="M416" i="1"/>
  <c r="H416" i="1"/>
  <c r="F416" i="1"/>
  <c r="E416" i="1"/>
  <c r="D416" i="1"/>
  <c r="C416" i="1"/>
  <c r="B416" i="1"/>
  <c r="M415" i="1"/>
  <c r="H415" i="1"/>
  <c r="F415" i="1"/>
  <c r="E415" i="1"/>
  <c r="D415" i="1"/>
  <c r="C415" i="1"/>
  <c r="B415" i="1"/>
  <c r="M414" i="1"/>
  <c r="H414" i="1"/>
  <c r="F414" i="1"/>
  <c r="E414" i="1"/>
  <c r="D414" i="1"/>
  <c r="C414" i="1"/>
  <c r="B414" i="1"/>
  <c r="M413" i="1"/>
  <c r="H413" i="1"/>
  <c r="F413" i="1"/>
  <c r="E413" i="1"/>
  <c r="D413" i="1"/>
  <c r="C413" i="1"/>
  <c r="B413" i="1"/>
  <c r="M412" i="1"/>
  <c r="H412" i="1"/>
  <c r="F412" i="1"/>
  <c r="E412" i="1"/>
  <c r="D412" i="1"/>
  <c r="C412" i="1"/>
  <c r="B412" i="1"/>
  <c r="M411" i="1"/>
  <c r="H411" i="1"/>
  <c r="F411" i="1"/>
  <c r="E411" i="1"/>
  <c r="D411" i="1"/>
  <c r="C411" i="1"/>
  <c r="B411" i="1"/>
  <c r="M410" i="1"/>
  <c r="H410" i="1"/>
  <c r="F410" i="1"/>
  <c r="E410" i="1"/>
  <c r="D410" i="1"/>
  <c r="C410" i="1"/>
  <c r="B410" i="1"/>
  <c r="M409" i="1"/>
  <c r="H409" i="1"/>
  <c r="F409" i="1"/>
  <c r="E409" i="1"/>
  <c r="D409" i="1"/>
  <c r="C409" i="1"/>
  <c r="B409" i="1"/>
  <c r="M408" i="1"/>
  <c r="H408" i="1"/>
  <c r="F408" i="1"/>
  <c r="E408" i="1"/>
  <c r="D408" i="1"/>
  <c r="C408" i="1"/>
  <c r="B408" i="1"/>
  <c r="M407" i="1"/>
  <c r="H407" i="1"/>
  <c r="F407" i="1"/>
  <c r="E407" i="1"/>
  <c r="D407" i="1"/>
  <c r="C407" i="1"/>
  <c r="B407" i="1"/>
  <c r="M406" i="1"/>
  <c r="H406" i="1"/>
  <c r="F406" i="1"/>
  <c r="E406" i="1"/>
  <c r="D406" i="1"/>
  <c r="C406" i="1"/>
  <c r="B406" i="1"/>
  <c r="M405" i="1"/>
  <c r="H405" i="1"/>
  <c r="F405" i="1"/>
  <c r="E405" i="1"/>
  <c r="D405" i="1"/>
  <c r="C405" i="1"/>
  <c r="B405" i="1"/>
  <c r="M404" i="1"/>
  <c r="H404" i="1"/>
  <c r="F404" i="1"/>
  <c r="E404" i="1"/>
  <c r="D404" i="1"/>
  <c r="C404" i="1"/>
  <c r="B404" i="1"/>
  <c r="M403" i="1"/>
  <c r="H403" i="1"/>
  <c r="F403" i="1"/>
  <c r="E403" i="1"/>
  <c r="D403" i="1"/>
  <c r="C403" i="1"/>
  <c r="B403" i="1"/>
  <c r="M402" i="1"/>
  <c r="H402" i="1"/>
  <c r="F402" i="1"/>
  <c r="E402" i="1"/>
  <c r="D402" i="1"/>
  <c r="C402" i="1"/>
  <c r="B402" i="1"/>
  <c r="M401" i="1"/>
  <c r="H401" i="1"/>
  <c r="F401" i="1"/>
  <c r="E401" i="1"/>
  <c r="D401" i="1"/>
  <c r="C401" i="1"/>
  <c r="B401" i="1"/>
  <c r="M400" i="1"/>
  <c r="H400" i="1"/>
  <c r="F400" i="1"/>
  <c r="E400" i="1"/>
  <c r="D400" i="1"/>
  <c r="C400" i="1"/>
  <c r="B400" i="1"/>
  <c r="M399" i="1"/>
  <c r="H399" i="1"/>
  <c r="F399" i="1"/>
  <c r="E399" i="1"/>
  <c r="D399" i="1"/>
  <c r="C399" i="1"/>
  <c r="B399" i="1"/>
  <c r="M398" i="1"/>
  <c r="H398" i="1"/>
  <c r="F398" i="1"/>
  <c r="E398" i="1"/>
  <c r="D398" i="1"/>
  <c r="C398" i="1"/>
  <c r="B398" i="1"/>
  <c r="M397" i="1"/>
  <c r="H397" i="1"/>
  <c r="F397" i="1"/>
  <c r="E397" i="1"/>
  <c r="D397" i="1"/>
  <c r="C397" i="1"/>
  <c r="B397" i="1"/>
  <c r="M396" i="1"/>
  <c r="H396" i="1"/>
  <c r="F396" i="1"/>
  <c r="E396" i="1"/>
  <c r="D396" i="1"/>
  <c r="C396" i="1"/>
  <c r="B396" i="1"/>
  <c r="M395" i="1"/>
  <c r="H395" i="1"/>
  <c r="F395" i="1"/>
  <c r="E395" i="1"/>
  <c r="D395" i="1"/>
  <c r="C395" i="1"/>
  <c r="B395" i="1"/>
  <c r="M394" i="1"/>
  <c r="H394" i="1"/>
  <c r="F394" i="1"/>
  <c r="E394" i="1"/>
  <c r="D394" i="1"/>
  <c r="C394" i="1"/>
  <c r="B394" i="1"/>
  <c r="M393" i="1"/>
  <c r="H393" i="1"/>
  <c r="F393" i="1"/>
  <c r="E393" i="1"/>
  <c r="D393" i="1"/>
  <c r="C393" i="1"/>
  <c r="B393" i="1"/>
  <c r="M392" i="1"/>
  <c r="H392" i="1"/>
  <c r="F392" i="1"/>
  <c r="E392" i="1"/>
  <c r="D392" i="1"/>
  <c r="C392" i="1"/>
  <c r="B392" i="1"/>
  <c r="M391" i="1"/>
  <c r="H391" i="1"/>
  <c r="F391" i="1"/>
  <c r="E391" i="1"/>
  <c r="D391" i="1"/>
  <c r="C391" i="1"/>
  <c r="B391" i="1"/>
  <c r="M390" i="1"/>
  <c r="H390" i="1"/>
  <c r="F390" i="1"/>
  <c r="E390" i="1"/>
  <c r="D390" i="1"/>
  <c r="C390" i="1"/>
  <c r="B390" i="1"/>
  <c r="M389" i="1"/>
  <c r="H389" i="1"/>
  <c r="F389" i="1"/>
  <c r="E389" i="1"/>
  <c r="D389" i="1"/>
  <c r="C389" i="1"/>
  <c r="B389" i="1"/>
  <c r="M388" i="1"/>
  <c r="H388" i="1"/>
  <c r="F388" i="1"/>
  <c r="E388" i="1"/>
  <c r="D388" i="1"/>
  <c r="C388" i="1"/>
  <c r="B388" i="1"/>
  <c r="M387" i="1"/>
  <c r="H387" i="1"/>
  <c r="F387" i="1"/>
  <c r="E387" i="1"/>
  <c r="D387" i="1"/>
  <c r="C387" i="1"/>
  <c r="B387" i="1"/>
  <c r="M386" i="1"/>
  <c r="H386" i="1"/>
  <c r="F386" i="1"/>
  <c r="E386" i="1"/>
  <c r="D386" i="1"/>
  <c r="C386" i="1"/>
  <c r="B386" i="1"/>
  <c r="M385" i="1"/>
  <c r="H385" i="1"/>
  <c r="F385" i="1"/>
  <c r="E385" i="1"/>
  <c r="D385" i="1"/>
  <c r="C385" i="1"/>
  <c r="B385" i="1"/>
  <c r="M384" i="1"/>
  <c r="H384" i="1"/>
  <c r="F384" i="1"/>
  <c r="E384" i="1"/>
  <c r="D384" i="1"/>
  <c r="C384" i="1"/>
  <c r="B384" i="1"/>
  <c r="M383" i="1"/>
  <c r="H383" i="1"/>
  <c r="F383" i="1"/>
  <c r="E383" i="1"/>
  <c r="D383" i="1"/>
  <c r="C383" i="1"/>
  <c r="B383" i="1"/>
  <c r="M382" i="1"/>
  <c r="H382" i="1"/>
  <c r="F382" i="1"/>
  <c r="E382" i="1"/>
  <c r="D382" i="1"/>
  <c r="C382" i="1"/>
  <c r="B382" i="1"/>
  <c r="M381" i="1"/>
  <c r="H381" i="1"/>
  <c r="F381" i="1"/>
  <c r="E381" i="1"/>
  <c r="D381" i="1"/>
  <c r="C381" i="1"/>
  <c r="B381" i="1"/>
  <c r="M380" i="1"/>
  <c r="H380" i="1"/>
  <c r="F380" i="1"/>
  <c r="E380" i="1"/>
  <c r="D380" i="1"/>
  <c r="C380" i="1"/>
  <c r="B380" i="1"/>
  <c r="M379" i="1"/>
  <c r="H379" i="1"/>
  <c r="F379" i="1"/>
  <c r="E379" i="1"/>
  <c r="D379" i="1"/>
  <c r="C379" i="1"/>
  <c r="B379" i="1"/>
  <c r="M378" i="1"/>
  <c r="H378" i="1"/>
  <c r="F378" i="1"/>
  <c r="E378" i="1"/>
  <c r="D378" i="1"/>
  <c r="C378" i="1"/>
  <c r="B378" i="1"/>
  <c r="M377" i="1"/>
  <c r="H377" i="1"/>
  <c r="F377" i="1"/>
  <c r="E377" i="1"/>
  <c r="D377" i="1"/>
  <c r="C377" i="1"/>
  <c r="B377" i="1"/>
  <c r="M376" i="1"/>
  <c r="H376" i="1"/>
  <c r="F376" i="1"/>
  <c r="E376" i="1"/>
  <c r="D376" i="1"/>
  <c r="C376" i="1"/>
  <c r="B376" i="1"/>
  <c r="M375" i="1"/>
  <c r="H375" i="1"/>
  <c r="F375" i="1"/>
  <c r="E375" i="1"/>
  <c r="D375" i="1"/>
  <c r="C375" i="1"/>
  <c r="B375" i="1"/>
  <c r="M374" i="1"/>
  <c r="H374" i="1"/>
  <c r="F374" i="1"/>
  <c r="E374" i="1"/>
  <c r="D374" i="1"/>
  <c r="C374" i="1"/>
  <c r="B374" i="1"/>
  <c r="M373" i="1"/>
  <c r="H373" i="1"/>
  <c r="F373" i="1"/>
  <c r="E373" i="1"/>
  <c r="D373" i="1"/>
  <c r="C373" i="1"/>
  <c r="B373" i="1"/>
  <c r="M372" i="1"/>
  <c r="H372" i="1"/>
  <c r="F372" i="1"/>
  <c r="E372" i="1"/>
  <c r="D372" i="1"/>
  <c r="C372" i="1"/>
  <c r="B372" i="1"/>
  <c r="M371" i="1"/>
  <c r="H371" i="1"/>
  <c r="F371" i="1"/>
  <c r="E371" i="1"/>
  <c r="D371" i="1"/>
  <c r="C371" i="1"/>
  <c r="B371" i="1"/>
  <c r="M370" i="1"/>
  <c r="H370" i="1"/>
  <c r="F370" i="1"/>
  <c r="E370" i="1"/>
  <c r="D370" i="1"/>
  <c r="C370" i="1"/>
  <c r="B370" i="1"/>
  <c r="M369" i="1"/>
  <c r="H369" i="1"/>
  <c r="F369" i="1"/>
  <c r="E369" i="1"/>
  <c r="D369" i="1"/>
  <c r="C369" i="1"/>
  <c r="B369" i="1"/>
  <c r="M368" i="1"/>
  <c r="H368" i="1"/>
  <c r="F368" i="1"/>
  <c r="E368" i="1"/>
  <c r="D368" i="1"/>
  <c r="C368" i="1"/>
  <c r="B368" i="1"/>
  <c r="M367" i="1"/>
  <c r="H367" i="1"/>
  <c r="F367" i="1"/>
  <c r="E367" i="1"/>
  <c r="D367" i="1"/>
  <c r="C367" i="1"/>
  <c r="B367" i="1"/>
  <c r="M366" i="1"/>
  <c r="H366" i="1"/>
  <c r="F366" i="1"/>
  <c r="E366" i="1"/>
  <c r="D366" i="1"/>
  <c r="C366" i="1"/>
  <c r="B366" i="1"/>
  <c r="M365" i="1"/>
  <c r="H365" i="1"/>
  <c r="F365" i="1"/>
  <c r="E365" i="1"/>
  <c r="D365" i="1"/>
  <c r="C365" i="1"/>
  <c r="B365" i="1"/>
  <c r="M364" i="1"/>
  <c r="H364" i="1"/>
  <c r="F364" i="1"/>
  <c r="E364" i="1"/>
  <c r="D364" i="1"/>
  <c r="C364" i="1"/>
  <c r="B364" i="1"/>
  <c r="M363" i="1"/>
  <c r="H363" i="1"/>
  <c r="F363" i="1"/>
  <c r="E363" i="1"/>
  <c r="D363" i="1"/>
  <c r="C363" i="1"/>
  <c r="B363" i="1"/>
  <c r="M362" i="1"/>
  <c r="H362" i="1"/>
  <c r="F362" i="1"/>
  <c r="E362" i="1"/>
  <c r="D362" i="1"/>
  <c r="C362" i="1"/>
  <c r="B362" i="1"/>
  <c r="M361" i="1"/>
  <c r="H361" i="1"/>
  <c r="F361" i="1"/>
  <c r="E361" i="1"/>
  <c r="D361" i="1"/>
  <c r="C361" i="1"/>
  <c r="B361" i="1"/>
  <c r="M360" i="1"/>
  <c r="H360" i="1"/>
  <c r="F360" i="1"/>
  <c r="E360" i="1"/>
  <c r="D360" i="1"/>
  <c r="C360" i="1"/>
  <c r="B360" i="1"/>
  <c r="M359" i="1"/>
  <c r="H359" i="1"/>
  <c r="F359" i="1"/>
  <c r="E359" i="1"/>
  <c r="D359" i="1"/>
  <c r="C359" i="1"/>
  <c r="B359" i="1"/>
  <c r="M358" i="1"/>
  <c r="H358" i="1"/>
  <c r="F358" i="1"/>
  <c r="E358" i="1"/>
  <c r="D358" i="1"/>
  <c r="C358" i="1"/>
  <c r="B358" i="1"/>
  <c r="M357" i="1"/>
  <c r="H357" i="1"/>
  <c r="F357" i="1"/>
  <c r="E357" i="1"/>
  <c r="D357" i="1"/>
  <c r="C357" i="1"/>
  <c r="B357" i="1"/>
  <c r="M356" i="1"/>
  <c r="H356" i="1"/>
  <c r="F356" i="1"/>
  <c r="E356" i="1"/>
  <c r="D356" i="1"/>
  <c r="C356" i="1"/>
  <c r="B356" i="1"/>
  <c r="M355" i="1"/>
  <c r="H355" i="1"/>
  <c r="F355" i="1"/>
  <c r="E355" i="1"/>
  <c r="D355" i="1"/>
  <c r="C355" i="1"/>
  <c r="B355" i="1"/>
  <c r="M354" i="1"/>
  <c r="H354" i="1"/>
  <c r="F354" i="1"/>
  <c r="E354" i="1"/>
  <c r="D354" i="1"/>
  <c r="C354" i="1"/>
  <c r="B354" i="1"/>
  <c r="M353" i="1"/>
  <c r="H353" i="1"/>
  <c r="F353" i="1"/>
  <c r="E353" i="1"/>
  <c r="D353" i="1"/>
  <c r="C353" i="1"/>
  <c r="B353" i="1"/>
  <c r="M352" i="1"/>
  <c r="H352" i="1"/>
  <c r="F352" i="1"/>
  <c r="E352" i="1"/>
  <c r="D352" i="1"/>
  <c r="C352" i="1"/>
  <c r="B352" i="1"/>
  <c r="M351" i="1"/>
  <c r="H351" i="1"/>
  <c r="F351" i="1"/>
  <c r="E351" i="1"/>
  <c r="D351" i="1"/>
  <c r="C351" i="1"/>
  <c r="B351" i="1"/>
  <c r="M350" i="1"/>
  <c r="H350" i="1"/>
  <c r="F350" i="1"/>
  <c r="E350" i="1"/>
  <c r="D350" i="1"/>
  <c r="C350" i="1"/>
  <c r="B350" i="1"/>
  <c r="M349" i="1"/>
  <c r="H349" i="1"/>
  <c r="F349" i="1"/>
  <c r="E349" i="1"/>
  <c r="D349" i="1"/>
  <c r="C349" i="1"/>
  <c r="B349" i="1"/>
  <c r="M348" i="1"/>
  <c r="H348" i="1"/>
  <c r="F348" i="1"/>
  <c r="E348" i="1"/>
  <c r="D348" i="1"/>
  <c r="C348" i="1"/>
  <c r="B348" i="1"/>
  <c r="M347" i="1"/>
  <c r="H347" i="1"/>
  <c r="F347" i="1"/>
  <c r="E347" i="1"/>
  <c r="D347" i="1"/>
  <c r="C347" i="1"/>
  <c r="B347" i="1"/>
  <c r="M346" i="1"/>
  <c r="H346" i="1"/>
  <c r="F346" i="1"/>
  <c r="E346" i="1"/>
  <c r="D346" i="1"/>
  <c r="C346" i="1"/>
  <c r="B346" i="1"/>
  <c r="M345" i="1"/>
  <c r="H345" i="1"/>
  <c r="F345" i="1"/>
  <c r="E345" i="1"/>
  <c r="D345" i="1"/>
  <c r="C345" i="1"/>
  <c r="B345" i="1"/>
  <c r="M344" i="1"/>
  <c r="H344" i="1"/>
  <c r="F344" i="1"/>
  <c r="E344" i="1"/>
  <c r="D344" i="1"/>
  <c r="C344" i="1"/>
  <c r="B344" i="1"/>
  <c r="M343" i="1"/>
  <c r="H343" i="1"/>
  <c r="F343" i="1"/>
  <c r="E343" i="1"/>
  <c r="D343" i="1"/>
  <c r="C343" i="1"/>
  <c r="B343" i="1"/>
  <c r="M342" i="1"/>
  <c r="H342" i="1"/>
  <c r="F342" i="1"/>
  <c r="E342" i="1"/>
  <c r="D342" i="1"/>
  <c r="C342" i="1"/>
  <c r="B342" i="1"/>
  <c r="M341" i="1"/>
  <c r="H341" i="1"/>
  <c r="F341" i="1"/>
  <c r="E341" i="1"/>
  <c r="D341" i="1"/>
  <c r="C341" i="1"/>
  <c r="B341" i="1"/>
  <c r="M340" i="1"/>
  <c r="H340" i="1"/>
  <c r="F340" i="1"/>
  <c r="E340" i="1"/>
  <c r="D340" i="1"/>
  <c r="C340" i="1"/>
  <c r="B340" i="1"/>
  <c r="M339" i="1"/>
  <c r="H339" i="1"/>
  <c r="F339" i="1"/>
  <c r="E339" i="1"/>
  <c r="D339" i="1"/>
  <c r="C339" i="1"/>
  <c r="B339" i="1"/>
  <c r="M338" i="1"/>
  <c r="H338" i="1"/>
  <c r="F338" i="1"/>
  <c r="E338" i="1"/>
  <c r="D338" i="1"/>
  <c r="C338" i="1"/>
  <c r="B338" i="1"/>
  <c r="M337" i="1"/>
  <c r="H337" i="1"/>
  <c r="F337" i="1"/>
  <c r="E337" i="1"/>
  <c r="D337" i="1"/>
  <c r="C337" i="1"/>
  <c r="B337" i="1"/>
  <c r="M336" i="1"/>
  <c r="H336" i="1"/>
  <c r="F336" i="1"/>
  <c r="E336" i="1"/>
  <c r="D336" i="1"/>
  <c r="C336" i="1"/>
  <c r="B336" i="1"/>
  <c r="M335" i="1"/>
  <c r="H335" i="1"/>
  <c r="F335" i="1"/>
  <c r="E335" i="1"/>
  <c r="D335" i="1"/>
  <c r="C335" i="1"/>
  <c r="B335" i="1"/>
  <c r="M334" i="1"/>
  <c r="H334" i="1"/>
  <c r="F334" i="1"/>
  <c r="E334" i="1"/>
  <c r="D334" i="1"/>
  <c r="C334" i="1"/>
  <c r="B334" i="1"/>
  <c r="M333" i="1"/>
  <c r="H333" i="1"/>
  <c r="F333" i="1"/>
  <c r="E333" i="1"/>
  <c r="D333" i="1"/>
  <c r="C333" i="1"/>
  <c r="B333" i="1"/>
  <c r="M332" i="1"/>
  <c r="H332" i="1"/>
  <c r="F332" i="1"/>
  <c r="E332" i="1"/>
  <c r="D332" i="1"/>
  <c r="C332" i="1"/>
  <c r="B332" i="1"/>
  <c r="M331" i="1"/>
  <c r="H331" i="1"/>
  <c r="F331" i="1"/>
  <c r="E331" i="1"/>
  <c r="D331" i="1"/>
  <c r="C331" i="1"/>
  <c r="B331" i="1"/>
  <c r="M330" i="1"/>
  <c r="H330" i="1"/>
  <c r="F330" i="1"/>
  <c r="E330" i="1"/>
  <c r="D330" i="1"/>
  <c r="C330" i="1"/>
  <c r="B330" i="1"/>
  <c r="M329" i="1"/>
  <c r="H329" i="1"/>
  <c r="F329" i="1"/>
  <c r="E329" i="1"/>
  <c r="D329" i="1"/>
  <c r="C329" i="1"/>
  <c r="B329" i="1"/>
  <c r="M328" i="1"/>
  <c r="H328" i="1"/>
  <c r="F328" i="1"/>
  <c r="E328" i="1"/>
  <c r="D328" i="1"/>
  <c r="C328" i="1"/>
  <c r="B328" i="1"/>
  <c r="M327" i="1"/>
  <c r="H327" i="1"/>
  <c r="F327" i="1"/>
  <c r="E327" i="1"/>
  <c r="D327" i="1"/>
  <c r="C327" i="1"/>
  <c r="B327" i="1"/>
  <c r="M326" i="1"/>
  <c r="H326" i="1"/>
  <c r="F326" i="1"/>
  <c r="E326" i="1"/>
  <c r="D326" i="1"/>
  <c r="C326" i="1"/>
  <c r="B326" i="1"/>
  <c r="M325" i="1"/>
  <c r="H325" i="1"/>
  <c r="F325" i="1"/>
  <c r="E325" i="1"/>
  <c r="D325" i="1"/>
  <c r="C325" i="1"/>
  <c r="B325" i="1"/>
  <c r="M324" i="1"/>
  <c r="H324" i="1"/>
  <c r="F324" i="1"/>
  <c r="E324" i="1"/>
  <c r="D324" i="1"/>
  <c r="C324" i="1"/>
  <c r="B324" i="1"/>
  <c r="M323" i="1"/>
  <c r="H323" i="1"/>
  <c r="F323" i="1"/>
  <c r="E323" i="1"/>
  <c r="D323" i="1"/>
  <c r="C323" i="1"/>
  <c r="B323" i="1"/>
  <c r="M322" i="1"/>
  <c r="H322" i="1"/>
  <c r="F322" i="1"/>
  <c r="E322" i="1"/>
  <c r="D322" i="1"/>
  <c r="C322" i="1"/>
  <c r="B322" i="1"/>
  <c r="M321" i="1"/>
  <c r="H321" i="1"/>
  <c r="F321" i="1"/>
  <c r="E321" i="1"/>
  <c r="D321" i="1"/>
  <c r="C321" i="1"/>
  <c r="B321" i="1"/>
  <c r="M320" i="1"/>
  <c r="H320" i="1"/>
  <c r="F320" i="1"/>
  <c r="E320" i="1"/>
  <c r="D320" i="1"/>
  <c r="C320" i="1"/>
  <c r="B320" i="1"/>
  <c r="M319" i="1"/>
  <c r="H319" i="1"/>
  <c r="F319" i="1"/>
  <c r="E319" i="1"/>
  <c r="D319" i="1"/>
  <c r="C319" i="1"/>
  <c r="B319" i="1"/>
  <c r="M318" i="1"/>
  <c r="H318" i="1"/>
  <c r="F318" i="1"/>
  <c r="E318" i="1"/>
  <c r="D318" i="1"/>
  <c r="C318" i="1"/>
  <c r="B318" i="1"/>
  <c r="M317" i="1"/>
  <c r="H317" i="1"/>
  <c r="F317" i="1"/>
  <c r="E317" i="1"/>
  <c r="D317" i="1"/>
  <c r="C317" i="1"/>
  <c r="B317" i="1"/>
  <c r="M316" i="1"/>
  <c r="H316" i="1"/>
  <c r="F316" i="1"/>
  <c r="E316" i="1"/>
  <c r="D316" i="1"/>
  <c r="C316" i="1"/>
  <c r="B316" i="1"/>
  <c r="M315" i="1"/>
  <c r="H315" i="1"/>
  <c r="F315" i="1"/>
  <c r="E315" i="1"/>
  <c r="D315" i="1"/>
  <c r="C315" i="1"/>
  <c r="B315" i="1"/>
  <c r="M314" i="1"/>
  <c r="H314" i="1"/>
  <c r="F314" i="1"/>
  <c r="E314" i="1"/>
  <c r="D314" i="1"/>
  <c r="C314" i="1"/>
  <c r="B314" i="1"/>
  <c r="M313" i="1"/>
  <c r="H313" i="1"/>
  <c r="F313" i="1"/>
  <c r="E313" i="1"/>
  <c r="D313" i="1"/>
  <c r="C313" i="1"/>
  <c r="B313" i="1"/>
  <c r="M312" i="1"/>
  <c r="H312" i="1"/>
  <c r="F312" i="1"/>
  <c r="E312" i="1"/>
  <c r="D312" i="1"/>
  <c r="C312" i="1"/>
  <c r="B312" i="1"/>
  <c r="M311" i="1"/>
  <c r="H311" i="1"/>
  <c r="F311" i="1"/>
  <c r="E311" i="1"/>
  <c r="D311" i="1"/>
  <c r="C311" i="1"/>
  <c r="B311" i="1"/>
  <c r="M310" i="1"/>
  <c r="H310" i="1"/>
  <c r="F310" i="1"/>
  <c r="E310" i="1"/>
  <c r="D310" i="1"/>
  <c r="C310" i="1"/>
  <c r="B310" i="1"/>
  <c r="M309" i="1"/>
  <c r="H309" i="1"/>
  <c r="F309" i="1"/>
  <c r="E309" i="1"/>
  <c r="D309" i="1"/>
  <c r="C309" i="1"/>
  <c r="B309" i="1"/>
  <c r="M308" i="1"/>
  <c r="H308" i="1"/>
  <c r="F308" i="1"/>
  <c r="E308" i="1"/>
  <c r="D308" i="1"/>
  <c r="C308" i="1"/>
  <c r="B308" i="1"/>
  <c r="M307" i="1"/>
  <c r="H307" i="1"/>
  <c r="F307" i="1"/>
  <c r="E307" i="1"/>
  <c r="D307" i="1"/>
  <c r="C307" i="1"/>
  <c r="B307" i="1"/>
  <c r="M306" i="1"/>
  <c r="H306" i="1"/>
  <c r="F306" i="1"/>
  <c r="E306" i="1"/>
  <c r="D306" i="1"/>
  <c r="C306" i="1"/>
  <c r="B306" i="1"/>
  <c r="M305" i="1"/>
  <c r="H305" i="1"/>
  <c r="F305" i="1"/>
  <c r="E305" i="1"/>
  <c r="D305" i="1"/>
  <c r="C305" i="1"/>
  <c r="B305" i="1"/>
  <c r="M304" i="1"/>
  <c r="H304" i="1"/>
  <c r="F304" i="1"/>
  <c r="E304" i="1"/>
  <c r="D304" i="1"/>
  <c r="C304" i="1"/>
  <c r="B304" i="1"/>
  <c r="M303" i="1"/>
  <c r="H303" i="1"/>
  <c r="F303" i="1"/>
  <c r="E303" i="1"/>
  <c r="D303" i="1"/>
  <c r="C303" i="1"/>
  <c r="B303" i="1"/>
  <c r="M302" i="1"/>
  <c r="H302" i="1"/>
  <c r="F302" i="1"/>
  <c r="E302" i="1"/>
  <c r="D302" i="1"/>
  <c r="C302" i="1"/>
  <c r="B302" i="1"/>
  <c r="M301" i="1"/>
  <c r="H301" i="1"/>
  <c r="F301" i="1"/>
  <c r="E301" i="1"/>
  <c r="D301" i="1"/>
  <c r="C301" i="1"/>
  <c r="B301" i="1"/>
  <c r="M300" i="1"/>
  <c r="H300" i="1"/>
  <c r="F300" i="1"/>
  <c r="E300" i="1"/>
  <c r="D300" i="1"/>
  <c r="C300" i="1"/>
  <c r="B300" i="1"/>
  <c r="M299" i="1"/>
  <c r="H299" i="1"/>
  <c r="F299" i="1"/>
  <c r="E299" i="1"/>
  <c r="D299" i="1"/>
  <c r="C299" i="1"/>
  <c r="B299" i="1"/>
  <c r="M298" i="1"/>
  <c r="H298" i="1"/>
  <c r="F298" i="1"/>
  <c r="E298" i="1"/>
  <c r="D298" i="1"/>
  <c r="C298" i="1"/>
  <c r="B298" i="1"/>
  <c r="M297" i="1"/>
  <c r="H297" i="1"/>
  <c r="F297" i="1"/>
  <c r="E297" i="1"/>
  <c r="D297" i="1"/>
  <c r="C297" i="1"/>
  <c r="B297" i="1"/>
  <c r="M296" i="1"/>
  <c r="H296" i="1"/>
  <c r="F296" i="1"/>
  <c r="E296" i="1"/>
  <c r="D296" i="1"/>
  <c r="C296" i="1"/>
  <c r="B296" i="1"/>
  <c r="M295" i="1"/>
  <c r="H295" i="1"/>
  <c r="F295" i="1"/>
  <c r="E295" i="1"/>
  <c r="D295" i="1"/>
  <c r="C295" i="1"/>
  <c r="B295" i="1"/>
  <c r="M294" i="1"/>
  <c r="H294" i="1"/>
  <c r="F294" i="1"/>
  <c r="E294" i="1"/>
  <c r="D294" i="1"/>
  <c r="C294" i="1"/>
  <c r="B294" i="1"/>
  <c r="M293" i="1"/>
  <c r="H293" i="1"/>
  <c r="F293" i="1"/>
  <c r="E293" i="1"/>
  <c r="D293" i="1"/>
  <c r="C293" i="1"/>
  <c r="B293" i="1"/>
  <c r="M292" i="1"/>
  <c r="H292" i="1"/>
  <c r="F292" i="1"/>
  <c r="E292" i="1"/>
  <c r="D292" i="1"/>
  <c r="C292" i="1"/>
  <c r="B292" i="1"/>
  <c r="M291" i="1"/>
  <c r="H291" i="1"/>
  <c r="F291" i="1"/>
  <c r="E291" i="1"/>
  <c r="D291" i="1"/>
  <c r="C291" i="1"/>
  <c r="B291" i="1"/>
  <c r="M290" i="1"/>
  <c r="H290" i="1"/>
  <c r="F290" i="1"/>
  <c r="E290" i="1"/>
  <c r="D290" i="1"/>
  <c r="C290" i="1"/>
  <c r="B290" i="1"/>
  <c r="M289" i="1"/>
  <c r="H289" i="1"/>
  <c r="F289" i="1"/>
  <c r="E289" i="1"/>
  <c r="D289" i="1"/>
  <c r="C289" i="1"/>
  <c r="B289" i="1"/>
  <c r="M288" i="1"/>
  <c r="H288" i="1"/>
  <c r="F288" i="1"/>
  <c r="E288" i="1"/>
  <c r="D288" i="1"/>
  <c r="C288" i="1"/>
  <c r="B288" i="1"/>
  <c r="M287" i="1"/>
  <c r="H287" i="1"/>
  <c r="F287" i="1"/>
  <c r="E287" i="1"/>
  <c r="D287" i="1"/>
  <c r="C287" i="1"/>
  <c r="B287" i="1"/>
  <c r="M286" i="1"/>
  <c r="H286" i="1"/>
  <c r="F286" i="1"/>
  <c r="E286" i="1"/>
  <c r="D286" i="1"/>
  <c r="C286" i="1"/>
  <c r="B286" i="1"/>
  <c r="M285" i="1"/>
  <c r="H285" i="1"/>
  <c r="F285" i="1"/>
  <c r="E285" i="1"/>
  <c r="D285" i="1"/>
  <c r="C285" i="1"/>
  <c r="B285" i="1"/>
  <c r="M284" i="1"/>
  <c r="H284" i="1"/>
  <c r="F284" i="1"/>
  <c r="E284" i="1"/>
  <c r="D284" i="1"/>
  <c r="C284" i="1"/>
  <c r="B284" i="1"/>
  <c r="M283" i="1"/>
  <c r="H283" i="1"/>
  <c r="F283" i="1"/>
  <c r="E283" i="1"/>
  <c r="D283" i="1"/>
  <c r="C283" i="1"/>
  <c r="B283" i="1"/>
  <c r="M282" i="1"/>
  <c r="H282" i="1"/>
  <c r="F282" i="1"/>
  <c r="E282" i="1"/>
  <c r="D282" i="1"/>
  <c r="C282" i="1"/>
  <c r="B282" i="1"/>
  <c r="M281" i="1"/>
  <c r="H281" i="1"/>
  <c r="F281" i="1"/>
  <c r="E281" i="1"/>
  <c r="D281" i="1"/>
  <c r="C281" i="1"/>
  <c r="B281" i="1"/>
  <c r="M280" i="1"/>
  <c r="H280" i="1"/>
  <c r="F280" i="1"/>
  <c r="E280" i="1"/>
  <c r="D280" i="1"/>
  <c r="C280" i="1"/>
  <c r="B280" i="1"/>
  <c r="M279" i="1"/>
  <c r="H279" i="1"/>
  <c r="F279" i="1"/>
  <c r="E279" i="1"/>
  <c r="D279" i="1"/>
  <c r="C279" i="1"/>
  <c r="B279" i="1"/>
  <c r="M278" i="1"/>
  <c r="H278" i="1"/>
  <c r="F278" i="1"/>
  <c r="E278" i="1"/>
  <c r="D278" i="1"/>
  <c r="C278" i="1"/>
  <c r="B278" i="1"/>
  <c r="M277" i="1"/>
  <c r="H277" i="1"/>
  <c r="F277" i="1"/>
  <c r="E277" i="1"/>
  <c r="D277" i="1"/>
  <c r="C277" i="1"/>
  <c r="B277" i="1"/>
  <c r="M276" i="1"/>
  <c r="H276" i="1"/>
  <c r="F276" i="1"/>
  <c r="E276" i="1"/>
  <c r="D276" i="1"/>
  <c r="C276" i="1"/>
  <c r="B276" i="1"/>
  <c r="M275" i="1"/>
  <c r="H275" i="1"/>
  <c r="F275" i="1"/>
  <c r="E275" i="1"/>
  <c r="D275" i="1"/>
  <c r="C275" i="1"/>
  <c r="B275" i="1"/>
  <c r="M274" i="1"/>
  <c r="H274" i="1"/>
  <c r="F274" i="1"/>
  <c r="E274" i="1"/>
  <c r="D274" i="1"/>
  <c r="C274" i="1"/>
  <c r="B274" i="1"/>
  <c r="M273" i="1"/>
  <c r="H273" i="1"/>
  <c r="F273" i="1"/>
  <c r="E273" i="1"/>
  <c r="D273" i="1"/>
  <c r="C273" i="1"/>
  <c r="B273" i="1"/>
  <c r="M272" i="1"/>
  <c r="H272" i="1"/>
  <c r="F272" i="1"/>
  <c r="E272" i="1"/>
  <c r="D272" i="1"/>
  <c r="C272" i="1"/>
  <c r="B272" i="1"/>
  <c r="M271" i="1"/>
  <c r="H271" i="1"/>
  <c r="F271" i="1"/>
  <c r="E271" i="1"/>
  <c r="D271" i="1"/>
  <c r="C271" i="1"/>
  <c r="B271" i="1"/>
  <c r="M270" i="1"/>
  <c r="H270" i="1"/>
  <c r="F270" i="1"/>
  <c r="E270" i="1"/>
  <c r="D270" i="1"/>
  <c r="C270" i="1"/>
  <c r="B270" i="1"/>
  <c r="M269" i="1"/>
  <c r="H269" i="1"/>
  <c r="F269" i="1"/>
  <c r="E269" i="1"/>
  <c r="D269" i="1"/>
  <c r="C269" i="1"/>
  <c r="B269" i="1"/>
  <c r="M268" i="1"/>
  <c r="H268" i="1"/>
  <c r="F268" i="1"/>
  <c r="E268" i="1"/>
  <c r="D268" i="1"/>
  <c r="C268" i="1"/>
  <c r="B268" i="1"/>
  <c r="M267" i="1"/>
  <c r="H267" i="1"/>
  <c r="F267" i="1"/>
  <c r="E267" i="1"/>
  <c r="D267" i="1"/>
  <c r="C267" i="1"/>
  <c r="B267" i="1"/>
  <c r="M266" i="1"/>
  <c r="H266" i="1"/>
  <c r="F266" i="1"/>
  <c r="E266" i="1"/>
  <c r="D266" i="1"/>
  <c r="C266" i="1"/>
  <c r="B266" i="1"/>
  <c r="M265" i="1"/>
  <c r="H265" i="1"/>
  <c r="F265" i="1"/>
  <c r="E265" i="1"/>
  <c r="D265" i="1"/>
  <c r="C265" i="1"/>
  <c r="B265" i="1"/>
  <c r="M264" i="1"/>
  <c r="H264" i="1"/>
  <c r="F264" i="1"/>
  <c r="E264" i="1"/>
  <c r="D264" i="1"/>
  <c r="C264" i="1"/>
  <c r="B264" i="1"/>
  <c r="M263" i="1"/>
  <c r="H263" i="1"/>
  <c r="F263" i="1"/>
  <c r="E263" i="1"/>
  <c r="D263" i="1"/>
  <c r="C263" i="1"/>
  <c r="B263" i="1"/>
  <c r="M262" i="1"/>
  <c r="H262" i="1"/>
  <c r="F262" i="1"/>
  <c r="E262" i="1"/>
  <c r="D262" i="1"/>
  <c r="C262" i="1"/>
  <c r="B262" i="1"/>
  <c r="M261" i="1"/>
  <c r="H261" i="1"/>
  <c r="F261" i="1"/>
  <c r="E261" i="1"/>
  <c r="D261" i="1"/>
  <c r="C261" i="1"/>
  <c r="B261" i="1"/>
  <c r="M260" i="1"/>
  <c r="H260" i="1"/>
  <c r="F260" i="1"/>
  <c r="E260" i="1"/>
  <c r="D260" i="1"/>
  <c r="C260" i="1"/>
  <c r="B260" i="1"/>
  <c r="M259" i="1"/>
  <c r="H259" i="1"/>
  <c r="F259" i="1"/>
  <c r="E259" i="1"/>
  <c r="D259" i="1"/>
  <c r="C259" i="1"/>
  <c r="B259" i="1"/>
  <c r="M258" i="1"/>
  <c r="H258" i="1"/>
  <c r="F258" i="1"/>
  <c r="E258" i="1"/>
  <c r="D258" i="1"/>
  <c r="C258" i="1"/>
  <c r="B258" i="1"/>
  <c r="M257" i="1"/>
  <c r="H257" i="1"/>
  <c r="F257" i="1"/>
  <c r="E257" i="1"/>
  <c r="D257" i="1"/>
  <c r="C257" i="1"/>
  <c r="B257" i="1"/>
  <c r="M256" i="1"/>
  <c r="H256" i="1"/>
  <c r="F256" i="1"/>
  <c r="E256" i="1"/>
  <c r="D256" i="1"/>
  <c r="C256" i="1"/>
  <c r="B256" i="1"/>
  <c r="M255" i="1"/>
  <c r="H255" i="1"/>
  <c r="F255" i="1"/>
  <c r="E255" i="1"/>
  <c r="D255" i="1"/>
  <c r="C255" i="1"/>
  <c r="B255" i="1"/>
  <c r="M254" i="1"/>
  <c r="H254" i="1"/>
  <c r="F254" i="1"/>
  <c r="E254" i="1"/>
  <c r="D254" i="1"/>
  <c r="C254" i="1"/>
  <c r="B254" i="1"/>
  <c r="M253" i="1"/>
  <c r="H253" i="1"/>
  <c r="F253" i="1"/>
  <c r="E253" i="1"/>
  <c r="D253" i="1"/>
  <c r="C253" i="1"/>
  <c r="B253" i="1"/>
  <c r="M252" i="1"/>
  <c r="H252" i="1"/>
  <c r="F252" i="1"/>
  <c r="E252" i="1"/>
  <c r="D252" i="1"/>
  <c r="C252" i="1"/>
  <c r="B252" i="1"/>
  <c r="M251" i="1"/>
  <c r="H251" i="1"/>
  <c r="F251" i="1"/>
  <c r="E251" i="1"/>
  <c r="D251" i="1"/>
  <c r="C251" i="1"/>
  <c r="B251" i="1"/>
  <c r="M250" i="1"/>
  <c r="H250" i="1"/>
  <c r="F250" i="1"/>
  <c r="E250" i="1"/>
  <c r="D250" i="1"/>
  <c r="C250" i="1"/>
  <c r="B250" i="1"/>
  <c r="M249" i="1"/>
  <c r="H249" i="1"/>
  <c r="F249" i="1"/>
  <c r="E249" i="1"/>
  <c r="D249" i="1"/>
  <c r="C249" i="1"/>
  <c r="B249" i="1"/>
  <c r="M248" i="1"/>
  <c r="H248" i="1"/>
  <c r="F248" i="1"/>
  <c r="E248" i="1"/>
  <c r="D248" i="1"/>
  <c r="C248" i="1"/>
  <c r="B248" i="1"/>
  <c r="M247" i="1"/>
  <c r="H247" i="1"/>
  <c r="F247" i="1"/>
  <c r="E247" i="1"/>
  <c r="D247" i="1"/>
  <c r="C247" i="1"/>
  <c r="B247" i="1"/>
  <c r="M246" i="1"/>
  <c r="H246" i="1"/>
  <c r="F246" i="1"/>
  <c r="E246" i="1"/>
  <c r="D246" i="1"/>
  <c r="C246" i="1"/>
  <c r="B246" i="1"/>
  <c r="M245" i="1"/>
  <c r="H245" i="1"/>
  <c r="F245" i="1"/>
  <c r="E245" i="1"/>
  <c r="D245" i="1"/>
  <c r="C245" i="1"/>
  <c r="B245" i="1"/>
  <c r="M244" i="1"/>
  <c r="H244" i="1"/>
  <c r="F244" i="1"/>
  <c r="E244" i="1"/>
  <c r="D244" i="1"/>
  <c r="C244" i="1"/>
  <c r="B244" i="1"/>
  <c r="M243" i="1"/>
  <c r="H243" i="1"/>
  <c r="F243" i="1"/>
  <c r="E243" i="1"/>
  <c r="D243" i="1"/>
  <c r="C243" i="1"/>
  <c r="B243" i="1"/>
  <c r="M242" i="1"/>
  <c r="H242" i="1"/>
  <c r="F242" i="1"/>
  <c r="E242" i="1"/>
  <c r="D242" i="1"/>
  <c r="C242" i="1"/>
  <c r="B242" i="1"/>
  <c r="M241" i="1"/>
  <c r="H241" i="1"/>
  <c r="F241" i="1"/>
  <c r="E241" i="1"/>
  <c r="D241" i="1"/>
  <c r="C241" i="1"/>
  <c r="B241" i="1"/>
  <c r="M240" i="1"/>
  <c r="H240" i="1"/>
  <c r="F240" i="1"/>
  <c r="E240" i="1"/>
  <c r="D240" i="1"/>
  <c r="C240" i="1"/>
  <c r="B240" i="1"/>
  <c r="M239" i="1"/>
  <c r="H239" i="1"/>
  <c r="F239" i="1"/>
  <c r="E239" i="1"/>
  <c r="D239" i="1"/>
  <c r="C239" i="1"/>
  <c r="B239" i="1"/>
  <c r="M238" i="1"/>
  <c r="H238" i="1"/>
  <c r="F238" i="1"/>
  <c r="E238" i="1"/>
  <c r="D238" i="1"/>
  <c r="C238" i="1"/>
  <c r="B238" i="1"/>
  <c r="M237" i="1"/>
  <c r="H237" i="1"/>
  <c r="F237" i="1"/>
  <c r="E237" i="1"/>
  <c r="D237" i="1"/>
  <c r="C237" i="1"/>
  <c r="B237" i="1"/>
  <c r="M236" i="1"/>
  <c r="H236" i="1"/>
  <c r="F236" i="1"/>
  <c r="E236" i="1"/>
  <c r="D236" i="1"/>
  <c r="C236" i="1"/>
  <c r="B236" i="1"/>
  <c r="M235" i="1"/>
  <c r="H235" i="1"/>
  <c r="F235" i="1"/>
  <c r="E235" i="1"/>
  <c r="D235" i="1"/>
  <c r="C235" i="1"/>
  <c r="B235" i="1"/>
  <c r="M234" i="1"/>
  <c r="H234" i="1"/>
  <c r="F234" i="1"/>
  <c r="E234" i="1"/>
  <c r="D234" i="1"/>
  <c r="C234" i="1"/>
  <c r="B234" i="1"/>
  <c r="M233" i="1"/>
  <c r="H233" i="1"/>
  <c r="F233" i="1"/>
  <c r="E233" i="1"/>
  <c r="D233" i="1"/>
  <c r="C233" i="1"/>
  <c r="B233" i="1"/>
  <c r="M232" i="1"/>
  <c r="H232" i="1"/>
  <c r="F232" i="1"/>
  <c r="E232" i="1"/>
  <c r="D232" i="1"/>
  <c r="C232" i="1"/>
  <c r="B232" i="1"/>
  <c r="M231" i="1"/>
  <c r="H231" i="1"/>
  <c r="F231" i="1"/>
  <c r="E231" i="1"/>
  <c r="D231" i="1"/>
  <c r="C231" i="1"/>
  <c r="B231" i="1"/>
  <c r="M230" i="1"/>
  <c r="H230" i="1"/>
  <c r="F230" i="1"/>
  <c r="E230" i="1"/>
  <c r="D230" i="1"/>
  <c r="C230" i="1"/>
  <c r="B230" i="1"/>
  <c r="M229" i="1"/>
  <c r="H229" i="1"/>
  <c r="F229" i="1"/>
  <c r="E229" i="1"/>
  <c r="D229" i="1"/>
  <c r="C229" i="1"/>
  <c r="B229" i="1"/>
  <c r="M228" i="1"/>
  <c r="H228" i="1"/>
  <c r="F228" i="1"/>
  <c r="E228" i="1"/>
  <c r="D228" i="1"/>
  <c r="C228" i="1"/>
  <c r="B228" i="1"/>
  <c r="M227" i="1"/>
  <c r="H227" i="1"/>
  <c r="F227" i="1"/>
  <c r="E227" i="1"/>
  <c r="D227" i="1"/>
  <c r="C227" i="1"/>
  <c r="B227" i="1"/>
  <c r="M226" i="1"/>
  <c r="H226" i="1"/>
  <c r="F226" i="1"/>
  <c r="E226" i="1"/>
  <c r="D226" i="1"/>
  <c r="C226" i="1"/>
  <c r="B226" i="1"/>
  <c r="M225" i="1"/>
  <c r="H225" i="1"/>
  <c r="F225" i="1"/>
  <c r="E225" i="1"/>
  <c r="D225" i="1"/>
  <c r="C225" i="1"/>
  <c r="B225" i="1"/>
  <c r="M224" i="1"/>
  <c r="H224" i="1"/>
  <c r="F224" i="1"/>
  <c r="E224" i="1"/>
  <c r="D224" i="1"/>
  <c r="C224" i="1"/>
  <c r="B224" i="1"/>
  <c r="M223" i="1"/>
  <c r="H223" i="1"/>
  <c r="F223" i="1"/>
  <c r="E223" i="1"/>
  <c r="D223" i="1"/>
  <c r="C223" i="1"/>
  <c r="B223" i="1"/>
  <c r="M222" i="1"/>
  <c r="H222" i="1"/>
  <c r="F222" i="1"/>
  <c r="E222" i="1"/>
  <c r="D222" i="1"/>
  <c r="C222" i="1"/>
  <c r="B222" i="1"/>
  <c r="M221" i="1"/>
  <c r="H221" i="1"/>
  <c r="F221" i="1"/>
  <c r="E221" i="1"/>
  <c r="D221" i="1"/>
  <c r="C221" i="1"/>
  <c r="B221" i="1"/>
  <c r="M220" i="1"/>
  <c r="H220" i="1"/>
  <c r="F220" i="1"/>
  <c r="E220" i="1"/>
  <c r="D220" i="1"/>
  <c r="C220" i="1"/>
  <c r="B220" i="1"/>
  <c r="M219" i="1"/>
  <c r="H219" i="1"/>
  <c r="F219" i="1"/>
  <c r="E219" i="1"/>
  <c r="D219" i="1"/>
  <c r="C219" i="1"/>
  <c r="B219" i="1"/>
  <c r="M218" i="1"/>
  <c r="H218" i="1"/>
  <c r="F218" i="1"/>
  <c r="E218" i="1"/>
  <c r="D218" i="1"/>
  <c r="C218" i="1"/>
  <c r="B218" i="1"/>
  <c r="M217" i="1"/>
  <c r="H217" i="1"/>
  <c r="F217" i="1"/>
  <c r="E217" i="1"/>
  <c r="D217" i="1"/>
  <c r="C217" i="1"/>
  <c r="B217" i="1"/>
  <c r="M216" i="1"/>
  <c r="H216" i="1"/>
  <c r="F216" i="1"/>
  <c r="E216" i="1"/>
  <c r="D216" i="1"/>
  <c r="C216" i="1"/>
  <c r="B216" i="1"/>
  <c r="M215" i="1"/>
  <c r="H215" i="1"/>
  <c r="F215" i="1"/>
  <c r="E215" i="1"/>
  <c r="D215" i="1"/>
  <c r="C215" i="1"/>
  <c r="B215" i="1"/>
  <c r="M214" i="1"/>
  <c r="H214" i="1"/>
  <c r="F214" i="1"/>
  <c r="E214" i="1"/>
  <c r="D214" i="1"/>
  <c r="C214" i="1"/>
  <c r="B214" i="1"/>
  <c r="M213" i="1"/>
  <c r="H213" i="1"/>
  <c r="F213" i="1"/>
  <c r="E213" i="1"/>
  <c r="D213" i="1"/>
  <c r="C213" i="1"/>
  <c r="B213" i="1"/>
  <c r="M212" i="1"/>
  <c r="H212" i="1"/>
  <c r="F212" i="1"/>
  <c r="E212" i="1"/>
  <c r="D212" i="1"/>
  <c r="C212" i="1"/>
  <c r="B212" i="1"/>
  <c r="M211" i="1"/>
  <c r="H211" i="1"/>
  <c r="F211" i="1"/>
  <c r="E211" i="1"/>
  <c r="D211" i="1"/>
  <c r="C211" i="1"/>
  <c r="B211" i="1"/>
  <c r="M210" i="1"/>
  <c r="H210" i="1"/>
  <c r="F210" i="1"/>
  <c r="E210" i="1"/>
  <c r="D210" i="1"/>
  <c r="C210" i="1"/>
  <c r="B210" i="1"/>
  <c r="M209" i="1"/>
  <c r="H209" i="1"/>
  <c r="F209" i="1"/>
  <c r="E209" i="1"/>
  <c r="D209" i="1"/>
  <c r="C209" i="1"/>
  <c r="B209" i="1"/>
  <c r="M208" i="1"/>
  <c r="H208" i="1"/>
  <c r="F208" i="1"/>
  <c r="E208" i="1"/>
  <c r="D208" i="1"/>
  <c r="C208" i="1"/>
  <c r="B208" i="1"/>
  <c r="M207" i="1"/>
  <c r="H207" i="1"/>
  <c r="F207" i="1"/>
  <c r="E207" i="1"/>
  <c r="D207" i="1"/>
  <c r="C207" i="1"/>
  <c r="B207" i="1"/>
  <c r="M206" i="1"/>
  <c r="H206" i="1"/>
  <c r="F206" i="1"/>
  <c r="E206" i="1"/>
  <c r="D206" i="1"/>
  <c r="C206" i="1"/>
  <c r="B206" i="1"/>
  <c r="M205" i="1"/>
  <c r="H205" i="1"/>
  <c r="F205" i="1"/>
  <c r="E205" i="1"/>
  <c r="D205" i="1"/>
  <c r="C205" i="1"/>
  <c r="B205" i="1"/>
  <c r="M204" i="1"/>
  <c r="H204" i="1"/>
  <c r="F204" i="1"/>
  <c r="E204" i="1"/>
  <c r="D204" i="1"/>
  <c r="C204" i="1"/>
  <c r="B204" i="1"/>
  <c r="M203" i="1"/>
  <c r="H203" i="1"/>
  <c r="F203" i="1"/>
  <c r="E203" i="1"/>
  <c r="D203" i="1"/>
  <c r="C203" i="1"/>
  <c r="B203" i="1"/>
  <c r="M202" i="1"/>
  <c r="H202" i="1"/>
  <c r="F202" i="1"/>
  <c r="E202" i="1"/>
  <c r="D202" i="1"/>
  <c r="C202" i="1"/>
  <c r="B202" i="1"/>
  <c r="M201" i="1"/>
  <c r="H201" i="1"/>
  <c r="F201" i="1"/>
  <c r="E201" i="1"/>
  <c r="D201" i="1"/>
  <c r="C201" i="1"/>
  <c r="B201" i="1"/>
  <c r="M200" i="1"/>
  <c r="H200" i="1"/>
  <c r="F200" i="1"/>
  <c r="E200" i="1"/>
  <c r="D200" i="1"/>
  <c r="C200" i="1"/>
  <c r="B200" i="1"/>
  <c r="M199" i="1"/>
  <c r="H199" i="1"/>
  <c r="F199" i="1"/>
  <c r="E199" i="1"/>
  <c r="D199" i="1"/>
  <c r="C199" i="1"/>
  <c r="B199" i="1"/>
  <c r="M198" i="1"/>
  <c r="H198" i="1"/>
  <c r="F198" i="1"/>
  <c r="E198" i="1"/>
  <c r="D198" i="1"/>
  <c r="C198" i="1"/>
  <c r="B198" i="1"/>
  <c r="M197" i="1"/>
  <c r="H197" i="1"/>
  <c r="F197" i="1"/>
  <c r="E197" i="1"/>
  <c r="D197" i="1"/>
  <c r="C197" i="1"/>
  <c r="B197" i="1"/>
  <c r="M196" i="1"/>
  <c r="H196" i="1"/>
  <c r="F196" i="1"/>
  <c r="E196" i="1"/>
  <c r="D196" i="1"/>
  <c r="C196" i="1"/>
  <c r="B196" i="1"/>
  <c r="M195" i="1"/>
  <c r="H195" i="1"/>
  <c r="F195" i="1"/>
  <c r="E195" i="1"/>
  <c r="D195" i="1"/>
  <c r="C195" i="1"/>
  <c r="B195" i="1"/>
  <c r="M194" i="1"/>
  <c r="H194" i="1"/>
  <c r="F194" i="1"/>
  <c r="E194" i="1"/>
  <c r="D194" i="1"/>
  <c r="C194" i="1"/>
  <c r="B194" i="1"/>
  <c r="M193" i="1"/>
  <c r="H193" i="1"/>
  <c r="F193" i="1"/>
  <c r="E193" i="1"/>
  <c r="D193" i="1"/>
  <c r="C193" i="1"/>
  <c r="B193" i="1"/>
  <c r="M192" i="1"/>
  <c r="H192" i="1"/>
  <c r="F192" i="1"/>
  <c r="E192" i="1"/>
  <c r="D192" i="1"/>
  <c r="C192" i="1"/>
  <c r="B192" i="1"/>
  <c r="M191" i="1"/>
  <c r="H191" i="1"/>
  <c r="F191" i="1"/>
  <c r="E191" i="1"/>
  <c r="D191" i="1"/>
  <c r="C191" i="1"/>
  <c r="B191" i="1"/>
  <c r="M190" i="1"/>
  <c r="H190" i="1"/>
  <c r="F190" i="1"/>
  <c r="E190" i="1"/>
  <c r="D190" i="1"/>
  <c r="C190" i="1"/>
  <c r="B190" i="1"/>
  <c r="M189" i="1"/>
  <c r="H189" i="1"/>
  <c r="F189" i="1"/>
  <c r="E189" i="1"/>
  <c r="D189" i="1"/>
  <c r="C189" i="1"/>
  <c r="B189" i="1"/>
  <c r="M188" i="1"/>
  <c r="H188" i="1"/>
  <c r="F188" i="1"/>
  <c r="E188" i="1"/>
  <c r="D188" i="1"/>
  <c r="C188" i="1"/>
  <c r="B188" i="1"/>
  <c r="M187" i="1"/>
  <c r="H187" i="1"/>
  <c r="F187" i="1"/>
  <c r="E187" i="1"/>
  <c r="D187" i="1"/>
  <c r="C187" i="1"/>
  <c r="B187" i="1"/>
  <c r="M186" i="1"/>
  <c r="H186" i="1"/>
  <c r="F186" i="1"/>
  <c r="E186" i="1"/>
  <c r="D186" i="1"/>
  <c r="C186" i="1"/>
  <c r="B186" i="1"/>
  <c r="M185" i="1"/>
  <c r="H185" i="1"/>
  <c r="F185" i="1"/>
  <c r="E185" i="1"/>
  <c r="D185" i="1"/>
  <c r="C185" i="1"/>
  <c r="B185" i="1"/>
  <c r="M184" i="1"/>
  <c r="H184" i="1"/>
  <c r="F184" i="1"/>
  <c r="E184" i="1"/>
  <c r="D184" i="1"/>
  <c r="C184" i="1"/>
  <c r="B184" i="1"/>
  <c r="M183" i="1"/>
  <c r="H183" i="1"/>
  <c r="F183" i="1"/>
  <c r="E183" i="1"/>
  <c r="D183" i="1"/>
  <c r="C183" i="1"/>
  <c r="B183" i="1"/>
  <c r="M182" i="1"/>
  <c r="H182" i="1"/>
  <c r="F182" i="1"/>
  <c r="E182" i="1"/>
  <c r="D182" i="1"/>
  <c r="C182" i="1"/>
  <c r="B182" i="1"/>
  <c r="M181" i="1"/>
  <c r="H181" i="1"/>
  <c r="F181" i="1"/>
  <c r="E181" i="1"/>
  <c r="D181" i="1"/>
  <c r="C181" i="1"/>
  <c r="B181" i="1"/>
  <c r="M180" i="1"/>
  <c r="H180" i="1"/>
  <c r="F180" i="1"/>
  <c r="E180" i="1"/>
  <c r="D180" i="1"/>
  <c r="C180" i="1"/>
  <c r="B180" i="1"/>
  <c r="M179" i="1"/>
  <c r="H179" i="1"/>
  <c r="F179" i="1"/>
  <c r="E179" i="1"/>
  <c r="D179" i="1"/>
  <c r="C179" i="1"/>
  <c r="B179" i="1"/>
  <c r="M178" i="1"/>
  <c r="H178" i="1"/>
  <c r="F178" i="1"/>
  <c r="E178" i="1"/>
  <c r="D178" i="1"/>
  <c r="C178" i="1"/>
  <c r="B178" i="1"/>
  <c r="M177" i="1"/>
  <c r="H177" i="1"/>
  <c r="F177" i="1"/>
  <c r="E177" i="1"/>
  <c r="D177" i="1"/>
  <c r="C177" i="1"/>
  <c r="B177" i="1"/>
  <c r="M176" i="1"/>
  <c r="H176" i="1"/>
  <c r="F176" i="1"/>
  <c r="E176" i="1"/>
  <c r="D176" i="1"/>
  <c r="C176" i="1"/>
  <c r="B176" i="1"/>
  <c r="M175" i="1"/>
  <c r="H175" i="1"/>
  <c r="F175" i="1"/>
  <c r="E175" i="1"/>
  <c r="D175" i="1"/>
  <c r="C175" i="1"/>
  <c r="B175" i="1"/>
  <c r="M174" i="1"/>
  <c r="H174" i="1"/>
  <c r="F174" i="1"/>
  <c r="E174" i="1"/>
  <c r="D174" i="1"/>
  <c r="C174" i="1"/>
  <c r="B174" i="1"/>
  <c r="M173" i="1"/>
  <c r="H173" i="1"/>
  <c r="F173" i="1"/>
  <c r="E173" i="1"/>
  <c r="D173" i="1"/>
  <c r="C173" i="1"/>
  <c r="B173" i="1"/>
  <c r="M172" i="1"/>
  <c r="H172" i="1"/>
  <c r="F172" i="1"/>
  <c r="E172" i="1"/>
  <c r="D172" i="1"/>
  <c r="C172" i="1"/>
  <c r="B172" i="1"/>
  <c r="M171" i="1"/>
  <c r="H171" i="1"/>
  <c r="F171" i="1"/>
  <c r="E171" i="1"/>
  <c r="D171" i="1"/>
  <c r="C171" i="1"/>
  <c r="B171" i="1"/>
  <c r="M170" i="1"/>
  <c r="H170" i="1"/>
  <c r="F170" i="1"/>
  <c r="E170" i="1"/>
  <c r="D170" i="1"/>
  <c r="C170" i="1"/>
  <c r="B170" i="1"/>
  <c r="M169" i="1"/>
  <c r="H169" i="1"/>
  <c r="F169" i="1"/>
  <c r="E169" i="1"/>
  <c r="D169" i="1"/>
  <c r="C169" i="1"/>
  <c r="B169" i="1"/>
  <c r="M168" i="1"/>
  <c r="H168" i="1"/>
  <c r="F168" i="1"/>
  <c r="E168" i="1"/>
  <c r="D168" i="1"/>
  <c r="C168" i="1"/>
  <c r="B168" i="1"/>
  <c r="M167" i="1"/>
  <c r="H167" i="1"/>
  <c r="F167" i="1"/>
  <c r="E167" i="1"/>
  <c r="D167" i="1"/>
  <c r="C167" i="1"/>
  <c r="B167" i="1"/>
  <c r="M166" i="1"/>
  <c r="H166" i="1"/>
  <c r="F166" i="1"/>
  <c r="E166" i="1"/>
  <c r="D166" i="1"/>
  <c r="C166" i="1"/>
  <c r="B166" i="1"/>
  <c r="M165" i="1"/>
  <c r="H165" i="1"/>
  <c r="F165" i="1"/>
  <c r="E165" i="1"/>
  <c r="D165" i="1"/>
  <c r="C165" i="1"/>
  <c r="B165" i="1"/>
  <c r="M164" i="1"/>
  <c r="H164" i="1"/>
  <c r="F164" i="1"/>
  <c r="E164" i="1"/>
  <c r="D164" i="1"/>
  <c r="C164" i="1"/>
  <c r="B164" i="1"/>
  <c r="M163" i="1"/>
  <c r="H163" i="1"/>
  <c r="F163" i="1"/>
  <c r="E163" i="1"/>
  <c r="D163" i="1"/>
  <c r="C163" i="1"/>
  <c r="B163" i="1"/>
  <c r="M162" i="1"/>
  <c r="H162" i="1"/>
  <c r="F162" i="1"/>
  <c r="E162" i="1"/>
  <c r="D162" i="1"/>
  <c r="C162" i="1"/>
  <c r="B162" i="1"/>
  <c r="M161" i="1"/>
  <c r="H161" i="1"/>
  <c r="F161" i="1"/>
  <c r="E161" i="1"/>
  <c r="D161" i="1"/>
  <c r="C161" i="1"/>
  <c r="B161" i="1"/>
  <c r="M160" i="1"/>
  <c r="H160" i="1"/>
  <c r="F160" i="1"/>
  <c r="E160" i="1"/>
  <c r="D160" i="1"/>
  <c r="C160" i="1"/>
  <c r="B160" i="1"/>
  <c r="M159" i="1"/>
  <c r="H159" i="1"/>
  <c r="F159" i="1"/>
  <c r="E159" i="1"/>
  <c r="D159" i="1"/>
  <c r="C159" i="1"/>
  <c r="B159" i="1"/>
  <c r="M158" i="1"/>
  <c r="H158" i="1"/>
  <c r="F158" i="1"/>
  <c r="E158" i="1"/>
  <c r="D158" i="1"/>
  <c r="C158" i="1"/>
  <c r="B158" i="1"/>
  <c r="M157" i="1"/>
  <c r="H157" i="1"/>
  <c r="F157" i="1"/>
  <c r="E157" i="1"/>
  <c r="D157" i="1"/>
  <c r="C157" i="1"/>
  <c r="B157" i="1"/>
  <c r="M156" i="1"/>
  <c r="H156" i="1"/>
  <c r="F156" i="1"/>
  <c r="E156" i="1"/>
  <c r="D156" i="1"/>
  <c r="C156" i="1"/>
  <c r="B156" i="1"/>
  <c r="M155" i="1"/>
  <c r="H155" i="1"/>
  <c r="F155" i="1"/>
  <c r="E155" i="1"/>
  <c r="D155" i="1"/>
  <c r="C155" i="1"/>
  <c r="B155" i="1"/>
  <c r="M154" i="1"/>
  <c r="H154" i="1"/>
  <c r="F154" i="1"/>
  <c r="E154" i="1"/>
  <c r="D154" i="1"/>
  <c r="C154" i="1"/>
  <c r="B154" i="1"/>
  <c r="M153" i="1"/>
  <c r="H153" i="1"/>
  <c r="F153" i="1"/>
  <c r="E153" i="1"/>
  <c r="D153" i="1"/>
  <c r="C153" i="1"/>
  <c r="B153" i="1"/>
  <c r="M152" i="1"/>
  <c r="H152" i="1"/>
  <c r="F152" i="1"/>
  <c r="E152" i="1"/>
  <c r="D152" i="1"/>
  <c r="C152" i="1"/>
  <c r="B152" i="1"/>
  <c r="M151" i="1"/>
  <c r="H151" i="1"/>
  <c r="F151" i="1"/>
  <c r="E151" i="1"/>
  <c r="D151" i="1"/>
  <c r="C151" i="1"/>
  <c r="B151" i="1"/>
  <c r="M150" i="1"/>
  <c r="H150" i="1"/>
  <c r="F150" i="1"/>
  <c r="E150" i="1"/>
  <c r="D150" i="1"/>
  <c r="C150" i="1"/>
  <c r="B150" i="1"/>
  <c r="M149" i="1"/>
  <c r="H149" i="1"/>
  <c r="F149" i="1"/>
  <c r="E149" i="1"/>
  <c r="D149" i="1"/>
  <c r="C149" i="1"/>
  <c r="B149" i="1"/>
  <c r="M148" i="1"/>
  <c r="H148" i="1"/>
  <c r="F148" i="1"/>
  <c r="E148" i="1"/>
  <c r="D148" i="1"/>
  <c r="C148" i="1"/>
  <c r="B148" i="1"/>
  <c r="M147" i="1"/>
  <c r="H147" i="1"/>
  <c r="F147" i="1"/>
  <c r="E147" i="1"/>
  <c r="D147" i="1"/>
  <c r="C147" i="1"/>
  <c r="B147" i="1"/>
  <c r="M146" i="1"/>
  <c r="H146" i="1"/>
  <c r="F146" i="1"/>
  <c r="E146" i="1"/>
  <c r="D146" i="1"/>
  <c r="C146" i="1"/>
  <c r="B146" i="1"/>
  <c r="M145" i="1"/>
  <c r="H145" i="1"/>
  <c r="F145" i="1"/>
  <c r="E145" i="1"/>
  <c r="D145" i="1"/>
  <c r="C145" i="1"/>
  <c r="B145" i="1"/>
  <c r="M144" i="1"/>
  <c r="H144" i="1"/>
  <c r="F144" i="1"/>
  <c r="E144" i="1"/>
  <c r="D144" i="1"/>
  <c r="C144" i="1"/>
  <c r="B144" i="1"/>
  <c r="M143" i="1"/>
  <c r="H143" i="1"/>
  <c r="F143" i="1"/>
  <c r="E143" i="1"/>
  <c r="D143" i="1"/>
  <c r="C143" i="1"/>
  <c r="B143" i="1"/>
  <c r="M142" i="1"/>
  <c r="H142" i="1"/>
  <c r="F142" i="1"/>
  <c r="E142" i="1"/>
  <c r="D142" i="1"/>
  <c r="C142" i="1"/>
  <c r="B142" i="1"/>
  <c r="M141" i="1"/>
  <c r="H141" i="1"/>
  <c r="F141" i="1"/>
  <c r="E141" i="1"/>
  <c r="D141" i="1"/>
  <c r="C141" i="1"/>
  <c r="B141" i="1"/>
  <c r="M140" i="1"/>
  <c r="H140" i="1"/>
  <c r="F140" i="1"/>
  <c r="E140" i="1"/>
  <c r="D140" i="1"/>
  <c r="C140" i="1"/>
  <c r="B140" i="1"/>
  <c r="M139" i="1"/>
  <c r="H139" i="1"/>
  <c r="F139" i="1"/>
  <c r="E139" i="1"/>
  <c r="D139" i="1"/>
  <c r="C139" i="1"/>
  <c r="B139" i="1"/>
  <c r="M138" i="1"/>
  <c r="H138" i="1"/>
  <c r="F138" i="1"/>
  <c r="E138" i="1"/>
  <c r="D138" i="1"/>
  <c r="C138" i="1"/>
  <c r="B138" i="1"/>
  <c r="M137" i="1"/>
  <c r="H137" i="1"/>
  <c r="F137" i="1"/>
  <c r="E137" i="1"/>
  <c r="D137" i="1"/>
  <c r="C137" i="1"/>
  <c r="B137" i="1"/>
  <c r="M136" i="1"/>
  <c r="H136" i="1"/>
  <c r="F136" i="1"/>
  <c r="E136" i="1"/>
  <c r="D136" i="1"/>
  <c r="C136" i="1"/>
  <c r="B136" i="1"/>
  <c r="M135" i="1"/>
  <c r="H135" i="1"/>
  <c r="F135" i="1"/>
  <c r="E135" i="1"/>
  <c r="D135" i="1"/>
  <c r="C135" i="1"/>
  <c r="B135" i="1"/>
  <c r="M134" i="1"/>
  <c r="H134" i="1"/>
  <c r="F134" i="1"/>
  <c r="E134" i="1"/>
  <c r="D134" i="1"/>
  <c r="C134" i="1"/>
  <c r="B134" i="1"/>
  <c r="M133" i="1"/>
  <c r="H133" i="1"/>
  <c r="F133" i="1"/>
  <c r="E133" i="1"/>
  <c r="D133" i="1"/>
  <c r="C133" i="1"/>
  <c r="B133" i="1"/>
  <c r="M132" i="1"/>
  <c r="H132" i="1"/>
  <c r="F132" i="1"/>
  <c r="E132" i="1"/>
  <c r="D132" i="1"/>
  <c r="C132" i="1"/>
  <c r="B132" i="1"/>
  <c r="M131" i="1"/>
  <c r="H131" i="1"/>
  <c r="F131" i="1"/>
  <c r="E131" i="1"/>
  <c r="D131" i="1"/>
  <c r="C131" i="1"/>
  <c r="B131" i="1"/>
  <c r="M130" i="1"/>
  <c r="H130" i="1"/>
  <c r="F130" i="1"/>
  <c r="E130" i="1"/>
  <c r="D130" i="1"/>
  <c r="C130" i="1"/>
  <c r="B130" i="1"/>
  <c r="M129" i="1"/>
  <c r="H129" i="1"/>
  <c r="F129" i="1"/>
  <c r="E129" i="1"/>
  <c r="D129" i="1"/>
  <c r="C129" i="1"/>
  <c r="B129" i="1"/>
  <c r="M128" i="1"/>
  <c r="H128" i="1"/>
  <c r="F128" i="1"/>
  <c r="E128" i="1"/>
  <c r="D128" i="1"/>
  <c r="C128" i="1"/>
  <c r="B128" i="1"/>
  <c r="M127" i="1"/>
  <c r="H127" i="1"/>
  <c r="F127" i="1"/>
  <c r="E127" i="1"/>
  <c r="D127" i="1"/>
  <c r="C127" i="1"/>
  <c r="B127" i="1"/>
  <c r="M126" i="1"/>
  <c r="H126" i="1"/>
  <c r="F126" i="1"/>
  <c r="E126" i="1"/>
  <c r="D126" i="1"/>
  <c r="C126" i="1"/>
  <c r="B126" i="1"/>
  <c r="M125" i="1"/>
  <c r="H125" i="1"/>
  <c r="F125" i="1"/>
  <c r="E125" i="1"/>
  <c r="D125" i="1"/>
  <c r="C125" i="1"/>
  <c r="B125" i="1"/>
  <c r="M124" i="1"/>
  <c r="H124" i="1"/>
  <c r="F124" i="1"/>
  <c r="E124" i="1"/>
  <c r="D124" i="1"/>
  <c r="C124" i="1"/>
  <c r="B124" i="1"/>
  <c r="M123" i="1"/>
  <c r="H123" i="1"/>
  <c r="F123" i="1"/>
  <c r="E123" i="1"/>
  <c r="D123" i="1"/>
  <c r="C123" i="1"/>
  <c r="B123" i="1"/>
  <c r="M122" i="1"/>
  <c r="H122" i="1"/>
  <c r="F122" i="1"/>
  <c r="E122" i="1"/>
  <c r="D122" i="1"/>
  <c r="C122" i="1"/>
  <c r="B122" i="1"/>
  <c r="M121" i="1"/>
  <c r="H121" i="1"/>
  <c r="F121" i="1"/>
  <c r="E121" i="1"/>
  <c r="D121" i="1"/>
  <c r="C121" i="1"/>
  <c r="B121" i="1"/>
  <c r="M120" i="1"/>
  <c r="H120" i="1"/>
  <c r="F120" i="1"/>
  <c r="E120" i="1"/>
  <c r="D120" i="1"/>
  <c r="C120" i="1"/>
  <c r="B120" i="1"/>
  <c r="M119" i="1"/>
  <c r="H119" i="1"/>
  <c r="F119" i="1"/>
  <c r="E119" i="1"/>
  <c r="D119" i="1"/>
  <c r="C119" i="1"/>
  <c r="B119" i="1"/>
  <c r="M118" i="1"/>
  <c r="H118" i="1"/>
  <c r="F118" i="1"/>
  <c r="E118" i="1"/>
  <c r="D118" i="1"/>
  <c r="C118" i="1"/>
  <c r="B118" i="1"/>
  <c r="M117" i="1"/>
  <c r="H117" i="1"/>
  <c r="F117" i="1"/>
  <c r="E117" i="1"/>
  <c r="D117" i="1"/>
  <c r="C117" i="1"/>
  <c r="B117" i="1"/>
  <c r="M116" i="1"/>
  <c r="H116" i="1"/>
  <c r="F116" i="1"/>
  <c r="E116" i="1"/>
  <c r="D116" i="1"/>
  <c r="C116" i="1"/>
  <c r="B116" i="1"/>
  <c r="M115" i="1"/>
  <c r="H115" i="1"/>
  <c r="F115" i="1"/>
  <c r="E115" i="1"/>
  <c r="D115" i="1"/>
  <c r="C115" i="1"/>
  <c r="B115" i="1"/>
  <c r="M114" i="1"/>
  <c r="H114" i="1"/>
  <c r="F114" i="1"/>
  <c r="E114" i="1"/>
  <c r="D114" i="1"/>
  <c r="C114" i="1"/>
  <c r="B114" i="1"/>
  <c r="M113" i="1"/>
  <c r="H113" i="1"/>
  <c r="F113" i="1"/>
  <c r="E113" i="1"/>
  <c r="D113" i="1"/>
  <c r="C113" i="1"/>
  <c r="B113" i="1"/>
  <c r="M112" i="1"/>
  <c r="H112" i="1"/>
  <c r="F112" i="1"/>
  <c r="E112" i="1"/>
  <c r="D112" i="1"/>
  <c r="C112" i="1"/>
  <c r="B112" i="1"/>
  <c r="M111" i="1"/>
  <c r="H111" i="1"/>
  <c r="F111" i="1"/>
  <c r="E111" i="1"/>
  <c r="D111" i="1"/>
  <c r="C111" i="1"/>
  <c r="B111" i="1"/>
  <c r="M110" i="1"/>
  <c r="H110" i="1"/>
  <c r="F110" i="1"/>
  <c r="E110" i="1"/>
  <c r="D110" i="1"/>
  <c r="C110" i="1"/>
  <c r="B110" i="1"/>
  <c r="M109" i="1"/>
  <c r="H109" i="1"/>
  <c r="F109" i="1"/>
  <c r="E109" i="1"/>
  <c r="D109" i="1"/>
  <c r="C109" i="1"/>
  <c r="B109" i="1"/>
  <c r="M108" i="1"/>
  <c r="H108" i="1"/>
  <c r="F108" i="1"/>
  <c r="E108" i="1"/>
  <c r="D108" i="1"/>
  <c r="C108" i="1"/>
  <c r="B108" i="1"/>
  <c r="M107" i="1"/>
  <c r="H107" i="1"/>
  <c r="F107" i="1"/>
  <c r="E107" i="1"/>
  <c r="D107" i="1"/>
  <c r="C107" i="1"/>
  <c r="B107" i="1"/>
  <c r="M106" i="1"/>
  <c r="H106" i="1"/>
  <c r="F106" i="1"/>
  <c r="E106" i="1"/>
  <c r="D106" i="1"/>
  <c r="C106" i="1"/>
  <c r="B106" i="1"/>
  <c r="M105" i="1"/>
  <c r="H105" i="1"/>
  <c r="F105" i="1"/>
  <c r="E105" i="1"/>
  <c r="D105" i="1"/>
  <c r="C105" i="1"/>
  <c r="B105" i="1"/>
  <c r="M104" i="1"/>
  <c r="H104" i="1"/>
  <c r="F104" i="1"/>
  <c r="E104" i="1"/>
  <c r="D104" i="1"/>
  <c r="C104" i="1"/>
  <c r="B104" i="1"/>
  <c r="M103" i="1"/>
  <c r="H103" i="1"/>
  <c r="F103" i="1"/>
  <c r="E103" i="1"/>
  <c r="D103" i="1"/>
  <c r="C103" i="1"/>
  <c r="B103" i="1"/>
  <c r="M102" i="1"/>
  <c r="H102" i="1"/>
  <c r="F102" i="1"/>
  <c r="E102" i="1"/>
  <c r="D102" i="1"/>
  <c r="C102" i="1"/>
  <c r="B102" i="1"/>
  <c r="M101" i="1"/>
  <c r="H101" i="1"/>
  <c r="F101" i="1"/>
  <c r="E101" i="1"/>
  <c r="D101" i="1"/>
  <c r="C101" i="1"/>
  <c r="B101" i="1"/>
  <c r="M100" i="1"/>
  <c r="H100" i="1"/>
  <c r="F100" i="1"/>
  <c r="E100" i="1"/>
  <c r="D100" i="1"/>
  <c r="C100" i="1"/>
  <c r="B100" i="1"/>
  <c r="M99" i="1"/>
  <c r="H99" i="1"/>
  <c r="F99" i="1"/>
  <c r="E99" i="1"/>
  <c r="D99" i="1"/>
  <c r="C99" i="1"/>
  <c r="B99" i="1"/>
  <c r="M98" i="1"/>
  <c r="H98" i="1"/>
  <c r="F98" i="1"/>
  <c r="E98" i="1"/>
  <c r="D98" i="1"/>
  <c r="C98" i="1"/>
  <c r="B98" i="1"/>
  <c r="M97" i="1"/>
  <c r="H97" i="1"/>
  <c r="F97" i="1"/>
  <c r="E97" i="1"/>
  <c r="D97" i="1"/>
  <c r="C97" i="1"/>
  <c r="B97" i="1"/>
  <c r="M96" i="1"/>
  <c r="H96" i="1"/>
  <c r="F96" i="1"/>
  <c r="E96" i="1"/>
  <c r="D96" i="1"/>
  <c r="C96" i="1"/>
  <c r="B96" i="1"/>
  <c r="M95" i="1"/>
  <c r="H95" i="1"/>
  <c r="F95" i="1"/>
  <c r="E95" i="1"/>
  <c r="D95" i="1"/>
  <c r="C95" i="1"/>
  <c r="B95" i="1"/>
  <c r="M94" i="1"/>
  <c r="H94" i="1"/>
  <c r="F94" i="1"/>
  <c r="E94" i="1"/>
  <c r="D94" i="1"/>
  <c r="C94" i="1"/>
  <c r="B94" i="1"/>
  <c r="M93" i="1"/>
  <c r="H93" i="1"/>
  <c r="F93" i="1"/>
  <c r="E93" i="1"/>
  <c r="D93" i="1"/>
  <c r="C93" i="1"/>
  <c r="B93" i="1"/>
  <c r="M92" i="1"/>
  <c r="H92" i="1"/>
  <c r="F92" i="1"/>
  <c r="E92" i="1"/>
  <c r="D92" i="1"/>
  <c r="C92" i="1"/>
  <c r="B92" i="1"/>
  <c r="M91" i="1"/>
  <c r="H91" i="1"/>
  <c r="F91" i="1"/>
  <c r="E91" i="1"/>
  <c r="D91" i="1"/>
  <c r="C91" i="1"/>
  <c r="B91" i="1"/>
  <c r="M90" i="1"/>
  <c r="H90" i="1"/>
  <c r="F90" i="1"/>
  <c r="E90" i="1"/>
  <c r="D90" i="1"/>
  <c r="C90" i="1"/>
  <c r="B90" i="1"/>
  <c r="M89" i="1"/>
  <c r="H89" i="1"/>
  <c r="F89" i="1"/>
  <c r="E89" i="1"/>
  <c r="D89" i="1"/>
  <c r="C89" i="1"/>
  <c r="B89" i="1"/>
  <c r="M88" i="1"/>
  <c r="H88" i="1"/>
  <c r="F88" i="1"/>
  <c r="E88" i="1"/>
  <c r="D88" i="1"/>
  <c r="C88" i="1"/>
  <c r="B88" i="1"/>
  <c r="M87" i="1"/>
  <c r="H87" i="1"/>
  <c r="F87" i="1"/>
  <c r="E87" i="1"/>
  <c r="D87" i="1"/>
  <c r="C87" i="1"/>
  <c r="B87" i="1"/>
  <c r="M86" i="1"/>
  <c r="H86" i="1"/>
  <c r="F86" i="1"/>
  <c r="E86" i="1"/>
  <c r="D86" i="1"/>
  <c r="C86" i="1"/>
  <c r="B86" i="1"/>
  <c r="M85" i="1"/>
  <c r="H85" i="1"/>
  <c r="F85" i="1"/>
  <c r="E85" i="1"/>
  <c r="D85" i="1"/>
  <c r="C85" i="1"/>
  <c r="B85" i="1"/>
  <c r="M84" i="1"/>
  <c r="H84" i="1"/>
  <c r="F84" i="1"/>
  <c r="E84" i="1"/>
  <c r="D84" i="1"/>
  <c r="C84" i="1"/>
  <c r="B84" i="1"/>
  <c r="M83" i="1"/>
  <c r="H83" i="1"/>
  <c r="F83" i="1"/>
  <c r="E83" i="1"/>
  <c r="D83" i="1"/>
  <c r="C83" i="1"/>
  <c r="B83" i="1"/>
  <c r="M82" i="1"/>
  <c r="H82" i="1"/>
  <c r="F82" i="1"/>
  <c r="E82" i="1"/>
  <c r="D82" i="1"/>
  <c r="C82" i="1"/>
  <c r="B82" i="1"/>
  <c r="M81" i="1"/>
  <c r="H81" i="1"/>
  <c r="F81" i="1"/>
  <c r="E81" i="1"/>
  <c r="D81" i="1"/>
  <c r="C81" i="1"/>
  <c r="B81" i="1"/>
  <c r="M80" i="1"/>
  <c r="H80" i="1"/>
  <c r="F80" i="1"/>
  <c r="E80" i="1"/>
  <c r="D80" i="1"/>
  <c r="C80" i="1"/>
  <c r="B80" i="1"/>
  <c r="M79" i="1"/>
  <c r="H79" i="1"/>
  <c r="F79" i="1"/>
  <c r="E79" i="1"/>
  <c r="D79" i="1"/>
  <c r="C79" i="1"/>
  <c r="B79" i="1"/>
  <c r="M78" i="1"/>
  <c r="H78" i="1"/>
  <c r="F78" i="1"/>
  <c r="E78" i="1"/>
  <c r="D78" i="1"/>
  <c r="C78" i="1"/>
  <c r="B78" i="1"/>
  <c r="M77" i="1"/>
  <c r="H77" i="1"/>
  <c r="F77" i="1"/>
  <c r="E77" i="1"/>
  <c r="D77" i="1"/>
  <c r="C77" i="1"/>
  <c r="B77" i="1"/>
  <c r="M76" i="1"/>
  <c r="H76" i="1"/>
  <c r="F76" i="1"/>
  <c r="E76" i="1"/>
  <c r="D76" i="1"/>
  <c r="C76" i="1"/>
  <c r="B76" i="1"/>
  <c r="M75" i="1"/>
  <c r="H75" i="1"/>
  <c r="F75" i="1"/>
  <c r="E75" i="1"/>
  <c r="D75" i="1"/>
  <c r="C75" i="1"/>
  <c r="B75" i="1"/>
  <c r="M74" i="1"/>
  <c r="H74" i="1"/>
  <c r="F74" i="1"/>
  <c r="E74" i="1"/>
  <c r="D74" i="1"/>
  <c r="C74" i="1"/>
  <c r="B74" i="1"/>
  <c r="M73" i="1"/>
  <c r="H73" i="1"/>
  <c r="F73" i="1"/>
  <c r="E73" i="1"/>
  <c r="D73" i="1"/>
  <c r="C73" i="1"/>
  <c r="B73" i="1"/>
  <c r="M72" i="1"/>
  <c r="H72" i="1"/>
  <c r="F72" i="1"/>
  <c r="E72" i="1"/>
  <c r="D72" i="1"/>
  <c r="C72" i="1"/>
  <c r="B72" i="1"/>
  <c r="M71" i="1"/>
  <c r="H71" i="1"/>
  <c r="F71" i="1"/>
  <c r="E71" i="1"/>
  <c r="D71" i="1"/>
  <c r="C71" i="1"/>
  <c r="B71" i="1"/>
  <c r="M70" i="1"/>
  <c r="H70" i="1"/>
  <c r="F70" i="1"/>
  <c r="E70" i="1"/>
  <c r="D70" i="1"/>
  <c r="C70" i="1"/>
  <c r="B70" i="1"/>
  <c r="M69" i="1"/>
  <c r="H69" i="1"/>
  <c r="F69" i="1"/>
  <c r="E69" i="1"/>
  <c r="D69" i="1"/>
  <c r="C69" i="1"/>
  <c r="B69" i="1"/>
  <c r="M68" i="1"/>
  <c r="H68" i="1"/>
  <c r="F68" i="1"/>
  <c r="E68" i="1"/>
  <c r="D68" i="1"/>
  <c r="C68" i="1"/>
  <c r="B68" i="1"/>
  <c r="M67" i="1"/>
  <c r="H67" i="1"/>
  <c r="F67" i="1"/>
  <c r="E67" i="1"/>
  <c r="D67" i="1"/>
  <c r="C67" i="1"/>
  <c r="B67" i="1"/>
  <c r="M66" i="1"/>
  <c r="H66" i="1"/>
  <c r="F66" i="1"/>
  <c r="E66" i="1"/>
  <c r="D66" i="1"/>
  <c r="C66" i="1"/>
  <c r="B66" i="1"/>
  <c r="M65" i="1"/>
  <c r="H65" i="1"/>
  <c r="F65" i="1"/>
  <c r="E65" i="1"/>
  <c r="D65" i="1"/>
  <c r="C65" i="1"/>
  <c r="B65" i="1"/>
  <c r="M64" i="1"/>
  <c r="H64" i="1"/>
  <c r="F64" i="1"/>
  <c r="E64" i="1"/>
  <c r="D64" i="1"/>
  <c r="C64" i="1"/>
  <c r="B64" i="1"/>
  <c r="M63" i="1"/>
  <c r="H63" i="1"/>
  <c r="F63" i="1"/>
  <c r="E63" i="1"/>
  <c r="D63" i="1"/>
  <c r="C63" i="1"/>
  <c r="B63" i="1"/>
  <c r="M62" i="1"/>
  <c r="H62" i="1"/>
  <c r="F62" i="1"/>
  <c r="E62" i="1"/>
  <c r="D62" i="1"/>
  <c r="C62" i="1"/>
  <c r="B62" i="1"/>
  <c r="M61" i="1"/>
  <c r="H61" i="1"/>
  <c r="F61" i="1"/>
  <c r="E61" i="1"/>
  <c r="D61" i="1"/>
  <c r="C61" i="1"/>
  <c r="B61" i="1"/>
  <c r="M60" i="1"/>
  <c r="H60" i="1"/>
  <c r="F60" i="1"/>
  <c r="E60" i="1"/>
  <c r="D60" i="1"/>
  <c r="C60" i="1"/>
  <c r="B60" i="1"/>
  <c r="M59" i="1"/>
  <c r="H59" i="1"/>
  <c r="F59" i="1"/>
  <c r="E59" i="1"/>
  <c r="D59" i="1"/>
  <c r="C59" i="1"/>
  <c r="B59" i="1"/>
  <c r="M58" i="1"/>
  <c r="H58" i="1"/>
  <c r="F58" i="1"/>
  <c r="E58" i="1"/>
  <c r="D58" i="1"/>
  <c r="C58" i="1"/>
  <c r="B58" i="1"/>
  <c r="M57" i="1"/>
  <c r="H57" i="1"/>
  <c r="F57" i="1"/>
  <c r="E57" i="1"/>
  <c r="D57" i="1"/>
  <c r="C57" i="1"/>
  <c r="B57" i="1"/>
  <c r="M56" i="1"/>
  <c r="H56" i="1"/>
  <c r="F56" i="1"/>
  <c r="E56" i="1"/>
  <c r="D56" i="1"/>
  <c r="C56" i="1"/>
  <c r="B56" i="1"/>
  <c r="M55" i="1"/>
  <c r="H55" i="1"/>
  <c r="F55" i="1"/>
  <c r="E55" i="1"/>
  <c r="D55" i="1"/>
  <c r="C55" i="1"/>
  <c r="B55" i="1"/>
  <c r="M54" i="1"/>
  <c r="H54" i="1"/>
  <c r="F54" i="1"/>
  <c r="E54" i="1"/>
  <c r="D54" i="1"/>
  <c r="C54" i="1"/>
  <c r="B54" i="1"/>
  <c r="M53" i="1"/>
  <c r="H53" i="1"/>
  <c r="F53" i="1"/>
  <c r="E53" i="1"/>
  <c r="D53" i="1"/>
  <c r="C53" i="1"/>
  <c r="B53" i="1"/>
  <c r="M52" i="1"/>
  <c r="H52" i="1"/>
  <c r="F52" i="1"/>
  <c r="E52" i="1"/>
  <c r="D52" i="1"/>
  <c r="C52" i="1"/>
  <c r="B52" i="1"/>
  <c r="M51" i="1"/>
  <c r="H51" i="1"/>
  <c r="F51" i="1"/>
  <c r="E51" i="1"/>
  <c r="D51" i="1"/>
  <c r="C51" i="1"/>
  <c r="B51" i="1"/>
  <c r="M50" i="1"/>
  <c r="H50" i="1"/>
  <c r="F50" i="1"/>
  <c r="E50" i="1"/>
  <c r="D50" i="1"/>
  <c r="C50" i="1"/>
  <c r="B50" i="1"/>
  <c r="M49" i="1"/>
  <c r="H49" i="1"/>
  <c r="F49" i="1"/>
  <c r="E49" i="1"/>
  <c r="D49" i="1"/>
  <c r="C49" i="1"/>
  <c r="B49" i="1"/>
  <c r="M48" i="1"/>
  <c r="H48" i="1"/>
  <c r="F48" i="1"/>
  <c r="E48" i="1"/>
  <c r="D48" i="1"/>
  <c r="C48" i="1"/>
  <c r="B48" i="1"/>
  <c r="M47" i="1"/>
  <c r="H47" i="1"/>
  <c r="F47" i="1"/>
  <c r="E47" i="1"/>
  <c r="D47" i="1"/>
  <c r="C47" i="1"/>
  <c r="B47" i="1"/>
  <c r="M46" i="1"/>
  <c r="H46" i="1"/>
  <c r="F46" i="1"/>
  <c r="E46" i="1"/>
  <c r="D46" i="1"/>
  <c r="C46" i="1"/>
  <c r="B46" i="1"/>
  <c r="M45" i="1"/>
  <c r="H45" i="1"/>
  <c r="F45" i="1"/>
  <c r="E45" i="1"/>
  <c r="D45" i="1"/>
  <c r="C45" i="1"/>
  <c r="B45" i="1"/>
  <c r="M44" i="1"/>
  <c r="H44" i="1"/>
  <c r="F44" i="1"/>
  <c r="E44" i="1"/>
  <c r="D44" i="1"/>
  <c r="C44" i="1"/>
  <c r="B44" i="1"/>
  <c r="M43" i="1"/>
  <c r="H43" i="1"/>
  <c r="F43" i="1"/>
  <c r="E43" i="1"/>
  <c r="D43" i="1"/>
  <c r="C43" i="1"/>
  <c r="B43" i="1"/>
  <c r="M42" i="1"/>
  <c r="H42" i="1"/>
  <c r="F42" i="1"/>
  <c r="E42" i="1"/>
  <c r="D42" i="1"/>
  <c r="C42" i="1"/>
  <c r="B42" i="1"/>
  <c r="M41" i="1"/>
  <c r="H41" i="1"/>
  <c r="F41" i="1"/>
  <c r="E41" i="1"/>
  <c r="D41" i="1"/>
  <c r="C41" i="1"/>
  <c r="B41" i="1"/>
  <c r="M40" i="1"/>
  <c r="H40" i="1"/>
  <c r="F40" i="1"/>
  <c r="E40" i="1"/>
  <c r="D40" i="1"/>
  <c r="C40" i="1"/>
  <c r="B40" i="1"/>
  <c r="M39" i="1"/>
  <c r="H39" i="1"/>
  <c r="F39" i="1"/>
  <c r="E39" i="1"/>
  <c r="D39" i="1"/>
  <c r="C39" i="1"/>
  <c r="B39" i="1"/>
  <c r="M38" i="1"/>
  <c r="H38" i="1"/>
  <c r="F38" i="1"/>
  <c r="E38" i="1"/>
  <c r="D38" i="1"/>
  <c r="C38" i="1"/>
  <c r="B38" i="1"/>
  <c r="M37" i="1"/>
  <c r="H37" i="1"/>
  <c r="F37" i="1"/>
  <c r="E37" i="1"/>
  <c r="D37" i="1"/>
  <c r="C37" i="1"/>
  <c r="B37" i="1"/>
  <c r="M36" i="1"/>
  <c r="H36" i="1"/>
  <c r="F36" i="1"/>
  <c r="E36" i="1"/>
  <c r="D36" i="1"/>
  <c r="C36" i="1"/>
  <c r="B36" i="1"/>
  <c r="M35" i="1"/>
  <c r="H35" i="1"/>
  <c r="F35" i="1"/>
  <c r="E35" i="1"/>
  <c r="D35" i="1"/>
  <c r="C35" i="1"/>
  <c r="B35" i="1"/>
  <c r="M34" i="1"/>
  <c r="H34" i="1"/>
  <c r="F34" i="1"/>
  <c r="E34" i="1"/>
  <c r="D34" i="1"/>
  <c r="C34" i="1"/>
  <c r="B34" i="1"/>
  <c r="M33" i="1"/>
  <c r="H33" i="1"/>
  <c r="F33" i="1"/>
  <c r="E33" i="1"/>
  <c r="D33" i="1"/>
  <c r="C33" i="1"/>
  <c r="B33" i="1"/>
  <c r="M32" i="1"/>
  <c r="H32" i="1"/>
  <c r="F32" i="1"/>
  <c r="E32" i="1"/>
  <c r="D32" i="1"/>
  <c r="C32" i="1"/>
  <c r="B32" i="1"/>
  <c r="M31" i="1"/>
  <c r="H31" i="1"/>
  <c r="F31" i="1"/>
  <c r="E31" i="1"/>
  <c r="D31" i="1"/>
  <c r="C31" i="1"/>
  <c r="B31" i="1"/>
  <c r="M30" i="1"/>
  <c r="H30" i="1"/>
  <c r="F30" i="1"/>
  <c r="E30" i="1"/>
  <c r="D30" i="1"/>
  <c r="C30" i="1"/>
  <c r="B30" i="1"/>
  <c r="M29" i="1"/>
  <c r="H29" i="1"/>
  <c r="F29" i="1"/>
  <c r="E29" i="1"/>
  <c r="D29" i="1"/>
  <c r="C29" i="1"/>
  <c r="B29" i="1"/>
  <c r="M28" i="1"/>
  <c r="H28" i="1"/>
  <c r="F28" i="1"/>
  <c r="E28" i="1"/>
  <c r="D28" i="1"/>
  <c r="C28" i="1"/>
  <c r="B28" i="1"/>
  <c r="M27" i="1"/>
  <c r="H27" i="1"/>
  <c r="F27" i="1"/>
  <c r="E27" i="1"/>
  <c r="D27" i="1"/>
  <c r="C27" i="1"/>
  <c r="B27" i="1"/>
  <c r="M26" i="1"/>
  <c r="H26" i="1"/>
  <c r="F26" i="1"/>
  <c r="E26" i="1"/>
  <c r="D26" i="1"/>
  <c r="C26" i="1"/>
  <c r="B26" i="1"/>
  <c r="M25" i="1"/>
  <c r="H25" i="1"/>
  <c r="F25" i="1"/>
  <c r="E25" i="1"/>
  <c r="D25" i="1"/>
  <c r="C25" i="1"/>
  <c r="B25" i="1"/>
  <c r="M24" i="1"/>
  <c r="H24" i="1"/>
  <c r="F24" i="1"/>
  <c r="E24" i="1"/>
  <c r="D24" i="1"/>
  <c r="C24" i="1"/>
  <c r="B24" i="1"/>
  <c r="M23" i="1"/>
  <c r="H23" i="1"/>
  <c r="F23" i="1"/>
  <c r="E23" i="1"/>
  <c r="D23" i="1"/>
  <c r="C23" i="1"/>
  <c r="B23" i="1"/>
  <c r="M22" i="1"/>
  <c r="H22" i="1"/>
  <c r="F22" i="1"/>
  <c r="E22" i="1"/>
  <c r="D22" i="1"/>
  <c r="C22" i="1"/>
  <c r="B22" i="1"/>
  <c r="M21" i="1"/>
  <c r="H21" i="1"/>
  <c r="F21" i="1"/>
  <c r="E21" i="1"/>
  <c r="D21" i="1"/>
  <c r="C21" i="1"/>
  <c r="B21" i="1"/>
  <c r="M20" i="1"/>
  <c r="H20" i="1"/>
  <c r="F20" i="1"/>
  <c r="E20" i="1"/>
  <c r="D20" i="1"/>
  <c r="C20" i="1"/>
  <c r="B20" i="1"/>
  <c r="M19" i="1"/>
  <c r="H19" i="1"/>
  <c r="F19" i="1"/>
  <c r="E19" i="1"/>
  <c r="D19" i="1"/>
  <c r="C19" i="1"/>
  <c r="B19" i="1"/>
  <c r="M18" i="1"/>
  <c r="H18" i="1"/>
  <c r="F18" i="1"/>
  <c r="E18" i="1"/>
  <c r="D18" i="1"/>
  <c r="C18" i="1"/>
  <c r="B18" i="1"/>
  <c r="M17" i="1"/>
  <c r="H17" i="1"/>
  <c r="F17" i="1"/>
  <c r="E17" i="1"/>
  <c r="D17" i="1"/>
  <c r="C17" i="1"/>
  <c r="B17" i="1"/>
  <c r="M16" i="1"/>
  <c r="H16" i="1"/>
  <c r="F16" i="1"/>
  <c r="E16" i="1"/>
  <c r="D16" i="1"/>
  <c r="C16" i="1"/>
  <c r="B16" i="1"/>
  <c r="M15" i="1"/>
  <c r="H15" i="1"/>
  <c r="F15" i="1"/>
  <c r="E15" i="1"/>
  <c r="D15" i="1"/>
  <c r="C15" i="1"/>
  <c r="B15" i="1"/>
  <c r="M14" i="1"/>
  <c r="H14" i="1"/>
  <c r="F14" i="1"/>
  <c r="E14" i="1"/>
  <c r="D14" i="1"/>
  <c r="C14" i="1"/>
  <c r="B14" i="1"/>
  <c r="M13" i="1"/>
  <c r="H13" i="1"/>
  <c r="F13" i="1"/>
  <c r="E13" i="1"/>
  <c r="D13" i="1"/>
  <c r="C13" i="1"/>
  <c r="B13" i="1"/>
  <c r="M12" i="1"/>
  <c r="H12" i="1"/>
  <c r="F12" i="1"/>
  <c r="E12" i="1"/>
  <c r="D12" i="1"/>
  <c r="C12" i="1"/>
  <c r="B12" i="1"/>
  <c r="M11" i="1"/>
  <c r="H11" i="1"/>
  <c r="F11" i="1"/>
  <c r="E11" i="1"/>
  <c r="D11" i="1"/>
  <c r="C11" i="1"/>
  <c r="B11" i="1"/>
  <c r="M10" i="1"/>
  <c r="H10" i="1"/>
  <c r="F10" i="1"/>
  <c r="E10" i="1"/>
  <c r="D10" i="1"/>
  <c r="C10" i="1"/>
  <c r="B10" i="1"/>
  <c r="M9" i="1"/>
  <c r="H9" i="1"/>
  <c r="F9" i="1"/>
  <c r="E9" i="1"/>
  <c r="D9" i="1"/>
  <c r="C9" i="1"/>
  <c r="B9" i="1"/>
  <c r="M8" i="1"/>
  <c r="H8" i="1"/>
  <c r="F8" i="1"/>
  <c r="E8" i="1"/>
  <c r="D8" i="1"/>
  <c r="C8" i="1"/>
  <c r="B8" i="1"/>
  <c r="M7" i="1"/>
  <c r="H7" i="1"/>
  <c r="F7" i="1"/>
  <c r="E7" i="1"/>
  <c r="D7" i="1"/>
  <c r="C7" i="1"/>
  <c r="B7" i="1"/>
  <c r="M6" i="1"/>
  <c r="H6" i="1"/>
  <c r="F6" i="1"/>
  <c r="E6" i="1"/>
  <c r="D6" i="1"/>
  <c r="C6" i="1"/>
  <c r="B6" i="1"/>
  <c r="M5" i="1"/>
  <c r="H5" i="1"/>
  <c r="F5" i="1"/>
  <c r="E5" i="1"/>
  <c r="D5" i="1"/>
  <c r="C5" i="1"/>
  <c r="B5" i="1"/>
  <c r="M4" i="1"/>
  <c r="H4" i="1"/>
  <c r="F4" i="1"/>
  <c r="E4" i="1"/>
  <c r="D4" i="1"/>
  <c r="C4" i="1"/>
  <c r="B4" i="1"/>
  <c r="M3" i="1"/>
  <c r="H3" i="1"/>
  <c r="F3" i="1"/>
  <c r="E3" i="1"/>
  <c r="D3" i="1"/>
  <c r="C3" i="1"/>
  <c r="B3" i="1"/>
  <c r="M2" i="1"/>
  <c r="H2" i="1"/>
  <c r="F2" i="1"/>
  <c r="E2" i="1"/>
  <c r="D2" i="1"/>
  <c r="C2"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E3D1B5-6DB1-422E-8E75-7353E823EAA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6735FFD-6E26-4932-87A5-755B27304B6C}" name="WorksheetConnection_Training_Dashboard.xlsx!TDepartment" type="102" refreshedVersion="8" minRefreshableVersion="5">
    <extLst>
      <ext xmlns:x15="http://schemas.microsoft.com/office/spreadsheetml/2010/11/main" uri="{DE250136-89BD-433C-8126-D09CA5730AF9}">
        <x15:connection id="TDepartment">
          <x15:rangePr sourceName="_xlcn.WorksheetConnection_Training_Dashboard.xlsxTDepartment1"/>
        </x15:connection>
      </ext>
    </extLst>
  </connection>
  <connection id="3" xr16:uid="{9088BB44-58BC-48B6-A7DE-7831A6412700}" name="WorksheetConnection_Training_Dashboard.xlsx!THrList" type="102" refreshedVersion="8" minRefreshableVersion="5">
    <extLst>
      <ext xmlns:x15="http://schemas.microsoft.com/office/spreadsheetml/2010/11/main" uri="{DE250136-89BD-433C-8126-D09CA5730AF9}">
        <x15:connection id="THrList" autoDelete="1">
          <x15:rangePr sourceName="_xlcn.WorksheetConnection_Training_Dashboard.xlsxTHrList1"/>
        </x15:connection>
      </ext>
    </extLst>
  </connection>
  <connection id="4" xr16:uid="{45DAEA07-FB87-442F-8C73-1165C0369442}" name="WorksheetConnection_Training_Dashboard.xlsx!TTrainingSource" type="102" refreshedVersion="8" minRefreshableVersion="5">
    <extLst>
      <ext xmlns:x15="http://schemas.microsoft.com/office/spreadsheetml/2010/11/main" uri="{DE250136-89BD-433C-8126-D09CA5730AF9}">
        <x15:connection id="TTrainingSource" autoDelete="1">
          <x15:rangePr sourceName="_xlcn.WorksheetConnection_Training_Dashboard.xlsxTTrainingSource1"/>
        </x15:connection>
      </ext>
    </extLst>
  </connection>
</connections>
</file>

<file path=xl/sharedStrings.xml><?xml version="1.0" encoding="utf-8"?>
<sst xmlns="http://schemas.openxmlformats.org/spreadsheetml/2006/main" count="14279" uniqueCount="1142">
  <si>
    <t>Employee_ID</t>
  </si>
  <si>
    <t>Training_Status</t>
  </si>
  <si>
    <t>Training_Title</t>
  </si>
  <si>
    <t>Training_Date</t>
  </si>
  <si>
    <t>Training_Provider</t>
  </si>
  <si>
    <t>Duration_Hours</t>
  </si>
  <si>
    <t>Satisfaction_Score</t>
  </si>
  <si>
    <t>EMP10624</t>
  </si>
  <si>
    <t>In Progress</t>
  </si>
  <si>
    <t>Data Analysis Fundamentals</t>
  </si>
  <si>
    <t xml:space="preserve"> Planned</t>
  </si>
  <si>
    <t xml:space="preserve"> SQL for Data Analytics</t>
  </si>
  <si>
    <t xml:space="preserve">Coursera </t>
  </si>
  <si>
    <t>EMP10252</t>
  </si>
  <si>
    <t>Project Management Essentials</t>
  </si>
  <si>
    <t xml:space="preserve">Udemy Business </t>
  </si>
  <si>
    <t>EMP10385</t>
  </si>
  <si>
    <t>Completed</t>
  </si>
  <si>
    <t>EMP10641</t>
  </si>
  <si>
    <t>Planned</t>
  </si>
  <si>
    <t>Data Visualization Best Practices</t>
  </si>
  <si>
    <t xml:space="preserve"> EMP10269 </t>
  </si>
  <si>
    <t>Business Intelligence with Tableau</t>
  </si>
  <si>
    <t>EMP10446</t>
  </si>
  <si>
    <t>Power BI Reporting</t>
  </si>
  <si>
    <t>EMP10065</t>
  </si>
  <si>
    <t>SQL for Data Analytics</t>
  </si>
  <si>
    <t>EMP10673</t>
  </si>
  <si>
    <t>Communication for Analysts</t>
  </si>
  <si>
    <t>Udemy Business</t>
  </si>
  <si>
    <t>EMP10171</t>
  </si>
  <si>
    <t>Customer Data Analysis</t>
  </si>
  <si>
    <t>Microsoft Learn</t>
  </si>
  <si>
    <t>EMP10097</t>
  </si>
  <si>
    <t>EMP10555</t>
  </si>
  <si>
    <t xml:space="preserve">Completed </t>
  </si>
  <si>
    <t xml:space="preserve"> EMP10528 </t>
  </si>
  <si>
    <t>EMP10452</t>
  </si>
  <si>
    <t>Financial Modeling Basics</t>
  </si>
  <si>
    <t>AWS Training</t>
  </si>
  <si>
    <t>EMP10485</t>
  </si>
  <si>
    <t>FINANCIAL MODELING BASICS</t>
  </si>
  <si>
    <t>Internal Training</t>
  </si>
  <si>
    <t>Digital Marketing Strategy</t>
  </si>
  <si>
    <t>LinkedIn Learning</t>
  </si>
  <si>
    <t>EMP10501</t>
  </si>
  <si>
    <t>Coursera</t>
  </si>
  <si>
    <t>EMP10068</t>
  </si>
  <si>
    <t>EMP10056</t>
  </si>
  <si>
    <t>EMP10380</t>
  </si>
  <si>
    <t xml:space="preserve">Customer Data Analysis </t>
  </si>
  <si>
    <t>EMP10162</t>
  </si>
  <si>
    <t>Advanced Excel for Business</t>
  </si>
  <si>
    <t>EMP10048</t>
  </si>
  <si>
    <t>EMP10325</t>
  </si>
  <si>
    <t xml:space="preserve">Data Analysis Fundamentals </t>
  </si>
  <si>
    <t>EMP10578</t>
  </si>
  <si>
    <t>EMP10060</t>
  </si>
  <si>
    <t>EMP10332</t>
  </si>
  <si>
    <t>EMP10248</t>
  </si>
  <si>
    <t>PROJECT  MANAGEMENT  ESSENTIALS</t>
  </si>
  <si>
    <t xml:space="preserve"> EMP10461 </t>
  </si>
  <si>
    <t>Introduction to Python for Data</t>
  </si>
  <si>
    <t xml:space="preserve"> EMP10570 </t>
  </si>
  <si>
    <t>EMP10553</t>
  </si>
  <si>
    <t xml:space="preserve"> EMP10275 </t>
  </si>
  <si>
    <t xml:space="preserve"> EMP10381 </t>
  </si>
  <si>
    <t xml:space="preserve"> In Progress</t>
  </si>
  <si>
    <t>EMP10011</t>
  </si>
  <si>
    <t xml:space="preserve"> Completed</t>
  </si>
  <si>
    <t>EMP10236</t>
  </si>
  <si>
    <t xml:space="preserve">AWS Training </t>
  </si>
  <si>
    <t>EMP10427</t>
  </si>
  <si>
    <t>EMP10620</t>
  </si>
  <si>
    <t>EMP10284</t>
  </si>
  <si>
    <t>EMP10547</t>
  </si>
  <si>
    <t>EMP10566</t>
  </si>
  <si>
    <t>EMP10582</t>
  </si>
  <si>
    <t>EMP10509</t>
  </si>
  <si>
    <t>DIGITAL MARKETING STRATEGY</t>
  </si>
  <si>
    <t>EMP10511</t>
  </si>
  <si>
    <t>EMP10338</t>
  </si>
  <si>
    <t xml:space="preserve"> Advanced Excel for Business</t>
  </si>
  <si>
    <t xml:space="preserve"> EMP10173 </t>
  </si>
  <si>
    <t>EMP10096</t>
  </si>
  <si>
    <t>EMP10358</t>
  </si>
  <si>
    <t>EMP10529</t>
  </si>
  <si>
    <t>EMP10636</t>
  </si>
  <si>
    <t xml:space="preserve"> EMP10077 </t>
  </si>
  <si>
    <t>EMP10407</t>
  </si>
  <si>
    <t>EMP10558</t>
  </si>
  <si>
    <t>EMP10133</t>
  </si>
  <si>
    <t>EMP10313</t>
  </si>
  <si>
    <t>EMP10405</t>
  </si>
  <si>
    <t xml:space="preserve"> Financial Modeling Basics</t>
  </si>
  <si>
    <t xml:space="preserve">Power BI Reporting </t>
  </si>
  <si>
    <t>EMP10115</t>
  </si>
  <si>
    <t>EMP10053</t>
  </si>
  <si>
    <t>Google Partners</t>
  </si>
  <si>
    <t>EMP10585</t>
  </si>
  <si>
    <t>EMP10010</t>
  </si>
  <si>
    <t>INTRODUCTION TO PYTHON FOR DATA</t>
  </si>
  <si>
    <t>EMP10233</t>
  </si>
  <si>
    <t>EMP10678</t>
  </si>
  <si>
    <t>EMP10354</t>
  </si>
  <si>
    <t>EMP10312</t>
  </si>
  <si>
    <t>COMMUNICATION FOR ANALYSTS</t>
  </si>
  <si>
    <t>EMP10530</t>
  </si>
  <si>
    <t>EMP10243</t>
  </si>
  <si>
    <t>EMP10387</t>
  </si>
  <si>
    <t>EMP10234</t>
  </si>
  <si>
    <t>EMP10322</t>
  </si>
  <si>
    <t xml:space="preserve"> EMP10093 </t>
  </si>
  <si>
    <t xml:space="preserve"> Data Visualization Best Practices</t>
  </si>
  <si>
    <t>EMP10155</t>
  </si>
  <si>
    <t>EMP10142</t>
  </si>
  <si>
    <t>EMP10516</t>
  </si>
  <si>
    <t>EMP10379</t>
  </si>
  <si>
    <t>EMP10027</t>
  </si>
  <si>
    <t>Communication  for  Analysts</t>
  </si>
  <si>
    <t>EMP10669</t>
  </si>
  <si>
    <t>EMP10391</t>
  </si>
  <si>
    <t>EMP10107</t>
  </si>
  <si>
    <t>EMP10361</t>
  </si>
  <si>
    <t xml:space="preserve">Advanced Excel for Business </t>
  </si>
  <si>
    <t>EMP10460</t>
  </si>
  <si>
    <t>EMP10682</t>
  </si>
  <si>
    <t>EMP10128</t>
  </si>
  <si>
    <t xml:space="preserve">Planned </t>
  </si>
  <si>
    <t>EMP10118</t>
  </si>
  <si>
    <t>Power  BI  Reporting</t>
  </si>
  <si>
    <t>EMP10524</t>
  </si>
  <si>
    <t xml:space="preserve">Microsoft Learn </t>
  </si>
  <si>
    <t>EMP10586</t>
  </si>
  <si>
    <t>EMP10663</t>
  </si>
  <si>
    <t>EMP10350</t>
  </si>
  <si>
    <t>EMP10331</t>
  </si>
  <si>
    <t>EMP10218</t>
  </si>
  <si>
    <t>EMP10110</t>
  </si>
  <si>
    <t>EMP10694</t>
  </si>
  <si>
    <t>EMP10307</t>
  </si>
  <si>
    <t xml:space="preserve"> EMP10498 </t>
  </si>
  <si>
    <t xml:space="preserve"> Power BI Reporting</t>
  </si>
  <si>
    <t>EMP10055</t>
  </si>
  <si>
    <t>EMP10687</t>
  </si>
  <si>
    <t>EMP10648</t>
  </si>
  <si>
    <t>EMP10674</t>
  </si>
  <si>
    <t>EMP10351</t>
  </si>
  <si>
    <t>EMP10423</t>
  </si>
  <si>
    <t>CUSTOMER DATA ANALYSIS</t>
  </si>
  <si>
    <t>EMP10044</t>
  </si>
  <si>
    <t>Data  Visualization  Best  Practices</t>
  </si>
  <si>
    <t>EMP10036</t>
  </si>
  <si>
    <t xml:space="preserve">Communication for Analysts </t>
  </si>
  <si>
    <t>EMP10522</t>
  </si>
  <si>
    <t xml:space="preserve"> EMP10055 </t>
  </si>
  <si>
    <t xml:space="preserve">In Progress </t>
  </si>
  <si>
    <t>EMP10690</t>
  </si>
  <si>
    <t>EMP10225</t>
  </si>
  <si>
    <t>EMP10084</t>
  </si>
  <si>
    <t xml:space="preserve"> EMP10062 </t>
  </si>
  <si>
    <t>EMP10598</t>
  </si>
  <si>
    <t xml:space="preserve"> Business Intelligence with Tableau</t>
  </si>
  <si>
    <t>EMP10389</t>
  </si>
  <si>
    <t xml:space="preserve">Financial Modeling Basics </t>
  </si>
  <si>
    <t>EMP10101</t>
  </si>
  <si>
    <t>EMP10258</t>
  </si>
  <si>
    <t>EMP10444</t>
  </si>
  <si>
    <t>EMP10323</t>
  </si>
  <si>
    <t>EMP10562</t>
  </si>
  <si>
    <t xml:space="preserve"> EMP10490 </t>
  </si>
  <si>
    <t>EMP10265</t>
  </si>
  <si>
    <t>EMP10601</t>
  </si>
  <si>
    <t>POWER BI REPORTING</t>
  </si>
  <si>
    <t>EMP10074</t>
  </si>
  <si>
    <t>EMP10211</t>
  </si>
  <si>
    <t>EMP10468</t>
  </si>
  <si>
    <t xml:space="preserve"> EMP10320 </t>
  </si>
  <si>
    <t>EMP10628</t>
  </si>
  <si>
    <t>EMP10434</t>
  </si>
  <si>
    <t xml:space="preserve">Data  Visualization  Best  Practices </t>
  </si>
  <si>
    <t>EMP10272</t>
  </si>
  <si>
    <t>Project  Management  Essentials</t>
  </si>
  <si>
    <t>EMP10436</t>
  </si>
  <si>
    <t>EMP10383</t>
  </si>
  <si>
    <t>EMP10482</t>
  </si>
  <si>
    <t>EMP10415</t>
  </si>
  <si>
    <t>EMP10527</t>
  </si>
  <si>
    <t>EMP10499</t>
  </si>
  <si>
    <t>EMP10032</t>
  </si>
  <si>
    <t>EMP10479</t>
  </si>
  <si>
    <t>EMP10567</t>
  </si>
  <si>
    <t>EMP10561</t>
  </si>
  <si>
    <t>EMP10140</t>
  </si>
  <si>
    <t>EMP10378</t>
  </si>
  <si>
    <t xml:space="preserve">Power  BI  Reporting </t>
  </si>
  <si>
    <t>EMP10525</t>
  </si>
  <si>
    <t>EMP10082</t>
  </si>
  <si>
    <t xml:space="preserve"> EMP10167 </t>
  </si>
  <si>
    <t xml:space="preserve"> EMP10549 </t>
  </si>
  <si>
    <t xml:space="preserve"> Data  Analysis  Fundamentals</t>
  </si>
  <si>
    <t>EMP10483</t>
  </si>
  <si>
    <t>EMP10345</t>
  </si>
  <si>
    <t>EMP10287</t>
  </si>
  <si>
    <t>EMP10589</t>
  </si>
  <si>
    <t>EMP10324</t>
  </si>
  <si>
    <t>EMP10411</t>
  </si>
  <si>
    <t>EMP10503</t>
  </si>
  <si>
    <t>EMP10662</t>
  </si>
  <si>
    <t>EMP10486</t>
  </si>
  <si>
    <t xml:space="preserve"> EMP10032 </t>
  </si>
  <si>
    <t>EMP10002</t>
  </si>
  <si>
    <t>EMP10356</t>
  </si>
  <si>
    <t>EMP10212</t>
  </si>
  <si>
    <t>EMP10572</t>
  </si>
  <si>
    <t>EMP10666</t>
  </si>
  <si>
    <t>EMP10493</t>
  </si>
  <si>
    <t>EMP10239</t>
  </si>
  <si>
    <t>EMP10038</t>
  </si>
  <si>
    <t xml:space="preserve"> EMP10087 </t>
  </si>
  <si>
    <t>BUSINESS INTELLIGENCE WITH TABLEAU</t>
  </si>
  <si>
    <t>EMP10440</t>
  </si>
  <si>
    <t>EMP10247</t>
  </si>
  <si>
    <t>EMP10126</t>
  </si>
  <si>
    <t xml:space="preserve"> Project Management Essentials</t>
  </si>
  <si>
    <t xml:space="preserve"> EMP10230 </t>
  </si>
  <si>
    <t>EMP10619</t>
  </si>
  <si>
    <t>EMP10187</t>
  </si>
  <si>
    <t>EMP10069</t>
  </si>
  <si>
    <t>EMP10418</t>
  </si>
  <si>
    <t>EMP10217</t>
  </si>
  <si>
    <t xml:space="preserve"> EMP10092 </t>
  </si>
  <si>
    <t>EMP10435</t>
  </si>
  <si>
    <t>PROJECT MANAGEMENT ESSENTIALS</t>
  </si>
  <si>
    <t>EMP10066</t>
  </si>
  <si>
    <t>EMP10224</t>
  </si>
  <si>
    <t xml:space="preserve"> EMP10274 </t>
  </si>
  <si>
    <t>EMP10613</t>
  </si>
  <si>
    <t>DATA ANALYSIS FUNDAMENTALS</t>
  </si>
  <si>
    <t>EMP10513</t>
  </si>
  <si>
    <t>Sql  For  Data  Analytics</t>
  </si>
  <si>
    <t>EMP10458</t>
  </si>
  <si>
    <t>EMP10593</t>
  </si>
  <si>
    <t xml:space="preserve"> EMP10322 </t>
  </si>
  <si>
    <t xml:space="preserve"> EMP10522 </t>
  </si>
  <si>
    <t>EMP10127</t>
  </si>
  <si>
    <t>EMP10408</t>
  </si>
  <si>
    <t>EMP10309</t>
  </si>
  <si>
    <t>EMP10143</t>
  </si>
  <si>
    <t>EMP10609</t>
  </si>
  <si>
    <t>EMP10576</t>
  </si>
  <si>
    <t xml:space="preserve"> EMP10138 </t>
  </si>
  <si>
    <t>EMP10643</t>
  </si>
  <si>
    <t xml:space="preserve"> SQL  for  Data  Analytics</t>
  </si>
  <si>
    <t>EMP10416</t>
  </si>
  <si>
    <t>EMP10201</t>
  </si>
  <si>
    <t xml:space="preserve"> EMP10664 </t>
  </si>
  <si>
    <t>EMP10526</t>
  </si>
  <si>
    <t>EMP10329</t>
  </si>
  <si>
    <t>EMP10512</t>
  </si>
  <si>
    <t xml:space="preserve"> EMP10646 </t>
  </si>
  <si>
    <t>EMP10215</t>
  </si>
  <si>
    <t>EMP10518</t>
  </si>
  <si>
    <t>EMP10103</t>
  </si>
  <si>
    <t xml:space="preserve"> Customer Data Analysis</t>
  </si>
  <si>
    <t xml:space="preserve"> EMP10419 </t>
  </si>
  <si>
    <t>ADVANCED EXCEL FOR BUSINESS</t>
  </si>
  <si>
    <t>EMP10406</t>
  </si>
  <si>
    <t>EMP10541</t>
  </si>
  <si>
    <t>EMP10650</t>
  </si>
  <si>
    <t>EMP10117</t>
  </si>
  <si>
    <t>EMP10294</t>
  </si>
  <si>
    <t>SQL  for  Data  Analytics</t>
  </si>
  <si>
    <t>EMP10595</t>
  </si>
  <si>
    <t>EMP10652</t>
  </si>
  <si>
    <t>EMP10402</t>
  </si>
  <si>
    <t>EMP10472</t>
  </si>
  <si>
    <t>SQL FOR DATA ANALYTICS</t>
  </si>
  <si>
    <t>EMP10441</t>
  </si>
  <si>
    <t>EMP10670</t>
  </si>
  <si>
    <t>EMP10579</t>
  </si>
  <si>
    <t>EMP10015</t>
  </si>
  <si>
    <t>Advanced  Excel  for  Business</t>
  </si>
  <si>
    <t xml:space="preserve"> EMP10023 </t>
  </si>
  <si>
    <t xml:space="preserve">Digital Marketing Strategy </t>
  </si>
  <si>
    <t>EMP10634</t>
  </si>
  <si>
    <t>EMP10649</t>
  </si>
  <si>
    <t>EMP10675</t>
  </si>
  <si>
    <t xml:space="preserve"> EMP10489 </t>
  </si>
  <si>
    <t>EMP10102</t>
  </si>
  <si>
    <t>EMP10390</t>
  </si>
  <si>
    <t>EMP10121</t>
  </si>
  <si>
    <t>EMP10492</t>
  </si>
  <si>
    <t>EMP10475</t>
  </si>
  <si>
    <t>EMP10083</t>
  </si>
  <si>
    <t>EMP10683</t>
  </si>
  <si>
    <t>EMP10203</t>
  </si>
  <si>
    <t>Communication For Analysts</t>
  </si>
  <si>
    <t>EMP10592</t>
  </si>
  <si>
    <t xml:space="preserve"> Digital Marketing Strategy</t>
  </si>
  <si>
    <t>Sql For Data Analytics</t>
  </si>
  <si>
    <t xml:space="preserve"> EMP10290 </t>
  </si>
  <si>
    <t xml:space="preserve"> EMP10226 </t>
  </si>
  <si>
    <t>EMP10698</t>
  </si>
  <si>
    <t>EMP10241</t>
  </si>
  <si>
    <t>EMP10064</t>
  </si>
  <si>
    <t xml:space="preserve"> EMP10239 </t>
  </si>
  <si>
    <t>Introduction  to  Python  for  Data</t>
  </si>
  <si>
    <t>EMP10316</t>
  </si>
  <si>
    <t xml:space="preserve"> EMP10258 </t>
  </si>
  <si>
    <t>EMP10004</t>
  </si>
  <si>
    <t>EMP10315</t>
  </si>
  <si>
    <t>EMP10017</t>
  </si>
  <si>
    <t>EMP10419</t>
  </si>
  <si>
    <t>EMP10108</t>
  </si>
  <si>
    <t>EMP10539</t>
  </si>
  <si>
    <t>EMP10025</t>
  </si>
  <si>
    <t>EMP10625</t>
  </si>
  <si>
    <t>EMP10489</t>
  </si>
  <si>
    <t>EMP10534</t>
  </si>
  <si>
    <t xml:space="preserve"> Customer  Data  Analysis</t>
  </si>
  <si>
    <t>EMP10431</t>
  </si>
  <si>
    <t>EMP10268</t>
  </si>
  <si>
    <t>EMP10481</t>
  </si>
  <si>
    <t>EMP10314</t>
  </si>
  <si>
    <t>EMP10552</t>
  </si>
  <si>
    <t>EMP10447</t>
  </si>
  <si>
    <t>EMP10456</t>
  </si>
  <si>
    <t>EMP10571</t>
  </si>
  <si>
    <t>EMP10206</t>
  </si>
  <si>
    <t>EMP10565</t>
  </si>
  <si>
    <t>Financial  Modeling  Basics</t>
  </si>
  <si>
    <t>Power Bi Reporting</t>
  </si>
  <si>
    <t>EMP10600</t>
  </si>
  <si>
    <t>EMP10335</t>
  </si>
  <si>
    <t>EMP10303</t>
  </si>
  <si>
    <t>EMP10587</t>
  </si>
  <si>
    <t>EMP10429</t>
  </si>
  <si>
    <t>EMP10420</t>
  </si>
  <si>
    <t>EMP10077</t>
  </si>
  <si>
    <t>EMP10451</t>
  </si>
  <si>
    <t xml:space="preserve"> EMP10241 </t>
  </si>
  <si>
    <t>EMP10344</t>
  </si>
  <si>
    <t>EMP10693</t>
  </si>
  <si>
    <t>EMP10454</t>
  </si>
  <si>
    <t>EMP10333</t>
  </si>
  <si>
    <t>Advanced Excel For Business</t>
  </si>
  <si>
    <t xml:space="preserve"> EMP10398 </t>
  </si>
  <si>
    <t>EMP10035</t>
  </si>
  <si>
    <t xml:space="preserve">Business Intelligence with Tableau </t>
  </si>
  <si>
    <t>EMP10182</t>
  </si>
  <si>
    <t>EMP10072</t>
  </si>
  <si>
    <t>EMP10204</t>
  </si>
  <si>
    <t>EMP10667</t>
  </si>
  <si>
    <t>EMP10357</t>
  </si>
  <si>
    <t>EMP10007</t>
  </si>
  <si>
    <t>EMP10559</t>
  </si>
  <si>
    <t>EMP10318</t>
  </si>
  <si>
    <t>EMP10112</t>
  </si>
  <si>
    <t>EMP10070</t>
  </si>
  <si>
    <t xml:space="preserve">Project Management Essentials </t>
  </si>
  <si>
    <t>EMP10455</t>
  </si>
  <si>
    <t>EMP10213</t>
  </si>
  <si>
    <t>EMP10362</t>
  </si>
  <si>
    <t>EMP10050</t>
  </si>
  <si>
    <t>EMP10093</t>
  </si>
  <si>
    <t>EMP10614</t>
  </si>
  <si>
    <t xml:space="preserve"> EMP10439 </t>
  </si>
  <si>
    <t>EMP10399</t>
  </si>
  <si>
    <t>EMP10388</t>
  </si>
  <si>
    <t>EMP10467</t>
  </si>
  <si>
    <t>EMP10051</t>
  </si>
  <si>
    <t>EMP10042</t>
  </si>
  <si>
    <t>EMP10646</t>
  </si>
  <si>
    <t>EMP10130</t>
  </si>
  <si>
    <t xml:space="preserve"> EMP10511 </t>
  </si>
  <si>
    <t xml:space="preserve"> EMP10279 </t>
  </si>
  <si>
    <t>EMP10274</t>
  </si>
  <si>
    <t>EMP10260</t>
  </si>
  <si>
    <t>EMP10691</t>
  </si>
  <si>
    <t xml:space="preserve"> EMP10162 </t>
  </si>
  <si>
    <t>EMP10220</t>
  </si>
  <si>
    <t>EMP10245</t>
  </si>
  <si>
    <t>EMP10685</t>
  </si>
  <si>
    <t>EMP10372</t>
  </si>
  <si>
    <t>EMP10219</t>
  </si>
  <si>
    <t>EMP10583</t>
  </si>
  <si>
    <t>EMP10054</t>
  </si>
  <si>
    <t>EMP10484</t>
  </si>
  <si>
    <t xml:space="preserve"> EMP10555 </t>
  </si>
  <si>
    <t>EMP10095</t>
  </si>
  <si>
    <t>EMP10151</t>
  </si>
  <si>
    <t>EMP10256</t>
  </si>
  <si>
    <t>EMP10277</t>
  </si>
  <si>
    <t>EMP10459</t>
  </si>
  <si>
    <t>EMP10686</t>
  </si>
  <si>
    <t xml:space="preserve"> EMP10072 </t>
  </si>
  <si>
    <t>EMP10123</t>
  </si>
  <si>
    <t>Digital  Marketing  Strategy</t>
  </si>
  <si>
    <t xml:space="preserve"> EMP10075 </t>
  </si>
  <si>
    <t>EMP10104</t>
  </si>
  <si>
    <t xml:space="preserve"> Communication for Analysts</t>
  </si>
  <si>
    <t>EMP10450</t>
  </si>
  <si>
    <t>EMP10049</t>
  </si>
  <si>
    <t>EMP10058</t>
  </si>
  <si>
    <t xml:space="preserve"> EMP10517 </t>
  </si>
  <si>
    <t>EMP10037</t>
  </si>
  <si>
    <t>EMP10180</t>
  </si>
  <si>
    <t>EMP10041</t>
  </si>
  <si>
    <t xml:space="preserve"> EMP10499 </t>
  </si>
  <si>
    <t>EMP10046</t>
  </si>
  <si>
    <t>DATA VISUALIZATION BEST PRACTICES</t>
  </si>
  <si>
    <t xml:space="preserve"> EMP10456 </t>
  </si>
  <si>
    <t>EMP10393</t>
  </si>
  <si>
    <t>EMP10144</t>
  </si>
  <si>
    <t>EMP10487</t>
  </si>
  <si>
    <t>EMP10401</t>
  </si>
  <si>
    <t xml:space="preserve"> EMP10630 </t>
  </si>
  <si>
    <t xml:space="preserve">SQL for Data Analytics </t>
  </si>
  <si>
    <t>EMP10630</t>
  </si>
  <si>
    <t>EMP10008</t>
  </si>
  <si>
    <t>EMP10637</t>
  </si>
  <si>
    <t>EMP10226</t>
  </si>
  <si>
    <t>EMP10045</t>
  </si>
  <si>
    <t>EMP10080</t>
  </si>
  <si>
    <t>EMP10677</t>
  </si>
  <si>
    <t>EMP10428</t>
  </si>
  <si>
    <t>EMP10375</t>
  </si>
  <si>
    <t>EMP10290</t>
  </si>
  <si>
    <t>EMP10280</t>
  </si>
  <si>
    <t>EMP10563</t>
  </si>
  <si>
    <t>EMP10191</t>
  </si>
  <si>
    <t>EMP10461</t>
  </si>
  <si>
    <t>Business Intelligence With Tableau</t>
  </si>
  <si>
    <t>EMP10651</t>
  </si>
  <si>
    <t xml:space="preserve"> EMP10454 </t>
  </si>
  <si>
    <t>EMP10660</t>
  </si>
  <si>
    <t>EMP10340</t>
  </si>
  <si>
    <t>EMP10304</t>
  </si>
  <si>
    <t>EMP10081</t>
  </si>
  <si>
    <t>EMP10310</t>
  </si>
  <si>
    <t>EMP10231</t>
  </si>
  <si>
    <t>EMP10397</t>
  </si>
  <si>
    <t>EMP10122</t>
  </si>
  <si>
    <t>EMP10181</t>
  </si>
  <si>
    <t>EMP10113</t>
  </si>
  <si>
    <t>COMMUNICATION  FOR  ANALYSTS</t>
  </si>
  <si>
    <t>EMP10071</t>
  </si>
  <si>
    <t>EMP10090</t>
  </si>
  <si>
    <t>EMP10616</t>
  </si>
  <si>
    <t>EMP10443</t>
  </si>
  <si>
    <t xml:space="preserve"> EMP10615 </t>
  </si>
  <si>
    <t>EMP10360</t>
  </si>
  <si>
    <t>EMP10091</t>
  </si>
  <si>
    <t>EMP10244</t>
  </si>
  <si>
    <t>EMP10223</t>
  </si>
  <si>
    <t>EMP10073</t>
  </si>
  <si>
    <t>EMP10626</t>
  </si>
  <si>
    <t>EMP10647</t>
  </si>
  <si>
    <t>EMP10605</t>
  </si>
  <si>
    <t>EMP10680</t>
  </si>
  <si>
    <t>Data  Analysis  Fundamentals</t>
  </si>
  <si>
    <t>EMP10368</t>
  </si>
  <si>
    <t>EMP10079</t>
  </si>
  <si>
    <t>EMP10488</t>
  </si>
  <si>
    <t>EMP10639</t>
  </si>
  <si>
    <t>EMP10355</t>
  </si>
  <si>
    <t xml:space="preserve"> Introduction to Python for Data</t>
  </si>
  <si>
    <t xml:space="preserve"> EMP10132 </t>
  </si>
  <si>
    <t xml:space="preserve"> EMP10559 </t>
  </si>
  <si>
    <t xml:space="preserve"> EMP10523 </t>
  </si>
  <si>
    <t>EMP10623</t>
  </si>
  <si>
    <t>EMP10665</t>
  </si>
  <si>
    <t>EMP10186</t>
  </si>
  <si>
    <t>EMP10087</t>
  </si>
  <si>
    <t>EMP10292</t>
  </si>
  <si>
    <t>EMP10531</t>
  </si>
  <si>
    <t>EMP10334</t>
  </si>
  <si>
    <t xml:space="preserve"> EMP10689 </t>
  </si>
  <si>
    <t>EMP10367</t>
  </si>
  <si>
    <t>EMP10098</t>
  </si>
  <si>
    <t xml:space="preserve"> EMP10417 </t>
  </si>
  <si>
    <t>EMP10657</t>
  </si>
  <si>
    <t xml:space="preserve"> EMP10292 </t>
  </si>
  <si>
    <t>EMP10166</t>
  </si>
  <si>
    <t>EMP10504</t>
  </si>
  <si>
    <t>EMP10297</t>
  </si>
  <si>
    <t xml:space="preserve"> EMP10261 </t>
  </si>
  <si>
    <t xml:space="preserve"> EMP10215 </t>
  </si>
  <si>
    <t>EMP10697</t>
  </si>
  <si>
    <t>EMP10132</t>
  </si>
  <si>
    <t>Customer  Data  Analysis</t>
  </si>
  <si>
    <t>EMP10286</t>
  </si>
  <si>
    <t>EMP10137</t>
  </si>
  <si>
    <t xml:space="preserve"> EMP10447 </t>
  </si>
  <si>
    <t>EMP10374</t>
  </si>
  <si>
    <t>EMP10183</t>
  </si>
  <si>
    <t>EMP10200</t>
  </si>
  <si>
    <t>EMP10295</t>
  </si>
  <si>
    <t>EMP10433</t>
  </si>
  <si>
    <t>EMP10642</t>
  </si>
  <si>
    <t xml:space="preserve"> EMP10655 </t>
  </si>
  <si>
    <t>EMP10622</t>
  </si>
  <si>
    <t>EMP10645</t>
  </si>
  <si>
    <t xml:space="preserve"> EMP10682 </t>
  </si>
  <si>
    <t>EMP10603</t>
  </si>
  <si>
    <t>EMP10654</t>
  </si>
  <si>
    <t xml:space="preserve"> EMP10437 </t>
  </si>
  <si>
    <t>EMP10328</t>
  </si>
  <si>
    <t>EMP10160</t>
  </si>
  <si>
    <t>EMP10414</t>
  </si>
  <si>
    <t>EMP10410</t>
  </si>
  <si>
    <t>EMP10063</t>
  </si>
  <si>
    <t>EMP10319</t>
  </si>
  <si>
    <t xml:space="preserve"> EMP10672 </t>
  </si>
  <si>
    <t>EMP10119</t>
  </si>
  <si>
    <t>EMP10170</t>
  </si>
  <si>
    <t>Business  Intelligence  with  Tableau</t>
  </si>
  <si>
    <t>EMP10672</t>
  </si>
  <si>
    <t>EMP10543</t>
  </si>
  <si>
    <t>EMP10221</t>
  </si>
  <si>
    <t>EMP10359</t>
  </si>
  <si>
    <t>EMP10679</t>
  </si>
  <si>
    <t>EMP10617</t>
  </si>
  <si>
    <t>EMP10588</t>
  </si>
  <si>
    <t xml:space="preserve"> EMP10413 </t>
  </si>
  <si>
    <t>EMP10214</t>
  </si>
  <si>
    <t>EMP10581</t>
  </si>
  <si>
    <t>EMP10057</t>
  </si>
  <si>
    <t>EMP10259</t>
  </si>
  <si>
    <t xml:space="preserve"> Financial  Modeling  Basics</t>
  </si>
  <si>
    <t xml:space="preserve"> EMP10510 </t>
  </si>
  <si>
    <t xml:space="preserve"> Data  Visualization  Best  Practices</t>
  </si>
  <si>
    <t>EMP10377</t>
  </si>
  <si>
    <t xml:space="preserve"> EMP10284 </t>
  </si>
  <si>
    <t>EMP10282</t>
  </si>
  <si>
    <t>EMP10560</t>
  </si>
  <si>
    <t>EMP10376</t>
  </si>
  <si>
    <t>EMP10548</t>
  </si>
  <si>
    <t>EMP10574</t>
  </si>
  <si>
    <t>EMP10398</t>
  </si>
  <si>
    <t>EMP10293</t>
  </si>
  <si>
    <t xml:space="preserve"> EMP10015 </t>
  </si>
  <si>
    <t>EMP10111</t>
  </si>
  <si>
    <t xml:space="preserve">Advanced  Excel  for  Business </t>
  </si>
  <si>
    <t>EMP10684</t>
  </si>
  <si>
    <t xml:space="preserve"> EMP10699 </t>
  </si>
  <si>
    <t>EMP10370</t>
  </si>
  <si>
    <t>EMP10618</t>
  </si>
  <si>
    <t xml:space="preserve"> Project  Management  Essentials</t>
  </si>
  <si>
    <t>EMP10602</t>
  </si>
  <si>
    <t>EMP10165</t>
  </si>
  <si>
    <t>EMP10470</t>
  </si>
  <si>
    <t>EMP10392</t>
  </si>
  <si>
    <t>EMP10216</t>
  </si>
  <si>
    <t>EMP10254</t>
  </si>
  <si>
    <t>EMP10305</t>
  </si>
  <si>
    <t>EMP10178</t>
  </si>
  <si>
    <t>EMP10384</t>
  </si>
  <si>
    <t>EMP10381</t>
  </si>
  <si>
    <t>EMP10168</t>
  </si>
  <si>
    <t xml:space="preserve"> EMP10656 </t>
  </si>
  <si>
    <t>EMP10604</t>
  </si>
  <si>
    <t>EMP10159</t>
  </si>
  <si>
    <t xml:space="preserve"> Business  Intelligence  with  Tableau</t>
  </si>
  <si>
    <t>EMP10076</t>
  </si>
  <si>
    <t>EMP10412</t>
  </si>
  <si>
    <t xml:space="preserve"> EMP10061 </t>
  </si>
  <si>
    <t>EMP10521</t>
  </si>
  <si>
    <t xml:space="preserve"> EMP10049 </t>
  </si>
  <si>
    <t>EMP10386</t>
  </si>
  <si>
    <t>EMP10596</t>
  </si>
  <si>
    <t>EMP10001</t>
  </si>
  <si>
    <t xml:space="preserve">Introduction to Python for Data </t>
  </si>
  <si>
    <t>EMP10584</t>
  </si>
  <si>
    <t>EMP10519</t>
  </si>
  <si>
    <t>EMP10471</t>
  </si>
  <si>
    <t>EMP10326</t>
  </si>
  <si>
    <t>EMP10262</t>
  </si>
  <si>
    <t>EMP10019</t>
  </si>
  <si>
    <t>EMP10538</t>
  </si>
  <si>
    <t>EMP10300</t>
  </si>
  <si>
    <t>EMP10161</t>
  </si>
  <si>
    <t>EMP10632</t>
  </si>
  <si>
    <t>EMP10502</t>
  </si>
  <si>
    <t xml:space="preserve"> EMP10059 </t>
  </si>
  <si>
    <t>EMP10575</t>
  </si>
  <si>
    <t>EMP10230</t>
  </si>
  <si>
    <t>EMP10689</t>
  </si>
  <si>
    <t>EMP10496</t>
  </si>
  <si>
    <t>EMP10135</t>
  </si>
  <si>
    <t xml:space="preserve"> EMP10428 </t>
  </si>
  <si>
    <t>EMP10167</t>
  </si>
  <si>
    <t>EMP10086</t>
  </si>
  <si>
    <t>EMP10469</t>
  </si>
  <si>
    <t xml:space="preserve"> EMP10111 </t>
  </si>
  <si>
    <t>EMP10150</t>
  </si>
  <si>
    <t>EMP10308</t>
  </si>
  <si>
    <t>EMP10024</t>
  </si>
  <si>
    <t xml:space="preserve"> EMP10586 </t>
  </si>
  <si>
    <t>EMP10275</t>
  </si>
  <si>
    <t>EMP10129</t>
  </si>
  <si>
    <t>EMP10146</t>
  </si>
  <si>
    <t xml:space="preserve"> EMP10350 </t>
  </si>
  <si>
    <t>EMP10124</t>
  </si>
  <si>
    <t xml:space="preserve"> EMP10503 </t>
  </si>
  <si>
    <t>EMP10462</t>
  </si>
  <si>
    <t>EMP10676</t>
  </si>
  <si>
    <t>EMP10240</t>
  </si>
  <si>
    <t>EMP10473</t>
  </si>
  <si>
    <t>EMP10537</t>
  </si>
  <si>
    <t>EMP10681</t>
  </si>
  <si>
    <t>EMP10491</t>
  </si>
  <si>
    <t>EMP10005</t>
  </si>
  <si>
    <t>EMP10149</t>
  </si>
  <si>
    <t xml:space="preserve"> EMP10289 </t>
  </si>
  <si>
    <t>EMP10189</t>
  </si>
  <si>
    <t>EMP10629</t>
  </si>
  <si>
    <t>EMP10545</t>
  </si>
  <si>
    <t>EMP10655</t>
  </si>
  <si>
    <t>EMP10012</t>
  </si>
  <si>
    <t>EMP10039</t>
  </si>
  <si>
    <t>EMP10156</t>
  </si>
  <si>
    <t xml:space="preserve"> EMP10130 </t>
  </si>
  <si>
    <t>EMP10047</t>
  </si>
  <si>
    <t>EMP10426</t>
  </si>
  <si>
    <t>EMP10145</t>
  </si>
  <si>
    <t>EMP10421</t>
  </si>
  <si>
    <t>EMP10551</t>
  </si>
  <si>
    <t>EMP10542</t>
  </si>
  <si>
    <t xml:space="preserve"> EMP10208 </t>
  </si>
  <si>
    <t>EMP10463</t>
  </si>
  <si>
    <t xml:space="preserve"> Power  BI  Reporting</t>
  </si>
  <si>
    <t>EMP10699</t>
  </si>
  <si>
    <t>EMP10394</t>
  </si>
  <si>
    <t>EMP10257</t>
  </si>
  <si>
    <t>EMP10192</t>
  </si>
  <si>
    <t>EMP10364</t>
  </si>
  <si>
    <t xml:space="preserve"> EMP10086 </t>
  </si>
  <si>
    <t>EMP10237</t>
  </si>
  <si>
    <t>EMP10506</t>
  </si>
  <si>
    <t>EMP10494</t>
  </si>
  <si>
    <t>EMP10000</t>
  </si>
  <si>
    <t>EMP10227</t>
  </si>
  <si>
    <t>EMP10597</t>
  </si>
  <si>
    <t>EMP10540</t>
  </si>
  <si>
    <t xml:space="preserve"> EMP10562 </t>
  </si>
  <si>
    <t>EMP10134</t>
  </si>
  <si>
    <t>EMP10341</t>
  </si>
  <si>
    <t>EMP10197</t>
  </si>
  <si>
    <t>EMP10366</t>
  </si>
  <si>
    <t xml:space="preserve"> EMP10084 </t>
  </si>
  <si>
    <t>EMP10339</t>
  </si>
  <si>
    <t xml:space="preserve">Customer  Data  Analysis </t>
  </si>
  <si>
    <t>EMP10348</t>
  </si>
  <si>
    <t>EMP10395</t>
  </si>
  <si>
    <t>EMP10016</t>
  </si>
  <si>
    <t>EMP10279</t>
  </si>
  <si>
    <t>EMP10238</t>
  </si>
  <si>
    <t>EMP10612</t>
  </si>
  <si>
    <t>EMP10464</t>
  </si>
  <si>
    <t>EMP10199</t>
  </si>
  <si>
    <t>EMP10136</t>
  </si>
  <si>
    <t xml:space="preserve"> EMP10483 </t>
  </si>
  <si>
    <t>EMP10105</t>
  </si>
  <si>
    <t>EMP10536</t>
  </si>
  <si>
    <t>EMP10696</t>
  </si>
  <si>
    <t>EMP10302</t>
  </si>
  <si>
    <t xml:space="preserve"> EMP10666 </t>
  </si>
  <si>
    <t xml:space="preserve"> EMP10548 </t>
  </si>
  <si>
    <t>EMP10373</t>
  </si>
  <si>
    <t xml:space="preserve"> EMP10537 </t>
  </si>
  <si>
    <t>EMP10188</t>
  </si>
  <si>
    <t>EMP10505</t>
  </si>
  <si>
    <t>EMP10246</t>
  </si>
  <si>
    <t>EMP10404</t>
  </si>
  <si>
    <t>EMP10599</t>
  </si>
  <si>
    <t>EMP10131</t>
  </si>
  <si>
    <t>EMP10273</t>
  </si>
  <si>
    <t>EMP10298</t>
  </si>
  <si>
    <t xml:space="preserve"> EMP10060 </t>
  </si>
  <si>
    <t xml:space="preserve"> EMP10397 </t>
  </si>
  <si>
    <t xml:space="preserve">Financial  Modeling  Basics </t>
  </si>
  <si>
    <t>EMP10174</t>
  </si>
  <si>
    <t>EMP10003</t>
  </si>
  <si>
    <t xml:space="preserve"> EMP10180 </t>
  </si>
  <si>
    <t>EMP10352</t>
  </si>
  <si>
    <t xml:space="preserve"> EMP10325 </t>
  </si>
  <si>
    <t xml:space="preserve"> EMP10300 </t>
  </si>
  <si>
    <t>EMP10109</t>
  </si>
  <si>
    <t>EMP10029</t>
  </si>
  <si>
    <t>EMP10078</t>
  </si>
  <si>
    <t>EMP10365</t>
  </si>
  <si>
    <t>EMP10306</t>
  </si>
  <si>
    <t>EMP10311</t>
  </si>
  <si>
    <t xml:space="preserve"> EMP10041 </t>
  </si>
  <si>
    <t xml:space="preserve"> EMP10193 </t>
  </si>
  <si>
    <t>EMP10264</t>
  </si>
  <si>
    <t>EMP10021</t>
  </si>
  <si>
    <t>EMP10158</t>
  </si>
  <si>
    <t>EMP10653</t>
  </si>
  <si>
    <t xml:space="preserve"> EMP10487 </t>
  </si>
  <si>
    <t xml:space="preserve"> EMP10154 </t>
  </si>
  <si>
    <t xml:space="preserve">Data Visualization Best Practices </t>
  </si>
  <si>
    <t>EMP10638</t>
  </si>
  <si>
    <t>EMP10228</t>
  </si>
  <si>
    <t>EMP10242</t>
  </si>
  <si>
    <t xml:space="preserve"> EMP10690 </t>
  </si>
  <si>
    <t>EMP10152</t>
  </si>
  <si>
    <t>EMP10442</t>
  </si>
  <si>
    <t>EMP10222</t>
  </si>
  <si>
    <t xml:space="preserve"> EMP10467 </t>
  </si>
  <si>
    <t xml:space="preserve"> EMP10554 </t>
  </si>
  <si>
    <t xml:space="preserve"> EMP10285 </t>
  </si>
  <si>
    <t>EMP10028</t>
  </si>
  <si>
    <t>EMP10148</t>
  </si>
  <si>
    <t xml:space="preserve"> EMP10444 </t>
  </si>
  <si>
    <t>EMP10448</t>
  </si>
  <si>
    <t xml:space="preserve"> EMP10106 </t>
  </si>
  <si>
    <t>EMP10013</t>
  </si>
  <si>
    <t>EMP10477</t>
  </si>
  <si>
    <t>EMP10288</t>
  </si>
  <si>
    <t>EMP10030</t>
  </si>
  <si>
    <t>EMP10664</t>
  </si>
  <si>
    <t>EMP10430</t>
  </si>
  <si>
    <t xml:space="preserve"> EMP10340 </t>
  </si>
  <si>
    <t>EMP10291</t>
  </si>
  <si>
    <t>EMP10656</t>
  </si>
  <si>
    <t>EMP10205</t>
  </si>
  <si>
    <t>EMP10232</t>
  </si>
  <si>
    <t>EMP10337</t>
  </si>
  <si>
    <t>EMP10346</t>
  </si>
  <si>
    <t xml:space="preserve"> EMP10594 </t>
  </si>
  <si>
    <t>EMP10557</t>
  </si>
  <si>
    <t>EMP10507</t>
  </si>
  <si>
    <t>EMP10198</t>
  </si>
  <si>
    <t>EMP10422</t>
  </si>
  <si>
    <t>EMP10299</t>
  </si>
  <si>
    <t>EMP10640</t>
  </si>
  <si>
    <t>EMP10432</t>
  </si>
  <si>
    <t>EMP10330</t>
  </si>
  <si>
    <t xml:space="preserve"> EMP10194 </t>
  </si>
  <si>
    <t xml:space="preserve"> EMP10031 </t>
  </si>
  <si>
    <t>EMP10497</t>
  </si>
  <si>
    <t xml:space="preserve"> EMP10687 </t>
  </si>
  <si>
    <t>EMP10255</t>
  </si>
  <si>
    <t>DIGITAL  MARKETING  STRATEGY</t>
  </si>
  <si>
    <t>EMP10190</t>
  </si>
  <si>
    <t>EMP10535</t>
  </si>
  <si>
    <t>EMP10114</t>
  </si>
  <si>
    <t xml:space="preserve"> EMP10149 </t>
  </si>
  <si>
    <t xml:space="preserve"> EMP10207 </t>
  </si>
  <si>
    <t>EMP10321</t>
  </si>
  <si>
    <t xml:space="preserve"> EMP10587 </t>
  </si>
  <si>
    <t>EMP10515</t>
  </si>
  <si>
    <t xml:space="preserve"> Digital  Marketing  Strategy</t>
  </si>
  <si>
    <t>EMP10342</t>
  </si>
  <si>
    <t xml:space="preserve"> EMP10442 </t>
  </si>
  <si>
    <t>EMP10006</t>
  </si>
  <si>
    <t xml:space="preserve"> EMP10123 </t>
  </si>
  <si>
    <t>EMP10251</t>
  </si>
  <si>
    <t>EMP10193</t>
  </si>
  <si>
    <t>EMP10253</t>
  </si>
  <si>
    <t>EMP10490</t>
  </si>
  <si>
    <t xml:space="preserve"> EMP10374 </t>
  </si>
  <si>
    <t xml:space="preserve"> EMP10206 </t>
  </si>
  <si>
    <t>EMP10209</t>
  </si>
  <si>
    <t>EMP10554</t>
  </si>
  <si>
    <t>EMP10267</t>
  </si>
  <si>
    <t xml:space="preserve"> EMP10333 </t>
  </si>
  <si>
    <t xml:space="preserve"> EMP10434 </t>
  </si>
  <si>
    <t xml:space="preserve"> EMP10046 </t>
  </si>
  <si>
    <t xml:space="preserve"> EMP10317 </t>
  </si>
  <si>
    <t xml:space="preserve"> EMP10191 </t>
  </si>
  <si>
    <t xml:space="preserve"> EMP10360 </t>
  </si>
  <si>
    <t xml:space="preserve"> EMP10558 </t>
  </si>
  <si>
    <t>EMP10695</t>
  </si>
  <si>
    <t>EMP10175</t>
  </si>
  <si>
    <t>EMP10094</t>
  </si>
  <si>
    <t>EMP10061</t>
  </si>
  <si>
    <t>EMP10099</t>
  </si>
  <si>
    <t>Last_Name</t>
  </si>
  <si>
    <t>First_Name</t>
  </si>
  <si>
    <t>Gender</t>
  </si>
  <si>
    <t>Date_of_Birth</t>
  </si>
  <si>
    <t>Age</t>
  </si>
  <si>
    <t>Job_Level</t>
  </si>
  <si>
    <t>Employment_Status</t>
  </si>
  <si>
    <t>Department</t>
  </si>
  <si>
    <t>Leroy</t>
  </si>
  <si>
    <t>Ama</t>
  </si>
  <si>
    <t>Female</t>
  </si>
  <si>
    <t>Junior</t>
  </si>
  <si>
    <t>Contract</t>
  </si>
  <si>
    <t>Procurement</t>
  </si>
  <si>
    <t>Girard</t>
  </si>
  <si>
    <t>Kwame</t>
  </si>
  <si>
    <t>Male</t>
  </si>
  <si>
    <t>Permanent</t>
  </si>
  <si>
    <t>Finance</t>
  </si>
  <si>
    <t>Johnson</t>
  </si>
  <si>
    <t>Binta</t>
  </si>
  <si>
    <t>Garcia</t>
  </si>
  <si>
    <t>Operations</t>
  </si>
  <si>
    <t>Smith</t>
  </si>
  <si>
    <t>Claire</t>
  </si>
  <si>
    <t>Mid-level</t>
  </si>
  <si>
    <t>Intern</t>
  </si>
  <si>
    <t>IT</t>
  </si>
  <si>
    <t>Traore</t>
  </si>
  <si>
    <t>Emily</t>
  </si>
  <si>
    <t>Manager</t>
  </si>
  <si>
    <t>Camara</t>
  </si>
  <si>
    <t>Lucas</t>
  </si>
  <si>
    <t>Compliance</t>
  </si>
  <si>
    <t>Martin</t>
  </si>
  <si>
    <t>Akosua</t>
  </si>
  <si>
    <t>Jackson</t>
  </si>
  <si>
    <t>Amina</t>
  </si>
  <si>
    <t>Customer Support</t>
  </si>
  <si>
    <t>EMP10009</t>
  </si>
  <si>
    <t>Dubois</t>
  </si>
  <si>
    <t>Benjamin</t>
  </si>
  <si>
    <t>Human Resources</t>
  </si>
  <si>
    <t>Sow</t>
  </si>
  <si>
    <t>Mia</t>
  </si>
  <si>
    <t>Rodriguez</t>
  </si>
  <si>
    <t>Olivia</t>
  </si>
  <si>
    <t>Layla</t>
  </si>
  <si>
    <t>Hassan</t>
  </si>
  <si>
    <t>Kofi</t>
  </si>
  <si>
    <t>EMP10014</t>
  </si>
  <si>
    <t>Fournier</t>
  </si>
  <si>
    <t>Jones</t>
  </si>
  <si>
    <t>Chinedu</t>
  </si>
  <si>
    <t>Sales</t>
  </si>
  <si>
    <t>Anderson</t>
  </si>
  <si>
    <t>Liam</t>
  </si>
  <si>
    <t>Marketing</t>
  </si>
  <si>
    <t>EMP10018</t>
  </si>
  <si>
    <t>Petit</t>
  </si>
  <si>
    <t>James</t>
  </si>
  <si>
    <t>Alexander</t>
  </si>
  <si>
    <t>Senior</t>
  </si>
  <si>
    <t>EMP10020</t>
  </si>
  <si>
    <t>Wilson</t>
  </si>
  <si>
    <t>Evelyn</t>
  </si>
  <si>
    <t>Ali</t>
  </si>
  <si>
    <t>EMP10022</t>
  </si>
  <si>
    <t>Emma</t>
  </si>
  <si>
    <t>EMP10023</t>
  </si>
  <si>
    <t>Nguyen</t>
  </si>
  <si>
    <t>Nina</t>
  </si>
  <si>
    <t>Ngozi</t>
  </si>
  <si>
    <t>EMP10026</t>
  </si>
  <si>
    <t>Taylor</t>
  </si>
  <si>
    <t>Fatima</t>
  </si>
  <si>
    <t>Abigail</t>
  </si>
  <si>
    <t>Moore</t>
  </si>
  <si>
    <t>Patel</t>
  </si>
  <si>
    <t>Amelia</t>
  </si>
  <si>
    <t>EMP10031</t>
  </si>
  <si>
    <t>Chen</t>
  </si>
  <si>
    <t>Thomas</t>
  </si>
  <si>
    <t>Zainab</t>
  </si>
  <si>
    <t>EMP10033</t>
  </si>
  <si>
    <t>Abdullah</t>
  </si>
  <si>
    <t>EMP10034</t>
  </si>
  <si>
    <t>Lopez</t>
  </si>
  <si>
    <t>Miller</t>
  </si>
  <si>
    <t>Omar</t>
  </si>
  <si>
    <t>Mensah</t>
  </si>
  <si>
    <t>Diallo</t>
  </si>
  <si>
    <t>Sophia</t>
  </si>
  <si>
    <t>Julien</t>
  </si>
  <si>
    <t>EMP10040</t>
  </si>
  <si>
    <t>Nadia</t>
  </si>
  <si>
    <t>EMP10043</t>
  </si>
  <si>
    <t>Yaw</t>
  </si>
  <si>
    <t>Kone</t>
  </si>
  <si>
    <t>Noah</t>
  </si>
  <si>
    <t>Ibrahim</t>
  </si>
  <si>
    <t>Williams</t>
  </si>
  <si>
    <t>Charlotte</t>
  </si>
  <si>
    <t>EMP10052</t>
  </si>
  <si>
    <t>Ava</t>
  </si>
  <si>
    <t>Martinez</t>
  </si>
  <si>
    <t>Toure</t>
  </si>
  <si>
    <t>Antoine</t>
  </si>
  <si>
    <t>EMP10059</t>
  </si>
  <si>
    <t>Rousseau</t>
  </si>
  <si>
    <t>EMP10062</t>
  </si>
  <si>
    <t>Balde</t>
  </si>
  <si>
    <t>Yusuf</t>
  </si>
  <si>
    <t>EMP10067</t>
  </si>
  <si>
    <t>Henry</t>
  </si>
  <si>
    <t>Diop</t>
  </si>
  <si>
    <t>EMP10075</t>
  </si>
  <si>
    <t>Moreau</t>
  </si>
  <si>
    <t>Hugo</t>
  </si>
  <si>
    <t>Camille</t>
  </si>
  <si>
    <t>Paul</t>
  </si>
  <si>
    <t>EMP10085</t>
  </si>
  <si>
    <t>EMP10088</t>
  </si>
  <si>
    <t>Singh</t>
  </si>
  <si>
    <t>EMP10089</t>
  </si>
  <si>
    <t>Sophie</t>
  </si>
  <si>
    <t>Gonzalez</t>
  </si>
  <si>
    <t>EMP10092</t>
  </si>
  <si>
    <t>Davis</t>
  </si>
  <si>
    <t>Khan</t>
  </si>
  <si>
    <t>Brown</t>
  </si>
  <si>
    <t>EMP10100</t>
  </si>
  <si>
    <t>Mercier</t>
  </si>
  <si>
    <t>Mariama</t>
  </si>
  <si>
    <t>Khalid</t>
  </si>
  <si>
    <t>EMP10106</t>
  </si>
  <si>
    <t>Laurent</t>
  </si>
  <si>
    <t>Jean</t>
  </si>
  <si>
    <t>Ada</t>
  </si>
  <si>
    <t>Hernandez</t>
  </si>
  <si>
    <t>EMP10116</t>
  </si>
  <si>
    <t xml:space="preserve"> Fournier</t>
  </si>
  <si>
    <t>EMP10120</t>
  </si>
  <si>
    <t>EMP10125</t>
  </si>
  <si>
    <t>Lefevre</t>
  </si>
  <si>
    <t>Marie</t>
  </si>
  <si>
    <t xml:space="preserve">Ethan </t>
  </si>
  <si>
    <t>EMP10138</t>
  </si>
  <si>
    <t>EMP10139</t>
  </si>
  <si>
    <t xml:space="preserve"> Camara</t>
  </si>
  <si>
    <t>EMP10141</t>
  </si>
  <si>
    <t>Harper</t>
  </si>
  <si>
    <t xml:space="preserve">Marketing </t>
  </si>
  <si>
    <t>EMP10147</t>
  </si>
  <si>
    <t>EMP10153</t>
  </si>
  <si>
    <t>EMP10154</t>
  </si>
  <si>
    <t>Kouassi</t>
  </si>
  <si>
    <t>EMP10157</t>
  </si>
  <si>
    <t>Isabella</t>
  </si>
  <si>
    <t>EMP10163</t>
  </si>
  <si>
    <t>EMP10164</t>
  </si>
  <si>
    <t>EMP10169</t>
  </si>
  <si>
    <t>Kim</t>
  </si>
  <si>
    <t>EMP10172</t>
  </si>
  <si>
    <t>EMP10173</t>
  </si>
  <si>
    <t>EMP10176</t>
  </si>
  <si>
    <t>Ethan</t>
  </si>
  <si>
    <t>EMP10177</t>
  </si>
  <si>
    <t>EMP10179</t>
  </si>
  <si>
    <t>EMP10184</t>
  </si>
  <si>
    <t>EMP10185</t>
  </si>
  <si>
    <t xml:space="preserve">Human Resources </t>
  </si>
  <si>
    <t>EMP10194</t>
  </si>
  <si>
    <t>EMP10195</t>
  </si>
  <si>
    <t>EMP10196</t>
  </si>
  <si>
    <t>EMP10202</t>
  </si>
  <si>
    <t>EMP10207</t>
  </si>
  <si>
    <t>EMP10208</t>
  </si>
  <si>
    <t>EMP10210</t>
  </si>
  <si>
    <t xml:space="preserve">Taylor </t>
  </si>
  <si>
    <t>EMP10229</t>
  </si>
  <si>
    <t>EMP10235</t>
  </si>
  <si>
    <t xml:space="preserve"> Martinez</t>
  </si>
  <si>
    <t xml:space="preserve"> Omar</t>
  </si>
  <si>
    <t>EMP10249</t>
  </si>
  <si>
    <t>EMP10250</t>
  </si>
  <si>
    <t>EMP10261</t>
  </si>
  <si>
    <t>EMP10263</t>
  </si>
  <si>
    <t>EMP10266</t>
  </si>
  <si>
    <t>EMP10269</t>
  </si>
  <si>
    <t xml:space="preserve">Mia </t>
  </si>
  <si>
    <t>EMP10270</t>
  </si>
  <si>
    <t>EMP10271</t>
  </si>
  <si>
    <t>EMP10276</t>
  </si>
  <si>
    <t>EMP10278</t>
  </si>
  <si>
    <t>EMP10281</t>
  </si>
  <si>
    <t>EMP10283</t>
  </si>
  <si>
    <t>EMP10285</t>
  </si>
  <si>
    <t>EMP10289</t>
  </si>
  <si>
    <t>WILSON</t>
  </si>
  <si>
    <t>EMP10296</t>
  </si>
  <si>
    <t>EMP10301</t>
  </si>
  <si>
    <t>EMP10317</t>
  </si>
  <si>
    <t>EMP10320</t>
  </si>
  <si>
    <t xml:space="preserve"> Wilson</t>
  </si>
  <si>
    <t>EMP10327</t>
  </si>
  <si>
    <t>EMP10336</t>
  </si>
  <si>
    <t>EMP10343</t>
  </si>
  <si>
    <t>EMP10347</t>
  </si>
  <si>
    <t>EMP10349</t>
  </si>
  <si>
    <t>EMP10353</t>
  </si>
  <si>
    <t>EMP10363</t>
  </si>
  <si>
    <t>EMP10369</t>
  </si>
  <si>
    <t>EMP10371</t>
  </si>
  <si>
    <t>EMP10382</t>
  </si>
  <si>
    <t>EMP10396</t>
  </si>
  <si>
    <t>EMP10400</t>
  </si>
  <si>
    <t>EMP10403</t>
  </si>
  <si>
    <t>EMP10409</t>
  </si>
  <si>
    <t>EMP10413</t>
  </si>
  <si>
    <t>EMP10417</t>
  </si>
  <si>
    <t>EMP10424</t>
  </si>
  <si>
    <t>EMP10425</t>
  </si>
  <si>
    <t>EMP10437</t>
  </si>
  <si>
    <t>EMP10438</t>
  </si>
  <si>
    <t>EMP10439</t>
  </si>
  <si>
    <t>EMP10445</t>
  </si>
  <si>
    <t>EMP10449</t>
  </si>
  <si>
    <t>EMP10453</t>
  </si>
  <si>
    <t>EMP10457</t>
  </si>
  <si>
    <t>EMP10465</t>
  </si>
  <si>
    <t>EMP10466</t>
  </si>
  <si>
    <t>EMP10474</t>
  </si>
  <si>
    <t xml:space="preserve"> Abigail</t>
  </si>
  <si>
    <t>EMP10476</t>
  </si>
  <si>
    <t>EMP10478</t>
  </si>
  <si>
    <t>EMP10480</t>
  </si>
  <si>
    <t xml:space="preserve">Operations </t>
  </si>
  <si>
    <t>EMP10495</t>
  </si>
  <si>
    <t>EMP10498</t>
  </si>
  <si>
    <t>EMP10500</t>
  </si>
  <si>
    <t>EMP10508</t>
  </si>
  <si>
    <t>EMP10510</t>
  </si>
  <si>
    <t>EMP10514</t>
  </si>
  <si>
    <t>EMP10517</t>
  </si>
  <si>
    <t>EMP10520</t>
  </si>
  <si>
    <t>EMP10523</t>
  </si>
  <si>
    <t>EMP10528</t>
  </si>
  <si>
    <t>EMP10532</t>
  </si>
  <si>
    <t>EMP10533</t>
  </si>
  <si>
    <t>EMP10544</t>
  </si>
  <si>
    <t>EMP10546</t>
  </si>
  <si>
    <t>EMP10549</t>
  </si>
  <si>
    <t>EMP10550</t>
  </si>
  <si>
    <t>EMP10556</t>
  </si>
  <si>
    <t>EMP10564</t>
  </si>
  <si>
    <t>EMP10568</t>
  </si>
  <si>
    <t>EMP10569</t>
  </si>
  <si>
    <t>EMP10570</t>
  </si>
  <si>
    <t>EMP10573</t>
  </si>
  <si>
    <t>EMP10577</t>
  </si>
  <si>
    <t>EMP10580</t>
  </si>
  <si>
    <t>EMP10590</t>
  </si>
  <si>
    <t>EMP10591</t>
  </si>
  <si>
    <t>EMP10594</t>
  </si>
  <si>
    <t>EMP10606</t>
  </si>
  <si>
    <t>EMP10607</t>
  </si>
  <si>
    <t>EMP10608</t>
  </si>
  <si>
    <t>EMP10610</t>
  </si>
  <si>
    <t>EMP10611</t>
  </si>
  <si>
    <t>EMP10615</t>
  </si>
  <si>
    <t>EMP10621</t>
  </si>
  <si>
    <t>EMP10627</t>
  </si>
  <si>
    <t>EMP10631</t>
  </si>
  <si>
    <t>EMP10633</t>
  </si>
  <si>
    <t>EMP10635</t>
  </si>
  <si>
    <t>EMP10644</t>
  </si>
  <si>
    <t>EMP10658</t>
  </si>
  <si>
    <t>EMP10659</t>
  </si>
  <si>
    <t>EMP10661</t>
  </si>
  <si>
    <t xml:space="preserve"> Finance</t>
  </si>
  <si>
    <t>EMP10668</t>
  </si>
  <si>
    <t>EMP10671</t>
  </si>
  <si>
    <t>EMP10688</t>
  </si>
  <si>
    <t xml:space="preserve">Amelia </t>
  </si>
  <si>
    <t>EMP10692</t>
  </si>
  <si>
    <t>Last_Name2</t>
  </si>
  <si>
    <t>N/A</t>
  </si>
  <si>
    <t>EMPloyee_ID2</t>
  </si>
  <si>
    <t>Training_Status2</t>
  </si>
  <si>
    <t>Training_Title2</t>
  </si>
  <si>
    <t xml:space="preserve">Google Partners </t>
  </si>
  <si>
    <t>Introduction To Python For Data</t>
  </si>
  <si>
    <t>Satisfaction_Score2</t>
  </si>
  <si>
    <t>Grand Total</t>
  </si>
  <si>
    <t>Cumulative Hours</t>
  </si>
  <si>
    <t>LEROY</t>
  </si>
  <si>
    <t>GIRARD</t>
  </si>
  <si>
    <t>JOHNSON</t>
  </si>
  <si>
    <t>GARCIA</t>
  </si>
  <si>
    <t>SMITH</t>
  </si>
  <si>
    <t>TRAORE</t>
  </si>
  <si>
    <t>CAMARA</t>
  </si>
  <si>
    <t>MARTIN</t>
  </si>
  <si>
    <t>JACKSON</t>
  </si>
  <si>
    <t>SOW</t>
  </si>
  <si>
    <t>RODRIGUEZ</t>
  </si>
  <si>
    <t>HASSAN</t>
  </si>
  <si>
    <t>JONES</t>
  </si>
  <si>
    <t>FOURNIER</t>
  </si>
  <si>
    <t>ANDERSON</t>
  </si>
  <si>
    <t>ALI</t>
  </si>
  <si>
    <t>NGUYEN</t>
  </si>
  <si>
    <t>MOORE</t>
  </si>
  <si>
    <t>PATEL</t>
  </si>
  <si>
    <t>CHEN</t>
  </si>
  <si>
    <t>THOMAS</t>
  </si>
  <si>
    <t>MILLER</t>
  </si>
  <si>
    <t>MENSAH</t>
  </si>
  <si>
    <t>DIALLO</t>
  </si>
  <si>
    <t>PETIT</t>
  </si>
  <si>
    <t>KONE</t>
  </si>
  <si>
    <t>WILLIAMS</t>
  </si>
  <si>
    <t>MARTINEZ</t>
  </si>
  <si>
    <t>TOURE</t>
  </si>
  <si>
    <t>ROUSSEAU</t>
  </si>
  <si>
    <t>BALDE</t>
  </si>
  <si>
    <t>LOPEZ</t>
  </si>
  <si>
    <t>DIOP</t>
  </si>
  <si>
    <t>MOREAU</t>
  </si>
  <si>
    <t>GONZALEZ</t>
  </si>
  <si>
    <t>DAVIS</t>
  </si>
  <si>
    <t>KHAN</t>
  </si>
  <si>
    <t>BROWN</t>
  </si>
  <si>
    <t>MERCIER</t>
  </si>
  <si>
    <t>LAURENT</t>
  </si>
  <si>
    <t>TAYLOR</t>
  </si>
  <si>
    <t>HERNANDEZ</t>
  </si>
  <si>
    <t>SINGH</t>
  </si>
  <si>
    <t xml:space="preserve"> CAMARA</t>
  </si>
  <si>
    <t>IBRAHIM</t>
  </si>
  <si>
    <t>ABDULLAH</t>
  </si>
  <si>
    <t>KOUASSI</t>
  </si>
  <si>
    <t>KIM</t>
  </si>
  <si>
    <t>LEFEVRE</t>
  </si>
  <si>
    <t>DUBOIS</t>
  </si>
  <si>
    <t xml:space="preserve"> MARTINEZ</t>
  </si>
  <si>
    <t xml:space="preserve"> WILSON</t>
  </si>
  <si>
    <t>Row Labels</t>
  </si>
  <si>
    <t>Training Provider</t>
  </si>
  <si>
    <t>2022</t>
  </si>
  <si>
    <t>Qtr1</t>
  </si>
  <si>
    <t>Qtr2</t>
  </si>
  <si>
    <t>Qtr3</t>
  </si>
  <si>
    <t>Qtr4</t>
  </si>
  <si>
    <t>2023</t>
  </si>
  <si>
    <t>2024</t>
  </si>
  <si>
    <t>2025</t>
  </si>
  <si>
    <t>Count of Training_Title</t>
  </si>
  <si>
    <t>Status</t>
  </si>
  <si>
    <t>Sum of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</si>
</sst>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5" x14ac:knownFonts="1">
    <font>
      <sz val="11"/>
      <color theme="1"/>
      <name val="Calibri"/>
      <family val="2"/>
      <scheme val="minor"/>
    </font>
    <font>
      <b/>
      <sz val="11"/>
      <name val="Calibri"/>
      <family val="2"/>
    </font>
    <font>
      <b/>
      <sz val="11"/>
      <color theme="1"/>
      <name val="Calibri"/>
      <family val="2"/>
      <scheme val="minor"/>
    </font>
    <font>
      <b/>
      <sz val="12"/>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164" fontId="0" fillId="0" borderId="0" xfId="0" applyNumberFormat="1"/>
    <xf numFmtId="0" fontId="1" fillId="0" borderId="1" xfId="0" applyFont="1" applyBorder="1" applyAlignment="1">
      <alignment horizontal="center" vertical="top"/>
    </xf>
    <xf numFmtId="0" fontId="2" fillId="0" borderId="0" xfId="0" applyFont="1"/>
    <xf numFmtId="0" fontId="3" fillId="0" borderId="0" xfId="0" applyFont="1"/>
    <xf numFmtId="0" fontId="0" fillId="0" borderId="0" xfId="0" pivotButton="1"/>
    <xf numFmtId="0" fontId="0" fillId="0" borderId="0" xfId="0" applyAlignment="1">
      <alignment horizontal="left"/>
    </xf>
    <xf numFmtId="1" fontId="0" fillId="0" borderId="0" xfId="0" applyNumberFormat="1"/>
    <xf numFmtId="165" fontId="0" fillId="0" borderId="0" xfId="0" applyNumberFormat="1"/>
    <xf numFmtId="0" fontId="0" fillId="0" borderId="0" xfId="0" applyAlignment="1">
      <alignment horizontal="left" indent="1"/>
    </xf>
    <xf numFmtId="0" fontId="0" fillId="0" borderId="0" xfId="0" applyNumberFormat="1"/>
    <xf numFmtId="0" fontId="0" fillId="2" borderId="0" xfId="0" applyFill="1"/>
    <xf numFmtId="0" fontId="0" fillId="2" borderId="0" xfId="0" applyNumberFormat="1" applyFill="1"/>
  </cellXfs>
  <cellStyles count="1">
    <cellStyle name="Normal" xfId="0" builtinId="0"/>
  </cellStyles>
  <dxfs count="8572">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i val="0"/>
        <color rgb="FFFF0000"/>
      </font>
    </dxf>
    <dxf>
      <font>
        <b/>
        <i val="0"/>
        <color rgb="FF00B050"/>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numFmt numFmtId="0" formatCode="General"/>
    </dxf>
    <dxf>
      <numFmt numFmtId="164" formatCode="yyyy\-mm\-dd"/>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 formatCode="0"/>
    </dxf>
    <dxf>
      <numFmt numFmtId="164"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5.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4.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tyles" Target="styles.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[Training_Dashboard (Final version).xlsx]Pivot tables!PThourPerDepartement</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Hours Distribution /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tables'!$H$19:$H$30</c:f>
              <c:strCache>
                <c:ptCount val="11"/>
                <c:pt idx="0">
                  <c:v>Operations</c:v>
                </c:pt>
                <c:pt idx="1">
                  <c:v>Finance</c:v>
                </c:pt>
                <c:pt idx="2">
                  <c:v>Marketing</c:v>
                </c:pt>
                <c:pt idx="3">
                  <c:v>Sales</c:v>
                </c:pt>
                <c:pt idx="4">
                  <c:v>Compliance</c:v>
                </c:pt>
                <c:pt idx="5">
                  <c:v>IT</c:v>
                </c:pt>
                <c:pt idx="6">
                  <c:v>Human Resources</c:v>
                </c:pt>
                <c:pt idx="7">
                  <c:v>Procurement</c:v>
                </c:pt>
                <c:pt idx="8">
                  <c:v>Customer Support</c:v>
                </c:pt>
                <c:pt idx="9">
                  <c:v>N/A</c:v>
                </c:pt>
                <c:pt idx="10">
                  <c:v> Finance</c:v>
                </c:pt>
              </c:strCache>
            </c:strRef>
          </c:cat>
          <c:val>
            <c:numRef>
              <c:f>'Pivot tables'!$I$19:$I$30</c:f>
              <c:numCache>
                <c:formatCode>General</c:formatCode>
                <c:ptCount val="11"/>
                <c:pt idx="0">
                  <c:v>3248</c:v>
                </c:pt>
                <c:pt idx="1">
                  <c:v>2966</c:v>
                </c:pt>
                <c:pt idx="2">
                  <c:v>2948</c:v>
                </c:pt>
                <c:pt idx="3">
                  <c:v>2570</c:v>
                </c:pt>
                <c:pt idx="4">
                  <c:v>2552</c:v>
                </c:pt>
                <c:pt idx="5">
                  <c:v>2504</c:v>
                </c:pt>
                <c:pt idx="6">
                  <c:v>2374</c:v>
                </c:pt>
                <c:pt idx="7">
                  <c:v>2342</c:v>
                </c:pt>
                <c:pt idx="8">
                  <c:v>1844</c:v>
                </c:pt>
                <c:pt idx="9">
                  <c:v>338</c:v>
                </c:pt>
                <c:pt idx="10">
                  <c:v>24</c:v>
                </c:pt>
              </c:numCache>
            </c:numRef>
          </c:val>
          <c:extLst>
            <c:ext xmlns:c16="http://schemas.microsoft.com/office/drawing/2014/chart" uri="{C3380CC4-5D6E-409C-BE32-E72D297353CC}">
              <c16:uniqueId val="{00000000-2556-4CC8-AC69-B816C26A1B23}"/>
            </c:ext>
          </c:extLst>
        </c:ser>
        <c:dLbls>
          <c:showLegendKey val="0"/>
          <c:showVal val="0"/>
          <c:showCatName val="0"/>
          <c:showSerName val="0"/>
          <c:showPercent val="0"/>
          <c:showBubbleSize val="0"/>
        </c:dLbls>
        <c:gapWidth val="219"/>
        <c:overlap val="-27"/>
        <c:axId val="293373615"/>
        <c:axId val="425471167"/>
      </c:barChart>
      <c:catAx>
        <c:axId val="29337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471167"/>
        <c:crosses val="autoZero"/>
        <c:auto val="1"/>
        <c:lblAlgn val="ctr"/>
        <c:lblOffset val="100"/>
        <c:noMultiLvlLbl val="0"/>
      </c:catAx>
      <c:valAx>
        <c:axId val="425471167"/>
        <c:scaling>
          <c:orientation val="minMax"/>
        </c:scaling>
        <c:delete val="1"/>
        <c:axPos val="l"/>
        <c:numFmt formatCode="General" sourceLinked="1"/>
        <c:majorTickMark val="none"/>
        <c:minorTickMark val="none"/>
        <c:tickLblPos val="nextTo"/>
        <c:crossAx val="293373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[Training_Dashboard (Final version).xlsx]Pivot tables!PTSatiscfaction</c:name>
    <c:fmtId val="8"/>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Satisfaction score / Provider</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tables'!$H$37:$H$44</c:f>
              <c:strCache>
                <c:ptCount val="7"/>
                <c:pt idx="0">
                  <c:v>Coursera</c:v>
                </c:pt>
                <c:pt idx="1">
                  <c:v>AWS Training</c:v>
                </c:pt>
                <c:pt idx="2">
                  <c:v>Udemy Business</c:v>
                </c:pt>
                <c:pt idx="3">
                  <c:v>Internal Training</c:v>
                </c:pt>
                <c:pt idx="4">
                  <c:v>LinkedIn Learning</c:v>
                </c:pt>
                <c:pt idx="5">
                  <c:v>Google Partners</c:v>
                </c:pt>
                <c:pt idx="6">
                  <c:v>Microsoft Learn</c:v>
                </c:pt>
              </c:strCache>
            </c:strRef>
          </c:cat>
          <c:val>
            <c:numRef>
              <c:f>'Pivot tables'!$I$37:$I$44</c:f>
              <c:numCache>
                <c:formatCode>0.0</c:formatCode>
                <c:ptCount val="7"/>
                <c:pt idx="0">
                  <c:v>3.7462686567164178</c:v>
                </c:pt>
                <c:pt idx="1">
                  <c:v>3.7720207253886011</c:v>
                </c:pt>
                <c:pt idx="2">
                  <c:v>3.7916666666666665</c:v>
                </c:pt>
                <c:pt idx="3">
                  <c:v>3.8207547169811322</c:v>
                </c:pt>
                <c:pt idx="4">
                  <c:v>3.8366336633663365</c:v>
                </c:pt>
                <c:pt idx="5">
                  <c:v>3.9206349206349205</c:v>
                </c:pt>
                <c:pt idx="6">
                  <c:v>3.9241706161137442</c:v>
                </c:pt>
              </c:numCache>
            </c:numRef>
          </c:val>
          <c:extLst>
            <c:ext xmlns:c16="http://schemas.microsoft.com/office/drawing/2014/chart" uri="{C3380CC4-5D6E-409C-BE32-E72D297353CC}">
              <c16:uniqueId val="{00000000-5CFE-4805-9344-FD9868A878CE}"/>
            </c:ext>
          </c:extLst>
        </c:ser>
        <c:dLbls>
          <c:showLegendKey val="0"/>
          <c:showVal val="0"/>
          <c:showCatName val="0"/>
          <c:showSerName val="0"/>
          <c:showPercent val="0"/>
          <c:showBubbleSize val="0"/>
        </c:dLbls>
        <c:gapWidth val="219"/>
        <c:axId val="1407558319"/>
        <c:axId val="1407559279"/>
      </c:barChart>
      <c:catAx>
        <c:axId val="1407558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559279"/>
        <c:crosses val="autoZero"/>
        <c:auto val="1"/>
        <c:lblAlgn val="ctr"/>
        <c:lblOffset val="100"/>
        <c:noMultiLvlLbl val="0"/>
      </c:catAx>
      <c:valAx>
        <c:axId val="1407559279"/>
        <c:scaling>
          <c:orientation val="minMax"/>
        </c:scaling>
        <c:delete val="1"/>
        <c:axPos val="b"/>
        <c:numFmt formatCode="0.0" sourceLinked="1"/>
        <c:majorTickMark val="none"/>
        <c:minorTickMark val="none"/>
        <c:tickLblPos val="nextTo"/>
        <c:crossAx val="140755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[Training_Dashboard (Final version).xlsx]Pivot tables!PTEvolutionperYear</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Training Count Evolution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tables'!$I$52</c:f>
              <c:strCache>
                <c:ptCount val="1"/>
                <c:pt idx="0">
                  <c:v>Total</c:v>
                </c:pt>
              </c:strCache>
            </c:strRef>
          </c:tx>
          <c:spPr>
            <a:ln w="28575" cap="rnd">
              <a:solidFill>
                <a:schemeClr val="accent1"/>
              </a:solidFill>
              <a:round/>
            </a:ln>
            <a:effectLst/>
          </c:spPr>
          <c:marker>
            <c:symbol val="none"/>
          </c:marker>
          <c:cat>
            <c:multiLvlStrRef>
              <c:f>'Pivot tables'!$H$53:$H$73</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2022</c:v>
                  </c:pt>
                  <c:pt idx="4">
                    <c:v>2023</c:v>
                  </c:pt>
                  <c:pt idx="8">
                    <c:v>2024</c:v>
                  </c:pt>
                  <c:pt idx="12">
                    <c:v>2025</c:v>
                  </c:pt>
                </c:lvl>
              </c:multiLvlStrCache>
            </c:multiLvlStrRef>
          </c:cat>
          <c:val>
            <c:numRef>
              <c:f>'Pivot tables'!$I$53:$I$73</c:f>
              <c:numCache>
                <c:formatCode>General</c:formatCode>
                <c:ptCount val="16"/>
                <c:pt idx="0">
                  <c:v>102</c:v>
                </c:pt>
                <c:pt idx="1">
                  <c:v>98</c:v>
                </c:pt>
                <c:pt idx="2">
                  <c:v>85</c:v>
                </c:pt>
                <c:pt idx="3">
                  <c:v>99</c:v>
                </c:pt>
                <c:pt idx="4">
                  <c:v>77</c:v>
                </c:pt>
                <c:pt idx="5">
                  <c:v>96</c:v>
                </c:pt>
                <c:pt idx="6">
                  <c:v>92</c:v>
                </c:pt>
                <c:pt idx="7">
                  <c:v>98</c:v>
                </c:pt>
                <c:pt idx="8">
                  <c:v>85</c:v>
                </c:pt>
                <c:pt idx="9">
                  <c:v>98</c:v>
                </c:pt>
                <c:pt idx="10">
                  <c:v>83</c:v>
                </c:pt>
                <c:pt idx="11">
                  <c:v>96</c:v>
                </c:pt>
                <c:pt idx="12">
                  <c:v>89</c:v>
                </c:pt>
                <c:pt idx="13">
                  <c:v>91</c:v>
                </c:pt>
                <c:pt idx="14">
                  <c:v>87</c:v>
                </c:pt>
                <c:pt idx="15">
                  <c:v>24</c:v>
                </c:pt>
              </c:numCache>
            </c:numRef>
          </c:val>
          <c:smooth val="0"/>
          <c:extLst>
            <c:ext xmlns:c16="http://schemas.microsoft.com/office/drawing/2014/chart" uri="{C3380CC4-5D6E-409C-BE32-E72D297353CC}">
              <c16:uniqueId val="{00000000-1B18-4457-92C7-A681DF4B832C}"/>
            </c:ext>
          </c:extLst>
        </c:ser>
        <c:dLbls>
          <c:showLegendKey val="0"/>
          <c:showVal val="0"/>
          <c:showCatName val="0"/>
          <c:showSerName val="0"/>
          <c:showPercent val="0"/>
          <c:showBubbleSize val="0"/>
        </c:dLbls>
        <c:smooth val="0"/>
        <c:axId val="1736069695"/>
        <c:axId val="1736074495"/>
      </c:lineChart>
      <c:catAx>
        <c:axId val="173606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074495"/>
        <c:crosses val="autoZero"/>
        <c:auto val="1"/>
        <c:lblAlgn val="ctr"/>
        <c:lblOffset val="100"/>
        <c:noMultiLvlLbl val="0"/>
      </c:catAx>
      <c:valAx>
        <c:axId val="1736074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06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[Training_Dashboard (Final version).xlsx]Pivot tables!PTHoursPerGender</c:name>
    <c:fmtId val="8"/>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Hours / Gender</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tables'!$J$78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27-4FF1-8143-37A560D2C4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27-4FF1-8143-37A560D2C43F}"/>
              </c:ext>
            </c:extLst>
          </c:dPt>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tables'!$I$79:$I$81</c:f>
              <c:strCache>
                <c:ptCount val="2"/>
                <c:pt idx="0">
                  <c:v>Female</c:v>
                </c:pt>
                <c:pt idx="1">
                  <c:v>Male</c:v>
                </c:pt>
              </c:strCache>
            </c:strRef>
          </c:cat>
          <c:val>
            <c:numRef>
              <c:f>'Pivot tables'!$J$79:$J$81</c:f>
              <c:numCache>
                <c:formatCode>General</c:formatCode>
                <c:ptCount val="2"/>
                <c:pt idx="0">
                  <c:v>12388</c:v>
                </c:pt>
                <c:pt idx="1">
                  <c:v>11322</c:v>
                </c:pt>
              </c:numCache>
            </c:numRef>
          </c:val>
          <c:extLst>
            <c:ext xmlns:c16="http://schemas.microsoft.com/office/drawing/2014/chart" uri="{C3380CC4-5D6E-409C-BE32-E72D297353CC}">
              <c16:uniqueId val="{00000004-7527-4FF1-8143-37A560D2C43F}"/>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[Training_Dashboard (Final version).xlsx]Pivot tables!PTHourperStatus</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Hours / Status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1.3025043744531985E-2"/>
              <c:y val="-0.179907407407407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layout>
            <c:manualLayout>
              <c:x val="1.3025043744531985E-2"/>
              <c:y val="-0.179907407407407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1.3025043744531985E-2"/>
              <c:y val="-0.179907407407407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pieChart>
        <c:varyColors val="1"/>
        <c:ser>
          <c:idx val="0"/>
          <c:order val="0"/>
          <c:tx>
            <c:strRef>
              <c:f>'Pivot tables'!$Q$77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2F-4443-A8BF-0EFA5D9B6E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2F-4443-A8BF-0EFA5D9B6E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2F-4443-A8BF-0EFA5D9B6EB1}"/>
              </c:ext>
            </c:extLst>
          </c:dPt>
          <c:dLbls>
            <c:dLbl>
              <c:idx val="1"/>
              <c:layout>
                <c:manualLayout>
                  <c:x val="1.3025043744531985E-2"/>
                  <c:y val="-0.17990740740740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02F-4443-A8BF-0EFA5D9B6EB1}"/>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tables'!$P$78:$P$81</c:f>
              <c:strCache>
                <c:ptCount val="3"/>
                <c:pt idx="0">
                  <c:v>Contract</c:v>
                </c:pt>
                <c:pt idx="1">
                  <c:v>Intern</c:v>
                </c:pt>
                <c:pt idx="2">
                  <c:v>Permanent</c:v>
                </c:pt>
              </c:strCache>
            </c:strRef>
          </c:cat>
          <c:val>
            <c:numRef>
              <c:f>'Pivot tables'!$Q$78:$Q$81</c:f>
              <c:numCache>
                <c:formatCode>General</c:formatCode>
                <c:ptCount val="3"/>
                <c:pt idx="0">
                  <c:v>7996</c:v>
                </c:pt>
                <c:pt idx="1">
                  <c:v>8404</c:v>
                </c:pt>
                <c:pt idx="2">
                  <c:v>7310</c:v>
                </c:pt>
              </c:numCache>
            </c:numRef>
          </c:val>
          <c:extLst>
            <c:ext xmlns:c16="http://schemas.microsoft.com/office/drawing/2014/chart" uri="{C3380CC4-5D6E-409C-BE32-E72D297353CC}">
              <c16:uniqueId val="{00000006-702F-4443-A8BF-0EFA5D9B6EB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[Training_Dashboard (Final version).xlsx]Pivot tables!PThourPerDepartement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Hours Distribution /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tables'!$H$19:$H$30</c:f>
              <c:strCache>
                <c:ptCount val="11"/>
                <c:pt idx="0">
                  <c:v>Operations</c:v>
                </c:pt>
                <c:pt idx="1">
                  <c:v>Finance</c:v>
                </c:pt>
                <c:pt idx="2">
                  <c:v>Marketing</c:v>
                </c:pt>
                <c:pt idx="3">
                  <c:v>Sales</c:v>
                </c:pt>
                <c:pt idx="4">
                  <c:v>Compliance</c:v>
                </c:pt>
                <c:pt idx="5">
                  <c:v>IT</c:v>
                </c:pt>
                <c:pt idx="6">
                  <c:v>Human Resources</c:v>
                </c:pt>
                <c:pt idx="7">
                  <c:v>Procurement</c:v>
                </c:pt>
                <c:pt idx="8">
                  <c:v>Customer Support</c:v>
                </c:pt>
                <c:pt idx="9">
                  <c:v>N/A</c:v>
                </c:pt>
                <c:pt idx="10">
                  <c:v> Finance</c:v>
                </c:pt>
              </c:strCache>
            </c:strRef>
          </c:cat>
          <c:val>
            <c:numRef>
              <c:f>'Pivot tables'!$I$19:$I$30</c:f>
              <c:numCache>
                <c:formatCode>General</c:formatCode>
                <c:ptCount val="11"/>
                <c:pt idx="0">
                  <c:v>3248</c:v>
                </c:pt>
                <c:pt idx="1">
                  <c:v>2966</c:v>
                </c:pt>
                <c:pt idx="2">
                  <c:v>2948</c:v>
                </c:pt>
                <c:pt idx="3">
                  <c:v>2570</c:v>
                </c:pt>
                <c:pt idx="4">
                  <c:v>2552</c:v>
                </c:pt>
                <c:pt idx="5">
                  <c:v>2504</c:v>
                </c:pt>
                <c:pt idx="6">
                  <c:v>2374</c:v>
                </c:pt>
                <c:pt idx="7">
                  <c:v>2342</c:v>
                </c:pt>
                <c:pt idx="8">
                  <c:v>1844</c:v>
                </c:pt>
                <c:pt idx="9">
                  <c:v>338</c:v>
                </c:pt>
                <c:pt idx="10">
                  <c:v>24</c:v>
                </c:pt>
              </c:numCache>
            </c:numRef>
          </c:val>
          <c:extLst>
            <c:ext xmlns:c16="http://schemas.microsoft.com/office/drawing/2014/chart" uri="{C3380CC4-5D6E-409C-BE32-E72D297353CC}">
              <c16:uniqueId val="{00000000-4022-40D5-8482-A8288BA2FDA3}"/>
            </c:ext>
          </c:extLst>
        </c:ser>
        <c:dLbls>
          <c:showLegendKey val="0"/>
          <c:showVal val="0"/>
          <c:showCatName val="0"/>
          <c:showSerName val="0"/>
          <c:showPercent val="0"/>
          <c:showBubbleSize val="0"/>
        </c:dLbls>
        <c:gapWidth val="219"/>
        <c:overlap val="-27"/>
        <c:axId val="293373615"/>
        <c:axId val="425471167"/>
      </c:barChart>
      <c:catAx>
        <c:axId val="29337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471167"/>
        <c:crosses val="autoZero"/>
        <c:auto val="1"/>
        <c:lblAlgn val="ctr"/>
        <c:lblOffset val="100"/>
        <c:noMultiLvlLbl val="0"/>
      </c:catAx>
      <c:valAx>
        <c:axId val="425471167"/>
        <c:scaling>
          <c:orientation val="minMax"/>
        </c:scaling>
        <c:delete val="1"/>
        <c:axPos val="l"/>
        <c:numFmt formatCode="General" sourceLinked="1"/>
        <c:majorTickMark val="none"/>
        <c:minorTickMark val="none"/>
        <c:tickLblPos val="nextTo"/>
        <c:crossAx val="293373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[Training_Dashboard (Final version).xlsx]Pivot tables!PTSatiscfaction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Satisfaction score / Provider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tables'!$H$37:$H$44</c:f>
              <c:strCache>
                <c:ptCount val="7"/>
                <c:pt idx="0">
                  <c:v>Coursera</c:v>
                </c:pt>
                <c:pt idx="1">
                  <c:v>AWS Training</c:v>
                </c:pt>
                <c:pt idx="2">
                  <c:v>Udemy Business</c:v>
                </c:pt>
                <c:pt idx="3">
                  <c:v>Internal Training</c:v>
                </c:pt>
                <c:pt idx="4">
                  <c:v>LinkedIn Learning</c:v>
                </c:pt>
                <c:pt idx="5">
                  <c:v>Google Partners</c:v>
                </c:pt>
                <c:pt idx="6">
                  <c:v>Microsoft Learn</c:v>
                </c:pt>
              </c:strCache>
            </c:strRef>
          </c:cat>
          <c:val>
            <c:numRef>
              <c:f>'Pivot tables'!$I$37:$I$44</c:f>
              <c:numCache>
                <c:formatCode>0.0</c:formatCode>
                <c:ptCount val="7"/>
                <c:pt idx="0">
                  <c:v>3.7462686567164178</c:v>
                </c:pt>
                <c:pt idx="1">
                  <c:v>3.7720207253886011</c:v>
                </c:pt>
                <c:pt idx="2">
                  <c:v>3.7916666666666665</c:v>
                </c:pt>
                <c:pt idx="3">
                  <c:v>3.8207547169811322</c:v>
                </c:pt>
                <c:pt idx="4">
                  <c:v>3.8366336633663365</c:v>
                </c:pt>
                <c:pt idx="5">
                  <c:v>3.9206349206349205</c:v>
                </c:pt>
                <c:pt idx="6">
                  <c:v>3.9241706161137442</c:v>
                </c:pt>
              </c:numCache>
            </c:numRef>
          </c:val>
          <c:extLst>
            <c:ext xmlns:c16="http://schemas.microsoft.com/office/drawing/2014/chart" uri="{C3380CC4-5D6E-409C-BE32-E72D297353CC}">
              <c16:uniqueId val="{00000000-4A7A-4C0E-9C7F-51BFE8AE7758}"/>
            </c:ext>
          </c:extLst>
        </c:ser>
        <c:dLbls>
          <c:showLegendKey val="0"/>
          <c:showVal val="0"/>
          <c:showCatName val="0"/>
          <c:showSerName val="0"/>
          <c:showPercent val="0"/>
          <c:showBubbleSize val="0"/>
        </c:dLbls>
        <c:gapWidth val="219"/>
        <c:axId val="1407558319"/>
        <c:axId val="1407559279"/>
      </c:barChart>
      <c:catAx>
        <c:axId val="1407558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559279"/>
        <c:crosses val="autoZero"/>
        <c:auto val="1"/>
        <c:lblAlgn val="ctr"/>
        <c:lblOffset val="100"/>
        <c:noMultiLvlLbl val="0"/>
      </c:catAx>
      <c:valAx>
        <c:axId val="1407559279"/>
        <c:scaling>
          <c:orientation val="minMax"/>
        </c:scaling>
        <c:delete val="1"/>
        <c:axPos val="b"/>
        <c:numFmt formatCode="0.0" sourceLinked="1"/>
        <c:majorTickMark val="none"/>
        <c:minorTickMark val="none"/>
        <c:tickLblPos val="nextTo"/>
        <c:crossAx val="140755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[Training_Dashboard (Final version).xlsx]Pivot tables!PTEvolutionperYear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 Count Evolution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tables'!$I$52</c:f>
              <c:strCache>
                <c:ptCount val="1"/>
                <c:pt idx="0">
                  <c:v>Total</c:v>
                </c:pt>
              </c:strCache>
            </c:strRef>
          </c:tx>
          <c:spPr>
            <a:ln w="28575" cap="rnd">
              <a:solidFill>
                <a:schemeClr val="accent1"/>
              </a:solidFill>
              <a:round/>
            </a:ln>
            <a:effectLst/>
          </c:spPr>
          <c:marker>
            <c:symbol val="none"/>
          </c:marker>
          <c:cat>
            <c:multiLvlStrRef>
              <c:f>'Pivot tables'!$H$53:$H$73</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2022</c:v>
                  </c:pt>
                  <c:pt idx="4">
                    <c:v>2023</c:v>
                  </c:pt>
                  <c:pt idx="8">
                    <c:v>2024</c:v>
                  </c:pt>
                  <c:pt idx="12">
                    <c:v>2025</c:v>
                  </c:pt>
                </c:lvl>
              </c:multiLvlStrCache>
            </c:multiLvlStrRef>
          </c:cat>
          <c:val>
            <c:numRef>
              <c:f>'Pivot tables'!$I$53:$I$73</c:f>
              <c:numCache>
                <c:formatCode>General</c:formatCode>
                <c:ptCount val="16"/>
                <c:pt idx="0">
                  <c:v>102</c:v>
                </c:pt>
                <c:pt idx="1">
                  <c:v>98</c:v>
                </c:pt>
                <c:pt idx="2">
                  <c:v>85</c:v>
                </c:pt>
                <c:pt idx="3">
                  <c:v>99</c:v>
                </c:pt>
                <c:pt idx="4">
                  <c:v>77</c:v>
                </c:pt>
                <c:pt idx="5">
                  <c:v>96</c:v>
                </c:pt>
                <c:pt idx="6">
                  <c:v>92</c:v>
                </c:pt>
                <c:pt idx="7">
                  <c:v>98</c:v>
                </c:pt>
                <c:pt idx="8">
                  <c:v>85</c:v>
                </c:pt>
                <c:pt idx="9">
                  <c:v>98</c:v>
                </c:pt>
                <c:pt idx="10">
                  <c:v>83</c:v>
                </c:pt>
                <c:pt idx="11">
                  <c:v>96</c:v>
                </c:pt>
                <c:pt idx="12">
                  <c:v>89</c:v>
                </c:pt>
                <c:pt idx="13">
                  <c:v>91</c:v>
                </c:pt>
                <c:pt idx="14">
                  <c:v>87</c:v>
                </c:pt>
                <c:pt idx="15">
                  <c:v>24</c:v>
                </c:pt>
              </c:numCache>
            </c:numRef>
          </c:val>
          <c:smooth val="0"/>
          <c:extLst>
            <c:ext xmlns:c16="http://schemas.microsoft.com/office/drawing/2014/chart" uri="{C3380CC4-5D6E-409C-BE32-E72D297353CC}">
              <c16:uniqueId val="{00000000-104D-4A49-A254-2B2209B87BCA}"/>
            </c:ext>
          </c:extLst>
        </c:ser>
        <c:dLbls>
          <c:showLegendKey val="0"/>
          <c:showVal val="0"/>
          <c:showCatName val="0"/>
          <c:showSerName val="0"/>
          <c:showPercent val="0"/>
          <c:showBubbleSize val="0"/>
        </c:dLbls>
        <c:smooth val="0"/>
        <c:axId val="1736069695"/>
        <c:axId val="1736074495"/>
      </c:lineChart>
      <c:catAx>
        <c:axId val="173606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074495"/>
        <c:crosses val="autoZero"/>
        <c:auto val="1"/>
        <c:lblAlgn val="ctr"/>
        <c:lblOffset val="100"/>
        <c:noMultiLvlLbl val="0"/>
      </c:catAx>
      <c:valAx>
        <c:axId val="1736074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06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[Training_Dashboard (Final version).xlsx]Pivot tables!PTHoursPerGender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Hours /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tables'!$J$78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0357-4F52-88DD-40724E9900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0357-4F52-88DD-40724E9900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tables'!$I$79:$I$81</c:f>
              <c:strCache>
                <c:ptCount val="2"/>
                <c:pt idx="0">
                  <c:v>Female</c:v>
                </c:pt>
                <c:pt idx="1">
                  <c:v>Male</c:v>
                </c:pt>
              </c:strCache>
            </c:strRef>
          </c:cat>
          <c:val>
            <c:numRef>
              <c:f>'Pivot tables'!$J$79:$J$81</c:f>
              <c:numCache>
                <c:formatCode>General</c:formatCode>
                <c:ptCount val="2"/>
                <c:pt idx="0">
                  <c:v>12388</c:v>
                </c:pt>
                <c:pt idx="1">
                  <c:v>11322</c:v>
                </c:pt>
              </c:numCache>
            </c:numRef>
          </c:val>
          <c:extLst>
            <c:ext xmlns:c16="http://schemas.microsoft.com/office/drawing/2014/chart" uri="{C3380CC4-5D6E-409C-BE32-E72D297353CC}">
              <c16:uniqueId val="{00000000-0357-4F52-88DD-40724E99007A}"/>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[Training_Dashboard (Final version).xlsx]Pivot tables!PTHourperStatus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Hours /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3025043744531985E-2"/>
              <c:y val="-0.179907407407407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tables'!$Q$77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C2-42A3-B775-0DDC82EDF9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6600-4C39-9715-6B26A3E59C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C2-42A3-B775-0DDC82EDF936}"/>
              </c:ext>
            </c:extLst>
          </c:dPt>
          <c:dLbls>
            <c:dLbl>
              <c:idx val="1"/>
              <c:layout>
                <c:manualLayout>
                  <c:x val="1.3025043744531985E-2"/>
                  <c:y val="-0.17990740740740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600-4C39-9715-6B26A3E59C5C}"/>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tables'!$P$78:$P$81</c:f>
              <c:strCache>
                <c:ptCount val="3"/>
                <c:pt idx="0">
                  <c:v>Contract</c:v>
                </c:pt>
                <c:pt idx="1">
                  <c:v>Intern</c:v>
                </c:pt>
                <c:pt idx="2">
                  <c:v>Permanent</c:v>
                </c:pt>
              </c:strCache>
            </c:strRef>
          </c:cat>
          <c:val>
            <c:numRef>
              <c:f>'Pivot tables'!$Q$78:$Q$81</c:f>
              <c:numCache>
                <c:formatCode>General</c:formatCode>
                <c:ptCount val="3"/>
                <c:pt idx="0">
                  <c:v>7996</c:v>
                </c:pt>
                <c:pt idx="1">
                  <c:v>8404</c:v>
                </c:pt>
                <c:pt idx="2">
                  <c:v>7310</c:v>
                </c:pt>
              </c:numCache>
            </c:numRef>
          </c:val>
          <c:extLst>
            <c:ext xmlns:c16="http://schemas.microsoft.com/office/drawing/2014/chart" uri="{C3380CC4-5D6E-409C-BE32-E72D297353CC}">
              <c16:uniqueId val="{00000000-6600-4C39-9715-6B26A3E59C5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6907</xdr:colOff>
      <xdr:row>16</xdr:row>
      <xdr:rowOff>52520</xdr:rowOff>
    </xdr:from>
    <xdr:to>
      <xdr:col>16</xdr:col>
      <xdr:colOff>0</xdr:colOff>
      <xdr:row>32</xdr:row>
      <xdr:rowOff>53340</xdr:rowOff>
    </xdr:to>
    <xdr:graphicFrame macro="">
      <xdr:nvGraphicFramePr>
        <xdr:cNvPr id="2" name="Chart 1">
          <a:extLst>
            <a:ext uri="{FF2B5EF4-FFF2-40B4-BE49-F238E27FC236}">
              <a16:creationId xmlns:a16="http://schemas.microsoft.com/office/drawing/2014/main" id="{56ACF6FF-0977-46BF-BFDE-C6F1D7F12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32</xdr:row>
      <xdr:rowOff>72390</xdr:rowOff>
    </xdr:from>
    <xdr:to>
      <xdr:col>16</xdr:col>
      <xdr:colOff>0</xdr:colOff>
      <xdr:row>47</xdr:row>
      <xdr:rowOff>167640</xdr:rowOff>
    </xdr:to>
    <xdr:graphicFrame macro="">
      <xdr:nvGraphicFramePr>
        <xdr:cNvPr id="3" name="Chart 2">
          <a:extLst>
            <a:ext uri="{FF2B5EF4-FFF2-40B4-BE49-F238E27FC236}">
              <a16:creationId xmlns:a16="http://schemas.microsoft.com/office/drawing/2014/main" id="{81E4E62D-5906-4540-9926-52CE95849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48</xdr:row>
      <xdr:rowOff>175260</xdr:rowOff>
    </xdr:from>
    <xdr:to>
      <xdr:col>22</xdr:col>
      <xdr:colOff>0</xdr:colOff>
      <xdr:row>65</xdr:row>
      <xdr:rowOff>0</xdr:rowOff>
    </xdr:to>
    <xdr:graphicFrame macro="">
      <xdr:nvGraphicFramePr>
        <xdr:cNvPr id="4" name="Chart 3">
          <a:extLst>
            <a:ext uri="{FF2B5EF4-FFF2-40B4-BE49-F238E27FC236}">
              <a16:creationId xmlns:a16="http://schemas.microsoft.com/office/drawing/2014/main" id="{F2BCAB0D-DD4A-45D1-ACE5-44EA736D7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106680</xdr:colOff>
      <xdr:row>16</xdr:row>
      <xdr:rowOff>53340</xdr:rowOff>
    </xdr:from>
    <xdr:to>
      <xdr:col>22</xdr:col>
      <xdr:colOff>0</xdr:colOff>
      <xdr:row>32</xdr:row>
      <xdr:rowOff>53340</xdr:rowOff>
    </xdr:to>
    <xdr:graphicFrame macro="">
      <xdr:nvGraphicFramePr>
        <xdr:cNvPr id="5" name="Chart 4">
          <a:extLst>
            <a:ext uri="{FF2B5EF4-FFF2-40B4-BE49-F238E27FC236}">
              <a16:creationId xmlns:a16="http://schemas.microsoft.com/office/drawing/2014/main" id="{C25B52AE-0A2A-4E99-BC37-3DA1DB43A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114300</xdr:colOff>
      <xdr:row>33</xdr:row>
      <xdr:rowOff>2540</xdr:rowOff>
    </xdr:from>
    <xdr:to>
      <xdr:col>22</xdr:col>
      <xdr:colOff>0</xdr:colOff>
      <xdr:row>48</xdr:row>
      <xdr:rowOff>0</xdr:rowOff>
    </xdr:to>
    <xdr:graphicFrame macro="">
      <xdr:nvGraphicFramePr>
        <xdr:cNvPr id="6" name="Chart 5">
          <a:extLst>
            <a:ext uri="{FF2B5EF4-FFF2-40B4-BE49-F238E27FC236}">
              <a16:creationId xmlns:a16="http://schemas.microsoft.com/office/drawing/2014/main" id="{B7D21A8D-1596-4732-8D4E-1B0ADD665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608532</xdr:colOff>
      <xdr:row>4</xdr:row>
      <xdr:rowOff>2990</xdr:rowOff>
    </xdr:from>
    <xdr:to>
      <xdr:col>13</xdr:col>
      <xdr:colOff>0</xdr:colOff>
      <xdr:row>15</xdr:row>
      <xdr:rowOff>68580</xdr:rowOff>
    </xdr:to>
    <mc:AlternateContent xmlns:mc="http://schemas.openxmlformats.org/markup-compatibility/2006">
      <mc:Choice xmlns:a14="http://schemas.microsoft.com/office/drawing/2010/main" Requires="a14">
        <xdr:graphicFrame macro="">
          <xdr:nvGraphicFramePr>
            <xdr:cNvPr id="7" name="Training_Provider 1">
              <a:extLst>
                <a:ext uri="{FF2B5EF4-FFF2-40B4-BE49-F238E27FC236}">
                  <a16:creationId xmlns:a16="http://schemas.microsoft.com/office/drawing/2014/main" id="{A0624E8C-F552-4A38-9648-9316F43115F5}"/>
                </a:ext>
              </a:extLst>
            </xdr:cNvPr>
            <xdr:cNvGraphicFramePr/>
          </xdr:nvGraphicFramePr>
          <xdr:xfrm>
            <a:off x="0" y="0"/>
            <a:ext cx="0" cy="0"/>
          </xdr:xfrm>
          <a:graphic>
            <a:graphicData uri="http://schemas.microsoft.com/office/drawing/2010/slicer">
              <sle:slicer xmlns:sle="http://schemas.microsoft.com/office/drawing/2010/slicer" name="Training_Provider 1"/>
            </a:graphicData>
          </a:graphic>
        </xdr:graphicFrame>
      </mc:Choice>
      <mc:Fallback>
        <xdr:sp macro="" textlink="">
          <xdr:nvSpPr>
            <xdr:cNvPr id="0" name=""/>
            <xdr:cNvSpPr>
              <a:spLocks noTextEdit="1"/>
            </xdr:cNvSpPr>
          </xdr:nvSpPr>
          <xdr:spPr>
            <a:xfrm>
              <a:off x="6315912" y="734510"/>
              <a:ext cx="2431848" cy="20086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12604</xdr:colOff>
      <xdr:row>4</xdr:row>
      <xdr:rowOff>17092</xdr:rowOff>
    </xdr:from>
    <xdr:to>
      <xdr:col>17</xdr:col>
      <xdr:colOff>0</xdr:colOff>
      <xdr:row>11</xdr:row>
      <xdr:rowOff>7620</xdr:rowOff>
    </xdr:to>
    <mc:AlternateContent xmlns:mc="http://schemas.openxmlformats.org/markup-compatibility/2006">
      <mc:Choice xmlns:a14="http://schemas.microsoft.com/office/drawing/2010/main" Requires="a14">
        <xdr:graphicFrame macro="">
          <xdr:nvGraphicFramePr>
            <xdr:cNvPr id="8" name="Training_Status 1">
              <a:extLst>
                <a:ext uri="{FF2B5EF4-FFF2-40B4-BE49-F238E27FC236}">
                  <a16:creationId xmlns:a16="http://schemas.microsoft.com/office/drawing/2014/main" id="{33341F83-F5B3-412B-A459-D85B3E423A55}"/>
                </a:ext>
              </a:extLst>
            </xdr:cNvPr>
            <xdr:cNvGraphicFramePr/>
          </xdr:nvGraphicFramePr>
          <xdr:xfrm>
            <a:off x="0" y="0"/>
            <a:ext cx="0" cy="0"/>
          </xdr:xfrm>
          <a:graphic>
            <a:graphicData uri="http://schemas.microsoft.com/office/drawing/2010/slicer">
              <sle:slicer xmlns:sle="http://schemas.microsoft.com/office/drawing/2010/slicer" name="Training_Status 1"/>
            </a:graphicData>
          </a:graphic>
        </xdr:graphicFrame>
      </mc:Choice>
      <mc:Fallback>
        <xdr:sp macro="" textlink="">
          <xdr:nvSpPr>
            <xdr:cNvPr id="0" name=""/>
            <xdr:cNvSpPr>
              <a:spLocks noTextEdit="1"/>
            </xdr:cNvSpPr>
          </xdr:nvSpPr>
          <xdr:spPr>
            <a:xfrm>
              <a:off x="8874664" y="748612"/>
              <a:ext cx="1800956" cy="12021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17</xdr:row>
      <xdr:rowOff>11609</xdr:rowOff>
    </xdr:from>
    <xdr:to>
      <xdr:col>1</xdr:col>
      <xdr:colOff>1834568</xdr:colOff>
      <xdr:row>37</xdr:row>
      <xdr:rowOff>11609</xdr:rowOff>
    </xdr:to>
    <mc:AlternateContent xmlns:mc="http://schemas.openxmlformats.org/markup-compatibility/2006" xmlns:a14="http://schemas.microsoft.com/office/drawing/2010/main">
      <mc:Choice Requires="a14">
        <xdr:graphicFrame macro="">
          <xdr:nvGraphicFramePr>
            <xdr:cNvPr id="9" name="Training_Title 1">
              <a:extLst>
                <a:ext uri="{FF2B5EF4-FFF2-40B4-BE49-F238E27FC236}">
                  <a16:creationId xmlns:a16="http://schemas.microsoft.com/office/drawing/2014/main" id="{87109240-31BE-4733-9E57-0B6AD91572E4}"/>
                </a:ext>
              </a:extLst>
            </xdr:cNvPr>
            <xdr:cNvGraphicFramePr/>
          </xdr:nvGraphicFramePr>
          <xdr:xfrm>
            <a:off x="0" y="0"/>
            <a:ext cx="0" cy="0"/>
          </xdr:xfrm>
          <a:graphic>
            <a:graphicData uri="http://schemas.microsoft.com/office/drawing/2010/slicer">
              <sle:slicer xmlns:sle="http://schemas.microsoft.com/office/drawing/2010/slicer" name="Training_Title 1"/>
            </a:graphicData>
          </a:graphic>
        </xdr:graphicFrame>
      </mc:Choice>
      <mc:Fallback xmlns="">
        <xdr:sp macro="" textlink="">
          <xdr:nvSpPr>
            <xdr:cNvPr id="0" name=""/>
            <xdr:cNvSpPr>
              <a:spLocks noTextEdit="1"/>
            </xdr:cNvSpPr>
          </xdr:nvSpPr>
          <xdr:spPr>
            <a:xfrm>
              <a:off x="113944" y="1742132"/>
              <a:ext cx="1834568" cy="3609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499</xdr:colOff>
      <xdr:row>4</xdr:row>
      <xdr:rowOff>17090</xdr:rowOff>
    </xdr:from>
    <xdr:to>
      <xdr:col>22</xdr:col>
      <xdr:colOff>0</xdr:colOff>
      <xdr:row>15</xdr:row>
      <xdr:rowOff>68580</xdr:rowOff>
    </xdr:to>
    <mc:AlternateContent xmlns:mc="http://schemas.openxmlformats.org/markup-compatibility/2006">
      <mc:Choice xmlns:a14="http://schemas.microsoft.com/office/drawing/2010/main" Requires="a14">
        <xdr:graphicFrame macro="">
          <xdr:nvGraphicFramePr>
            <xdr:cNvPr id="10" name="Department 1">
              <a:extLst>
                <a:ext uri="{FF2B5EF4-FFF2-40B4-BE49-F238E27FC236}">
                  <a16:creationId xmlns:a16="http://schemas.microsoft.com/office/drawing/2014/main" id="{FFC737DE-5336-406E-9A72-2A2939B82ED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0805659" y="748610"/>
              <a:ext cx="2437901" cy="19945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7334</xdr:colOff>
      <xdr:row>11</xdr:row>
      <xdr:rowOff>78193</xdr:rowOff>
    </xdr:from>
    <xdr:to>
      <xdr:col>17</xdr:col>
      <xdr:colOff>0</xdr:colOff>
      <xdr:row>15</xdr:row>
      <xdr:rowOff>60960</xdr:rowOff>
    </xdr:to>
    <mc:AlternateContent xmlns:mc="http://schemas.openxmlformats.org/markup-compatibility/2006">
      <mc:Choice xmlns:a14="http://schemas.microsoft.com/office/drawing/2010/main" Requires="a14">
        <xdr:graphicFrame macro="">
          <xdr:nvGraphicFramePr>
            <xdr:cNvPr id="11" name="Gender 1">
              <a:extLst>
                <a:ext uri="{FF2B5EF4-FFF2-40B4-BE49-F238E27FC236}">
                  <a16:creationId xmlns:a16="http://schemas.microsoft.com/office/drawing/2014/main" id="{9F73D014-DFF6-4F53-9A84-2604710111C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869394" y="2021293"/>
              <a:ext cx="1806226" cy="714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8830</xdr:colOff>
      <xdr:row>3</xdr:row>
      <xdr:rowOff>178035</xdr:rowOff>
    </xdr:from>
    <xdr:to>
      <xdr:col>8</xdr:col>
      <xdr:colOff>60960</xdr:colOff>
      <xdr:row>15</xdr:row>
      <xdr:rowOff>68580</xdr:rowOff>
    </xdr:to>
    <mc:AlternateContent xmlns:mc="http://schemas.openxmlformats.org/markup-compatibility/2006">
      <mc:Choice xmlns:tsle="http://schemas.microsoft.com/office/drawing/2012/timeslicer" Requires="tsle">
        <xdr:graphicFrame macro="">
          <xdr:nvGraphicFramePr>
            <xdr:cNvPr id="12" name="Training_Date 1">
              <a:extLst>
                <a:ext uri="{FF2B5EF4-FFF2-40B4-BE49-F238E27FC236}">
                  <a16:creationId xmlns:a16="http://schemas.microsoft.com/office/drawing/2014/main" id="{4C3A378F-F15A-407F-A924-EFFBD2FB0147}"/>
                </a:ext>
              </a:extLst>
            </xdr:cNvPr>
            <xdr:cNvGraphicFramePr/>
          </xdr:nvGraphicFramePr>
          <xdr:xfrm>
            <a:off x="0" y="0"/>
            <a:ext cx="0" cy="0"/>
          </xdr:xfrm>
          <a:graphic>
            <a:graphicData uri="http://schemas.microsoft.com/office/drawing/2012/timeslicer">
              <tsle:timeslicer xmlns:tsle="http://schemas.microsoft.com/office/drawing/2012/timeslicer" name="Training_Date 1"/>
            </a:graphicData>
          </a:graphic>
        </xdr:graphicFrame>
      </mc:Choice>
      <mc:Fallback>
        <xdr:sp macro="" textlink="">
          <xdr:nvSpPr>
            <xdr:cNvPr id="0" name=""/>
            <xdr:cNvSpPr>
              <a:spLocks noTextEdit="1"/>
            </xdr:cNvSpPr>
          </xdr:nvSpPr>
          <xdr:spPr>
            <a:xfrm>
              <a:off x="123130" y="726675"/>
              <a:ext cx="6140510" cy="20165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22860</xdr:colOff>
      <xdr:row>0</xdr:row>
      <xdr:rowOff>121920</xdr:rowOff>
    </xdr:from>
    <xdr:to>
      <xdr:col>21</xdr:col>
      <xdr:colOff>601980</xdr:colOff>
      <xdr:row>3</xdr:row>
      <xdr:rowOff>83820</xdr:rowOff>
    </xdr:to>
    <xdr:sp macro="" textlink="">
      <xdr:nvSpPr>
        <xdr:cNvPr id="13" name="Rectangle: Rounded Corners 12">
          <a:extLst>
            <a:ext uri="{FF2B5EF4-FFF2-40B4-BE49-F238E27FC236}">
              <a16:creationId xmlns:a16="http://schemas.microsoft.com/office/drawing/2014/main" id="{6A8A96F5-3661-1051-B935-7F843B367766}"/>
            </a:ext>
          </a:extLst>
        </xdr:cNvPr>
        <xdr:cNvSpPr/>
      </xdr:nvSpPr>
      <xdr:spPr>
        <a:xfrm>
          <a:off x="137160" y="121920"/>
          <a:ext cx="13159740" cy="510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Aptos Black" panose="020B0004020202020204" pitchFamily="34" charset="0"/>
            </a:rPr>
            <a:t>TRAINING TRACKING</a:t>
          </a:r>
          <a:r>
            <a:rPr lang="en-US" sz="2800" b="1" baseline="0">
              <a:latin typeface="Aptos Black" panose="020B0004020202020204" pitchFamily="34" charset="0"/>
            </a:rPr>
            <a:t> </a:t>
          </a:r>
          <a:r>
            <a:rPr lang="fr-FR" sz="2800" b="1" baseline="0">
              <a:latin typeface="Aptos Black" panose="020B0004020202020204" pitchFamily="34" charset="0"/>
            </a:rPr>
            <a:t>DASHBOARD </a:t>
          </a:r>
          <a:endParaRPr lang="en-US" sz="2800" b="1">
            <a:latin typeface="Aptos Black" panose="020B00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7620</xdr:colOff>
      <xdr:row>16</xdr:row>
      <xdr:rowOff>171450</xdr:rowOff>
    </xdr:from>
    <xdr:to>
      <xdr:col>12</xdr:col>
      <xdr:colOff>15240</xdr:colOff>
      <xdr:row>31</xdr:row>
      <xdr:rowOff>175260</xdr:rowOff>
    </xdr:to>
    <xdr:graphicFrame macro="">
      <xdr:nvGraphicFramePr>
        <xdr:cNvPr id="2" name="Chart 1">
          <a:extLst>
            <a:ext uri="{FF2B5EF4-FFF2-40B4-BE49-F238E27FC236}">
              <a16:creationId xmlns:a16="http://schemas.microsoft.com/office/drawing/2014/main" id="{DD1C44B4-FDEB-D08E-C2A3-5C8B68D36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579120</xdr:colOff>
      <xdr:row>33</xdr:row>
      <xdr:rowOff>148590</xdr:rowOff>
    </xdr:from>
    <xdr:to>
      <xdr:col>10</xdr:col>
      <xdr:colOff>579120</xdr:colOff>
      <xdr:row>48</xdr:row>
      <xdr:rowOff>152400</xdr:rowOff>
    </xdr:to>
    <xdr:graphicFrame macro="">
      <xdr:nvGraphicFramePr>
        <xdr:cNvPr id="3" name="Chart 2">
          <a:extLst>
            <a:ext uri="{FF2B5EF4-FFF2-40B4-BE49-F238E27FC236}">
              <a16:creationId xmlns:a16="http://schemas.microsoft.com/office/drawing/2014/main" id="{40B0E2C5-B4B3-5D34-EB43-8F17E510A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594360</xdr:colOff>
      <xdr:row>50</xdr:row>
      <xdr:rowOff>175260</xdr:rowOff>
    </xdr:from>
    <xdr:to>
      <xdr:col>12</xdr:col>
      <xdr:colOff>594360</xdr:colOff>
      <xdr:row>73</xdr:row>
      <xdr:rowOff>167640</xdr:rowOff>
    </xdr:to>
    <xdr:graphicFrame macro="">
      <xdr:nvGraphicFramePr>
        <xdr:cNvPr id="4" name="Chart 3">
          <a:extLst>
            <a:ext uri="{FF2B5EF4-FFF2-40B4-BE49-F238E27FC236}">
              <a16:creationId xmlns:a16="http://schemas.microsoft.com/office/drawing/2014/main" id="{97E45EA2-DE67-FA77-8B59-0A7545C4A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533400</xdr:colOff>
      <xdr:row>75</xdr:row>
      <xdr:rowOff>144780</xdr:rowOff>
    </xdr:from>
    <xdr:to>
      <xdr:col>12</xdr:col>
      <xdr:colOff>518160</xdr:colOff>
      <xdr:row>90</xdr:row>
      <xdr:rowOff>175260</xdr:rowOff>
    </xdr:to>
    <xdr:graphicFrame macro="">
      <xdr:nvGraphicFramePr>
        <xdr:cNvPr id="5" name="Chart 4">
          <a:extLst>
            <a:ext uri="{FF2B5EF4-FFF2-40B4-BE49-F238E27FC236}">
              <a16:creationId xmlns:a16="http://schemas.microsoft.com/office/drawing/2014/main" id="{0764E112-1A9A-B3B9-37E8-56E1F75231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472440</xdr:colOff>
      <xdr:row>75</xdr:row>
      <xdr:rowOff>137160</xdr:rowOff>
    </xdr:from>
    <xdr:to>
      <xdr:col>19</xdr:col>
      <xdr:colOff>312420</xdr:colOff>
      <xdr:row>90</xdr:row>
      <xdr:rowOff>137160</xdr:rowOff>
    </xdr:to>
    <xdr:graphicFrame macro="">
      <xdr:nvGraphicFramePr>
        <xdr:cNvPr id="6" name="Chart 5">
          <a:extLst>
            <a:ext uri="{FF2B5EF4-FFF2-40B4-BE49-F238E27FC236}">
              <a16:creationId xmlns:a16="http://schemas.microsoft.com/office/drawing/2014/main" id="{5EF6490B-061F-1D7E-9F0C-97272AB77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777240</xdr:colOff>
      <xdr:row>10</xdr:row>
      <xdr:rowOff>15241</xdr:rowOff>
    </xdr:from>
    <xdr:to>
      <xdr:col>7</xdr:col>
      <xdr:colOff>289560</xdr:colOff>
      <xdr:row>17</xdr:row>
      <xdr:rowOff>167641</xdr:rowOff>
    </xdr:to>
    <mc:AlternateContent xmlns:mc="http://schemas.openxmlformats.org/markup-compatibility/2006" xmlns:a14="http://schemas.microsoft.com/office/drawing/2010/main">
      <mc:Choice Requires="a14">
        <xdr:graphicFrame macro="">
          <xdr:nvGraphicFramePr>
            <xdr:cNvPr id="7" name="Training_Provider">
              <a:extLst>
                <a:ext uri="{FF2B5EF4-FFF2-40B4-BE49-F238E27FC236}">
                  <a16:creationId xmlns:a16="http://schemas.microsoft.com/office/drawing/2014/main" id="{AFC81F3D-74AA-8A93-9334-CAC67809FBD7}"/>
                </a:ext>
              </a:extLst>
            </xdr:cNvPr>
            <xdr:cNvGraphicFramePr/>
          </xdr:nvGraphicFramePr>
          <xdr:xfrm>
            <a:off x="0" y="0"/>
            <a:ext cx="0" cy="0"/>
          </xdr:xfrm>
          <a:graphic>
            <a:graphicData uri="http://schemas.microsoft.com/office/drawing/2010/slicer">
              <sle:slicer xmlns:sle="http://schemas.microsoft.com/office/drawing/2010/slicer" name="Training_Provider"/>
            </a:graphicData>
          </a:graphic>
        </xdr:graphicFrame>
      </mc:Choice>
      <mc:Fallback xmlns="">
        <xdr:sp macro="" textlink="">
          <xdr:nvSpPr>
            <xdr:cNvPr id="0" name=""/>
            <xdr:cNvSpPr>
              <a:spLocks noTextEdit="1"/>
            </xdr:cNvSpPr>
          </xdr:nvSpPr>
          <xdr:spPr>
            <a:xfrm>
              <a:off x="4411980" y="1844041"/>
              <a:ext cx="1828800"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10</xdr:row>
      <xdr:rowOff>1</xdr:rowOff>
    </xdr:from>
    <xdr:to>
      <xdr:col>8</xdr:col>
      <xdr:colOff>1082040</xdr:colOff>
      <xdr:row>17</xdr:row>
      <xdr:rowOff>1</xdr:rowOff>
    </xdr:to>
    <mc:AlternateContent xmlns:mc="http://schemas.openxmlformats.org/markup-compatibility/2006" xmlns:a14="http://schemas.microsoft.com/office/drawing/2010/main">
      <mc:Choice Requires="a14">
        <xdr:graphicFrame macro="">
          <xdr:nvGraphicFramePr>
            <xdr:cNvPr id="8" name="Training_Status">
              <a:extLst>
                <a:ext uri="{FF2B5EF4-FFF2-40B4-BE49-F238E27FC236}">
                  <a16:creationId xmlns:a16="http://schemas.microsoft.com/office/drawing/2014/main" id="{F2896CC2-C9C2-78A1-65E7-C42F8B5ED72F}"/>
                </a:ext>
              </a:extLst>
            </xdr:cNvPr>
            <xdr:cNvGraphicFramePr/>
          </xdr:nvGraphicFramePr>
          <xdr:xfrm>
            <a:off x="0" y="0"/>
            <a:ext cx="0" cy="0"/>
          </xdr:xfrm>
          <a:graphic>
            <a:graphicData uri="http://schemas.microsoft.com/office/drawing/2010/slicer">
              <sle:slicer xmlns:sle="http://schemas.microsoft.com/office/drawing/2010/slicer" name="Training_Status"/>
            </a:graphicData>
          </a:graphic>
        </xdr:graphicFrame>
      </mc:Choice>
      <mc:Fallback xmlns="">
        <xdr:sp macro="" textlink="">
          <xdr:nvSpPr>
            <xdr:cNvPr id="0" name=""/>
            <xdr:cNvSpPr>
              <a:spLocks noTextEdit="1"/>
            </xdr:cNvSpPr>
          </xdr:nvSpPr>
          <xdr:spPr>
            <a:xfrm>
              <a:off x="7162800" y="1828801"/>
              <a:ext cx="108204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1051560</xdr:colOff>
      <xdr:row>1</xdr:row>
      <xdr:rowOff>137160</xdr:rowOff>
    </xdr:from>
    <xdr:to>
      <xdr:col>7</xdr:col>
      <xdr:colOff>563880</xdr:colOff>
      <xdr:row>21</xdr:row>
      <xdr:rowOff>45720</xdr:rowOff>
    </xdr:to>
    <mc:AlternateContent xmlns:mc="http://schemas.openxmlformats.org/markup-compatibility/2006" xmlns:a14="http://schemas.microsoft.com/office/drawing/2010/main">
      <mc:Choice Requires="a14">
        <xdr:graphicFrame macro="">
          <xdr:nvGraphicFramePr>
            <xdr:cNvPr id="9" name="Training_Title">
              <a:extLst>
                <a:ext uri="{FF2B5EF4-FFF2-40B4-BE49-F238E27FC236}">
                  <a16:creationId xmlns:a16="http://schemas.microsoft.com/office/drawing/2014/main" id="{22FFF896-846B-8278-61DC-1EBC05DB2A46}"/>
                </a:ext>
              </a:extLst>
            </xdr:cNvPr>
            <xdr:cNvGraphicFramePr/>
          </xdr:nvGraphicFramePr>
          <xdr:xfrm>
            <a:off x="0" y="0"/>
            <a:ext cx="0" cy="0"/>
          </xdr:xfrm>
          <a:graphic>
            <a:graphicData uri="http://schemas.microsoft.com/office/drawing/2010/slicer">
              <sle:slicer xmlns:sle="http://schemas.microsoft.com/office/drawing/2010/slicer" name="Training_Title"/>
            </a:graphicData>
          </a:graphic>
        </xdr:graphicFrame>
      </mc:Choice>
      <mc:Fallback xmlns="">
        <xdr:sp macro="" textlink="">
          <xdr:nvSpPr>
            <xdr:cNvPr id="0" name=""/>
            <xdr:cNvSpPr>
              <a:spLocks noTextEdit="1"/>
            </xdr:cNvSpPr>
          </xdr:nvSpPr>
          <xdr:spPr>
            <a:xfrm>
              <a:off x="4686300" y="320040"/>
              <a:ext cx="1828800" cy="3566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982980</xdr:colOff>
      <xdr:row>15</xdr:row>
      <xdr:rowOff>22860</xdr:rowOff>
    </xdr:from>
    <xdr:to>
      <xdr:col>11</xdr:col>
      <xdr:colOff>220980</xdr:colOff>
      <xdr:row>28</xdr:row>
      <xdr:rowOff>112395</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C5ABB42A-FE2C-8A11-7343-56CE22F9A7A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145780" y="2766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10</xdr:row>
      <xdr:rowOff>0</xdr:rowOff>
    </xdr:from>
    <xdr:to>
      <xdr:col>12</xdr:col>
      <xdr:colOff>175260</xdr:colOff>
      <xdr:row>13</xdr:row>
      <xdr:rowOff>68579</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63EE6181-4761-E9A1-4A79-F7B896715F8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151620" y="1828800"/>
              <a:ext cx="1386840" cy="617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510540</xdr:colOff>
      <xdr:row>0</xdr:row>
      <xdr:rowOff>137160</xdr:rowOff>
    </xdr:from>
    <xdr:to>
      <xdr:col>4</xdr:col>
      <xdr:colOff>213360</xdr:colOff>
      <xdr:row>8</xdr:row>
      <xdr:rowOff>45720</xdr:rowOff>
    </xdr:to>
    <mc:AlternateContent xmlns:mc="http://schemas.openxmlformats.org/markup-compatibility/2006" xmlns:tsle="http://schemas.microsoft.com/office/drawing/2012/timeslicer">
      <mc:Choice Requires="tsle">
        <xdr:graphicFrame macro="">
          <xdr:nvGraphicFramePr>
            <xdr:cNvPr id="12" name="Training_Date">
              <a:extLst>
                <a:ext uri="{FF2B5EF4-FFF2-40B4-BE49-F238E27FC236}">
                  <a16:creationId xmlns:a16="http://schemas.microsoft.com/office/drawing/2014/main" id="{F5ACD1C2-E550-6D9D-3434-FECD290AAEC0}"/>
                </a:ext>
              </a:extLst>
            </xdr:cNvPr>
            <xdr:cNvGraphicFramePr/>
          </xdr:nvGraphicFramePr>
          <xdr:xfrm>
            <a:off x="0" y="0"/>
            <a:ext cx="0" cy="0"/>
          </xdr:xfrm>
          <a:graphic>
            <a:graphicData uri="http://schemas.microsoft.com/office/drawing/2012/timeslicer">
              <tsle:timeslicer name="Training_Date"/>
            </a:graphicData>
          </a:graphic>
        </xdr:graphicFrame>
      </mc:Choice>
      <mc:Fallback xmlns="">
        <xdr:sp macro="" textlink="">
          <xdr:nvSpPr>
            <xdr:cNvPr id="0" name=""/>
            <xdr:cNvSpPr>
              <a:spLocks noTextEdit="1"/>
            </xdr:cNvSpPr>
          </xdr:nvSpPr>
          <xdr:spPr>
            <a:xfrm>
              <a:off x="510540" y="13716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09.504410532405" backgroundQuery="1" createdVersion="8" refreshedVersion="8" minRefreshableVersion="3" recordCount="0" supportSubquery="1" supportAdvancedDrill="1" xr:uid="{0AE8DA0A-25F8-44A8-8877-51FBFA9D06D1}">
  <cacheSource type="external" connectionId="1"/>
  <cacheFields count="5">
    <cacheField name="[TTrainingSource].[Employee_ID].[Employee_ID]" caption="Employee_ID" numFmtId="0" hierarchy="12" level="1">
      <sharedItems count="607">
        <s v="EMP10000"/>
        <s v="EMP10001"/>
        <s v="EMP10002"/>
        <s v="EMP10003"/>
        <s v="EMP10004"/>
        <s v="EMP10005"/>
        <s v="EMP10006"/>
        <s v="EMP10007"/>
        <s v="EMP10008"/>
        <s v="EMP10010"/>
        <s v="EMP10011"/>
        <s v="EMP10012"/>
        <s v="EMP10013"/>
        <s v="EMP10015"/>
        <s v="EMP10016"/>
        <s v="EMP10017"/>
        <s v="EMP10019"/>
        <s v="EMP10020"/>
        <s v="EMP10021"/>
        <s v="EMP10023"/>
        <s v="EMP10024"/>
        <s v="EMP10025"/>
        <s v="EMP10027"/>
        <s v="EMP10028"/>
        <s v="EMP10029"/>
        <s v="EMP10030"/>
        <s v="EMP10031"/>
        <s v="EMP10032"/>
        <s v="EMP10035"/>
        <s v="EMP10036"/>
        <s v="EMP10037"/>
        <s v="EMP10038"/>
        <s v="EMP10039"/>
        <s v="EMP10041"/>
        <s v="EMP10042"/>
        <s v="EMP10044"/>
        <s v="EMP10045"/>
        <s v="EMP10046"/>
        <s v="EMP10047"/>
        <s v="EMP10048"/>
        <s v="EMP10049"/>
        <s v="EMP10050"/>
        <s v="EMP10051"/>
        <s v="EMP10052"/>
        <s v="EMP10053"/>
        <s v="EMP10054"/>
        <s v="EMP10055"/>
        <s v="EMP10056"/>
        <s v="EMP10057"/>
        <s v="EMP10058"/>
        <s v="EMP10059"/>
        <s v="EMP10060"/>
        <s v="EMP10061"/>
        <s v="EMP10062"/>
        <s v="EMP10063"/>
        <s v="EMP10064"/>
        <s v="EMP10065"/>
        <s v="EMP10066"/>
        <s v="EMP10068"/>
        <s v="EMP10069"/>
        <s v="EMP10070"/>
        <s v="EMP10071"/>
        <s v="EMP10072"/>
        <s v="EMP10073"/>
        <s v="EMP10074"/>
        <s v="EMP10075"/>
        <s v="EMP10076"/>
        <s v="EMP10077"/>
        <s v="EMP10078"/>
        <s v="EMP10079"/>
        <s v="EMP10080"/>
        <s v="EMP10081"/>
        <s v="EMP10082"/>
        <s v="EMP10083"/>
        <s v="EMP10084"/>
        <s v="EMP10086"/>
        <s v="EMP10087"/>
        <s v="EMP10090"/>
        <s v="EMP10091"/>
        <s v="EMP10092"/>
        <s v="EMP10093"/>
        <s v="EMP10094"/>
        <s v="EMP10095"/>
        <s v="EMP10096"/>
        <s v="EMP10097"/>
        <s v="EMP10098"/>
        <s v="EMP10099"/>
        <s v="EMP10101"/>
        <s v="EMP10102"/>
        <s v="EMP10103"/>
        <s v="EMP10104"/>
        <s v="EMP10105"/>
        <s v="EMP10106"/>
        <s v="EMP10107"/>
        <s v="EMP10108"/>
        <s v="EMP10109"/>
        <s v="EMP10110"/>
        <s v="EMP10111"/>
        <s v="EMP10112"/>
        <s v="EMP10113"/>
        <s v="EMP10114"/>
        <s v="EMP10115"/>
        <s v="EMP10117"/>
        <s v="EMP10118"/>
        <s v="EMP10119"/>
        <s v="EMP10120"/>
        <s v="EMP10121"/>
        <s v="EMP10122"/>
        <s v="EMP10123"/>
        <s v="EMP10124"/>
        <s v="EMP10126"/>
        <s v="EMP10127"/>
        <s v="EMP10128"/>
        <s v="EMP10129"/>
        <s v="EMP10130"/>
        <s v="EMP10131"/>
        <s v="EMP10132"/>
        <s v="EMP10133"/>
        <s v="EMP10134"/>
        <s v="EMP10135"/>
        <s v="EMP10136"/>
        <s v="EMP10137"/>
        <s v="EMP10138"/>
        <s v="EMP10139"/>
        <s v="EMP10140"/>
        <s v="EMP10142"/>
        <s v="EMP10143"/>
        <s v="EMP10144"/>
        <s v="EMP10145"/>
        <s v="EMP10146"/>
        <s v="EMP10148"/>
        <s v="EMP10149"/>
        <s v="EMP10150"/>
        <s v="EMP10151"/>
        <s v="EMP10152"/>
        <s v="EMP10154"/>
        <s v="EMP10155"/>
        <s v="EMP10156"/>
        <s v="EMP10158"/>
        <s v="EMP10159"/>
        <s v="EMP10160"/>
        <s v="EMP10161"/>
        <s v="EMP10162"/>
        <s v="EMP10164"/>
        <s v="EMP10165"/>
        <s v="EMP10166"/>
        <s v="EMP10167"/>
        <s v="EMP10168"/>
        <s v="EMP10170"/>
        <s v="EMP10171"/>
        <s v="EMP10172"/>
        <s v="EMP10173"/>
        <s v="EMP10174"/>
        <s v="EMP10175"/>
        <s v="EMP10177"/>
        <s v="EMP10178"/>
        <s v="EMP10179"/>
        <s v="EMP10180"/>
        <s v="EMP10181"/>
        <s v="EMP10182"/>
        <s v="EMP10183"/>
        <s v="EMP10186"/>
        <s v="EMP10187"/>
        <s v="EMP10188"/>
        <s v="EMP10189"/>
        <s v="EMP10190"/>
        <s v="EMP10191"/>
        <s v="EMP10192"/>
        <s v="EMP10193"/>
        <s v="EMP10194"/>
        <s v="EMP10195"/>
        <s v="EMP10197"/>
        <s v="EMP10198"/>
        <s v="EMP10199"/>
        <s v="EMP10200"/>
        <s v="EMP10201"/>
        <s v="EMP10203"/>
        <s v="EMP10204"/>
        <s v="EMP10205"/>
        <s v="EMP10206"/>
        <s v="EMP10207"/>
        <s v="EMP10208"/>
        <s v="EMP10209"/>
        <s v="EMP10210"/>
        <s v="EMP10211"/>
        <s v="EMP10212"/>
        <s v="EMP10213"/>
        <s v="EMP10214"/>
        <s v="EMP10215"/>
        <s v="EMP10216"/>
        <s v="EMP10217"/>
        <s v="EMP10218"/>
        <s v="EMP10219"/>
        <s v="EMP10220"/>
        <s v="EMP10221"/>
        <s v="EMP10222"/>
        <s v="EMP10223"/>
        <s v="EMP10224"/>
        <s v="EMP10225"/>
        <s v="EMP10226"/>
        <s v="EMP10227"/>
        <s v="EMP10228"/>
        <s v="EMP10229"/>
        <s v="EMP10230"/>
        <s v="EMP10231"/>
        <s v="EMP10232"/>
        <s v="EMP10233"/>
        <s v="EMP10234"/>
        <s v="EMP10236"/>
        <s v="EMP10237"/>
        <s v="EMP10238"/>
        <s v="EMP10239"/>
        <s v="EMP10240"/>
        <s v="EMP10241"/>
        <s v="EMP10242"/>
        <s v="EMP10243"/>
        <s v="EMP10244"/>
        <s v="EMP10245"/>
        <s v="EMP10246"/>
        <s v="EMP10247"/>
        <s v="EMP10248"/>
        <s v="EMP10250"/>
        <s v="EMP10251"/>
        <s v="EMP10252"/>
        <s v="EMP10253"/>
        <s v="EMP10254"/>
        <s v="EMP10255"/>
        <s v="EMP10256"/>
        <s v="EMP10257"/>
        <s v="EMP10258"/>
        <s v="EMP10259"/>
        <s v="EMP10260"/>
        <s v="EMP10261"/>
        <s v="EMP10262"/>
        <s v="EMP10264"/>
        <s v="EMP10265"/>
        <s v="EMP10267"/>
        <s v="EMP10268"/>
        <s v="EMP10269"/>
        <s v="EMP10272"/>
        <s v="EMP10273"/>
        <s v="EMP10274"/>
        <s v="EMP10275"/>
        <s v="EMP10277"/>
        <s v="EMP10279"/>
        <s v="EMP10280"/>
        <s v="EMP10282"/>
        <s v="EMP10284"/>
        <s v="EMP10285"/>
        <s v="EMP10286"/>
        <s v="EMP10287"/>
        <s v="EMP10288"/>
        <s v="EMP10289"/>
        <s v="EMP10290"/>
        <s v="EMP10291"/>
        <s v="EMP10292"/>
        <s v="EMP10293"/>
        <s v="EMP10294"/>
        <s v="EMP10295"/>
        <s v="EMP10297"/>
        <s v="EMP10298"/>
        <s v="EMP10299"/>
        <s v="EMP10300"/>
        <s v="EMP10301"/>
        <s v="EMP10302"/>
        <s v="EMP10303"/>
        <s v="EMP10304"/>
        <s v="EMP10305"/>
        <s v="EMP10306"/>
        <s v="EMP10307"/>
        <s v="EMP10308"/>
        <s v="EMP10309"/>
        <s v="EMP10310"/>
        <s v="EMP10311"/>
        <s v="EMP10312"/>
        <s v="EMP10313"/>
        <s v="EMP10314"/>
        <s v="EMP10315"/>
        <s v="EMP10316"/>
        <s v="EMP10317"/>
        <s v="EMP10318"/>
        <s v="EMP10319"/>
        <s v="EMP10320"/>
        <s v="EMP10321"/>
        <s v="EMP10322"/>
        <s v="EMP10323"/>
        <s v="EMP10324"/>
        <s v="EMP10325"/>
        <s v="EMP10326"/>
        <s v="EMP10328"/>
        <s v="EMP10329"/>
        <s v="EMP10330"/>
        <s v="EMP10331"/>
        <s v="EMP10332"/>
        <s v="EMP10333"/>
        <s v="EMP10334"/>
        <s v="EMP10335"/>
        <s v="EMP10337"/>
        <s v="EMP10338"/>
        <s v="EMP10339"/>
        <s v="EMP10340"/>
        <s v="EMP10341"/>
        <s v="EMP10342"/>
        <s v="EMP10344"/>
        <s v="EMP10345"/>
        <s v="EMP10346"/>
        <s v="EMP10348"/>
        <s v="EMP10349"/>
        <s v="EMP10350"/>
        <s v="EMP10351"/>
        <s v="EMP10352"/>
        <s v="EMP10354"/>
        <s v="EMP10355"/>
        <s v="EMP10356"/>
        <s v="EMP10357"/>
        <s v="EMP10358"/>
        <s v="EMP10359"/>
        <s v="EMP10360"/>
        <s v="EMP10361"/>
        <s v="EMP10362"/>
        <s v="EMP10364"/>
        <s v="EMP10365"/>
        <s v="EMP10366"/>
        <s v="EMP10367"/>
        <s v="EMP10368"/>
        <s v="EMP10370"/>
        <s v="EMP10372"/>
        <s v="EMP10373"/>
        <s v="EMP10374"/>
        <s v="EMP10375"/>
        <s v="EMP10376"/>
        <s v="EMP10377"/>
        <s v="EMP10378"/>
        <s v="EMP10379"/>
        <s v="EMP10380"/>
        <s v="EMP10381"/>
        <s v="EMP10383"/>
        <s v="EMP10384"/>
        <s v="EMP10385"/>
        <s v="EMP10386"/>
        <s v="EMP10387"/>
        <s v="EMP10388"/>
        <s v="EMP10389"/>
        <s v="EMP10390"/>
        <s v="EMP10391"/>
        <s v="EMP10392"/>
        <s v="EMP10393"/>
        <s v="EMP10394"/>
        <s v="EMP10395"/>
        <s v="EMP10397"/>
        <s v="EMP10398"/>
        <s v="EMP10399"/>
        <s v="EMP10401"/>
        <s v="EMP10402"/>
        <s v="EMP10404"/>
        <s v="EMP10405"/>
        <s v="EMP10406"/>
        <s v="EMP10407"/>
        <s v="EMP10408"/>
        <s v="EMP10410"/>
        <s v="EMP10411"/>
        <s v="EMP10412"/>
        <s v="EMP10413"/>
        <s v="EMP10414"/>
        <s v="EMP10415"/>
        <s v="EMP10416"/>
        <s v="EMP10417"/>
        <s v="EMP10418"/>
        <s v="EMP10419"/>
        <s v="EMP10420"/>
        <s v="EMP10421"/>
        <s v="EMP10422"/>
        <s v="EMP10423"/>
        <s v="EMP10426"/>
        <s v="EMP10427"/>
        <s v="EMP10428"/>
        <s v="EMP10429"/>
        <s v="EMP10430"/>
        <s v="EMP10431"/>
        <s v="EMP10432"/>
        <s v="EMP10433"/>
        <s v="EMP10434"/>
        <s v="EMP10435"/>
        <s v="EMP10436"/>
        <s v="EMP10437"/>
        <s v="EMP10439"/>
        <s v="EMP10440"/>
        <s v="EMP10441"/>
        <s v="EMP10442"/>
        <s v="EMP10443"/>
        <s v="EMP10444"/>
        <s v="EMP10445"/>
        <s v="EMP10446"/>
        <s v="EMP10447"/>
        <s v="EMP10448"/>
        <s v="EMP10449"/>
        <s v="EMP10450"/>
        <s v="EMP10451"/>
        <s v="EMP10452"/>
        <s v="EMP10454"/>
        <s v="EMP10455"/>
        <s v="EMP10456"/>
        <s v="EMP10458"/>
        <s v="EMP10459"/>
        <s v="EMP10460"/>
        <s v="EMP10461"/>
        <s v="EMP10462"/>
        <s v="EMP10463"/>
        <s v="EMP10464"/>
        <s v="EMP10467"/>
        <s v="EMP10468"/>
        <s v="EMP10469"/>
        <s v="EMP10470"/>
        <s v="EMP10471"/>
        <s v="EMP10472"/>
        <s v="EMP10473"/>
        <s v="EMP10475"/>
        <s v="EMP10477"/>
        <s v="EMP10479"/>
        <s v="EMP10481"/>
        <s v="EMP10482"/>
        <s v="EMP10483"/>
        <s v="EMP10484"/>
        <s v="EMP10485"/>
        <s v="EMP10486"/>
        <s v="EMP10487"/>
        <s v="EMP10488"/>
        <s v="EMP10489"/>
        <s v="EMP10490"/>
        <s v="EMP10491"/>
        <s v="EMP10492"/>
        <s v="EMP10493"/>
        <s v="EMP10494"/>
        <s v="EMP10496"/>
        <s v="EMP10497"/>
        <s v="EMP10498"/>
        <s v="EMP10499"/>
        <s v="EMP10501"/>
        <s v="EMP10502"/>
        <s v="EMP10503"/>
        <s v="EMP10504"/>
        <s v="EMP10505"/>
        <s v="EMP10506"/>
        <s v="EMP10507"/>
        <s v="EMP10509"/>
        <s v="EMP10510"/>
        <s v="EMP10511"/>
        <s v="EMP10512"/>
        <s v="EMP10513"/>
        <s v="EMP10515"/>
        <s v="EMP10516"/>
        <s v="EMP10517"/>
        <s v="EMP10518"/>
        <s v="EMP10519"/>
        <s v="EMP10521"/>
        <s v="EMP10522"/>
        <s v="EMP10523"/>
        <s v="EMP10524"/>
        <s v="EMP10525"/>
        <s v="EMP10526"/>
        <s v="EMP10527"/>
        <s v="EMP10528"/>
        <s v="EMP10529"/>
        <s v="EMP10530"/>
        <s v="EMP10531"/>
        <s v="EMP10532"/>
        <s v="EMP10534"/>
        <s v="EMP10535"/>
        <s v="EMP10536"/>
        <s v="EMP10537"/>
        <s v="EMP10538"/>
        <s v="EMP10539"/>
        <s v="EMP10540"/>
        <s v="EMP10541"/>
        <s v="EMP10542"/>
        <s v="EMP10543"/>
        <s v="EMP10545"/>
        <s v="EMP10547"/>
        <s v="EMP10548"/>
        <s v="EMP10549"/>
        <s v="EMP10551"/>
        <s v="EMP10552"/>
        <s v="EMP10553"/>
        <s v="EMP10554"/>
        <s v="EMP10555"/>
        <s v="EMP10557"/>
        <s v="EMP10558"/>
        <s v="EMP10559"/>
        <s v="EMP10560"/>
        <s v="EMP10561"/>
        <s v="EMP10562"/>
        <s v="EMP10563"/>
        <s v="EMP10565"/>
        <s v="EMP10566"/>
        <s v="EMP10567"/>
        <s v="EMP10570"/>
        <s v="EMP10571"/>
        <s v="EMP10572"/>
        <s v="EMP10574"/>
        <s v="EMP10575"/>
        <s v="EMP10576"/>
        <s v="EMP10578"/>
        <s v="EMP10579"/>
        <s v="EMP10581"/>
        <s v="EMP10582"/>
        <s v="EMP10583"/>
        <s v="EMP10584"/>
        <s v="EMP10585"/>
        <s v="EMP10586"/>
        <s v="EMP10587"/>
        <s v="EMP10588"/>
        <s v="EMP10589"/>
        <s v="EMP10591"/>
        <s v="EMP10592"/>
        <s v="EMP10593"/>
        <s v="EMP10594"/>
        <s v="EMP10595"/>
        <s v="EMP10596"/>
        <s v="EMP10597"/>
        <s v="EMP10598"/>
        <s v="EMP10599"/>
        <s v="EMP10600"/>
        <s v="EMP10601"/>
        <s v="EMP10602"/>
        <s v="EMP10603"/>
        <s v="EMP10604"/>
        <s v="EMP10605"/>
        <s v="EMP10607"/>
        <s v="EMP10609"/>
        <s v="EMP10612"/>
        <s v="EMP10613"/>
        <s v="EMP10614"/>
        <s v="EMP10615"/>
        <s v="EMP10616"/>
        <s v="EMP10617"/>
        <s v="EMP10618"/>
        <s v="EMP10619"/>
        <s v="EMP10620"/>
        <s v="EMP10621"/>
        <s v="EMP10622"/>
        <s v="EMP10623"/>
        <s v="EMP10624"/>
        <s v="EMP10625"/>
        <s v="EMP10626"/>
        <s v="EMP10628"/>
        <s v="EMP10629"/>
        <s v="EMP10630"/>
        <s v="EMP10631"/>
        <s v="EMP10632"/>
        <s v="EMP10634"/>
        <s v="EMP10636"/>
        <s v="EMP10637"/>
        <s v="EMP10638"/>
        <s v="EMP10639"/>
        <s v="EMP10640"/>
        <s v="EMP10641"/>
        <s v="EMP10642"/>
        <s v="EMP10643"/>
        <s v="EMP10645"/>
        <s v="EMP10646"/>
        <s v="EMP10647"/>
        <s v="EMP10648"/>
        <s v="EMP10649"/>
        <s v="EMP10650"/>
        <s v="EMP10651"/>
        <s v="EMP10652"/>
        <s v="EMP10653"/>
        <s v="EMP10654"/>
        <s v="EMP10655"/>
        <s v="EMP10656"/>
        <s v="EMP10657"/>
        <s v="EMP10660"/>
        <s v="EMP10662"/>
        <s v="EMP10663"/>
        <s v="EMP10664"/>
        <s v="EMP10665"/>
        <s v="EMP10666"/>
        <s v="EMP10667"/>
        <s v="EMP10669"/>
        <s v="EMP10670"/>
        <s v="EMP10672"/>
        <s v="EMP10673"/>
        <s v="EMP10674"/>
        <s v="EMP10675"/>
        <s v="EMP10676"/>
        <s v="EMP10677"/>
        <s v="EMP10678"/>
        <s v="EMP10679"/>
        <s v="EMP10680"/>
        <s v="EMP10681"/>
        <s v="EMP10682"/>
        <s v="EMP10683"/>
        <s v="EMP10684"/>
        <s v="EMP10685"/>
        <s v="EMP10686"/>
        <s v="EMP10687"/>
        <s v="EMP10689"/>
        <s v="EMP10690"/>
        <s v="EMP10691"/>
        <s v="EMP10692"/>
        <s v="EMP10693"/>
        <s v="EMP10694"/>
        <s v="EMP10695"/>
        <s v="EMP10696"/>
        <s v="EMP10697"/>
        <s v="EMP10698"/>
        <s v="EMP10699"/>
      </sharedItems>
    </cacheField>
    <cacheField name="[Measures].[Sum of Duration_Hours]" caption="Sum of Duration_Hours" numFmtId="0" hierarchy="35" level="32767"/>
    <cacheField name="[TTrainingSource].[Last_Name].[Last_Name]" caption="Last_Name" numFmtId="0" hierarchy="13" level="1">
      <sharedItems count="53">
        <s v="LEROY"/>
        <s v="GIRARD"/>
        <s v="JOHNSON"/>
        <s v="GARCIA"/>
        <s v="SMITH"/>
        <s v="TRAORE"/>
        <s v="CAMARA"/>
        <s v="MARTIN"/>
        <s v="JACKSON"/>
        <s v="SOW"/>
        <s v="RODRIGUEZ"/>
        <s v="HASSAN"/>
        <s v="JONES"/>
        <s v="FOURNIER"/>
        <s v="ANDERSON"/>
        <s v="WILSON"/>
        <s v="ALI"/>
        <s v="NGUYEN"/>
        <s v="MOORE"/>
        <s v="PATEL"/>
        <s v="CHEN"/>
        <s v="THOMAS"/>
        <s v="MILLER"/>
        <s v="MENSAH"/>
        <s v="DIALLO"/>
        <s v="PETIT"/>
        <s v="KONE"/>
        <s v="WILLIAMS"/>
        <s v="MARTINEZ"/>
        <s v="TOURE"/>
        <s v="ROUSSEAU"/>
        <s v="BALDE"/>
        <s v="LOPEZ"/>
        <s v="DIOP"/>
        <s v="MOREAU"/>
        <s v="GONZALEZ"/>
        <s v="DAVIS"/>
        <s v="KHAN"/>
        <s v="BROWN"/>
        <s v="MERCIER"/>
        <s v="LAURENT"/>
        <s v="TAYLOR"/>
        <s v="HERNANDEZ"/>
        <s v="SINGH"/>
        <s v=" CAMARA"/>
        <s v="IBRAHIM"/>
        <s v="ABDULLAH"/>
        <s v="KOUASSI"/>
        <s v="KIM"/>
        <s v="LEFEVRE"/>
        <s v="DUBOIS"/>
        <s v=" MARTINEZ"/>
        <s v=" WILSON"/>
      </sharedItems>
    </cacheField>
    <cacheField name="[TTrainingSource].[First_Name].[First_Name]" caption="First_Name" numFmtId="0" hierarchy="14" level="1">
      <sharedItems count="52">
        <s v="Ama"/>
        <s v="Kwame"/>
        <s v="Binta"/>
        <s v="Claire"/>
        <s v="Emily"/>
        <s v="Lucas"/>
        <s v="Akosua"/>
        <s v="Amina"/>
        <s v="Mia"/>
        <s v="Olivia"/>
        <s v="Layla"/>
        <s v="Kofi"/>
        <s v="Chinedu"/>
        <s v="Liam"/>
        <s v="Alexander"/>
        <s v="Evelyn"/>
        <s v="Nina"/>
        <s v="Ngozi"/>
        <s v="Abigail"/>
        <s v="Amelia"/>
        <s v="Zainab"/>
        <s v="Omar"/>
        <s v="Sophia"/>
        <s v="Julien"/>
        <s v="Nadia"/>
        <s v="Noah"/>
        <s v="Ibrahim"/>
        <s v="Charlotte"/>
        <s v="Ava"/>
        <s v="Antoine"/>
        <s v="Yusuf"/>
        <s v="Henry"/>
        <s v="Hugo"/>
        <s v="Camille"/>
        <s v="Paul"/>
        <s v="Yaw"/>
        <s v="Sophie"/>
        <s v="Emma"/>
        <s v="Hassan"/>
        <s v="Mariama"/>
        <s v="Khalid"/>
        <s v="Jean"/>
        <s v="Ada"/>
        <s v="Marie"/>
        <s v="Ethan"/>
        <s v="Harper"/>
        <s v="Isabella"/>
        <s v="Benjamin"/>
        <s v="Fatima"/>
        <s v="James"/>
        <s v=" Omar"/>
        <s v=" Abigail"/>
      </sharedItems>
    </cacheField>
    <cacheField name="[TDepartment].[Department].[Department]" caption="Department" numFmtId="0" level="1">
      <sharedItems containsSemiMixedTypes="0" containsNonDate="0" containsString="0"/>
    </cacheField>
  </cacheFields>
  <cacheHierarchies count="40">
    <cacheHierarchy uniqueName="[TDepartment].[Department]" caption="Department" attribute="1" defaultMemberUniqueName="[TDepartment].[Department].[All]" allUniqueName="[TDepartment].[Department].[All]" dimensionUniqueName="[TDepartment]" displayFolder="" count="2" memberValueDatatype="130" unbalanced="0">
      <fieldsUsage count="2">
        <fieldUsage x="-1"/>
        <fieldUsage x="4"/>
      </fieldsUsage>
    </cacheHierarchy>
    <cacheHierarchy uniqueName="[THrList].[Employee_ID]" caption="Employee_ID" attribute="1" defaultMemberUniqueName="[THrList].[Employee_ID].[All]" allUniqueName="[THrList].[Employee_ID].[All]" dimensionUniqueName="[THrList]" displayFolder="" count="0" memberValueDatatype="130" unbalanced="0"/>
    <cacheHierarchy uniqueName="[THrList].[Last_Name]" caption="Last_Name" attribute="1" defaultMemberUniqueName="[THrList].[Last_Name].[All]" allUniqueName="[THrList].[Last_Name].[All]" dimensionUniqueName="[THrList]" displayFolder="" count="0" memberValueDatatype="130" unbalanced="0"/>
    <cacheHierarchy uniqueName="[THrList].[Last_Name2]" caption="Last_Name2" attribute="1" defaultMemberUniqueName="[THrList].[Last_Name2].[All]" allUniqueName="[THrList].[Last_Name2].[All]" dimensionUniqueName="[THrList]" displayFolder="" count="0" memberValueDatatype="130" unbalanced="0"/>
    <cacheHierarchy uniqueName="[THrList].[First_Name]" caption="First_Name" attribute="1" defaultMemberUniqueName="[THrList].[First_Name].[All]" allUniqueName="[THrList].[First_Name].[All]" dimensionUniqueName="[THrList]" displayFolder="" count="0" memberValueDatatype="130" unbalanced="0"/>
    <cacheHierarchy uniqueName="[THrList].[Gender]" caption="Gender" attribute="1" defaultMemberUniqueName="[THrList].[Gender].[All]" allUniqueName="[THrList].[Gender].[All]" dimensionUniqueName="[THrList]" displayFolder="" count="2" memberValueDatatype="130" unbalanced="0"/>
    <cacheHierarchy uniqueName="[THrList].[Date_of_Birth]" caption="Date_of_Birth" attribute="1" time="1" defaultMemberUniqueName="[THrList].[Date_of_Birth].[All]" allUniqueName="[THrList].[Date_of_Birth].[All]" dimensionUniqueName="[THrList]" displayFolder="" count="0" memberValueDatatype="7" unbalanced="0"/>
    <cacheHierarchy uniqueName="[THrList].[Age]" caption="Age" attribute="1" defaultMemberUniqueName="[THrList].[Age].[All]" allUniqueName="[THrList].[Age].[All]" dimensionUniqueName="[THrList]" displayFolder="" count="0" memberValueDatatype="20" unbalanced="0"/>
    <cacheHierarchy uniqueName="[THrList].[Job_Level]" caption="Job_Level" attribute="1" defaultMemberUniqueName="[THrList].[Job_Level].[All]" allUniqueName="[THrList].[Job_Level].[All]" dimensionUniqueName="[THrList]" displayFolder="" count="0" memberValueDatatype="130" unbalanced="0"/>
    <cacheHierarchy uniqueName="[THrList].[Employment_Status]" caption="Employment_Status" attribute="1" defaultMemberUniqueName="[THrList].[Employment_Status].[All]" allUniqueName="[THrList].[Employment_Status].[All]" dimensionUniqueName="[THrList]" displayFolder="" count="0" memberValueDatatype="130" unbalanced="0"/>
    <cacheHierarchy uniqueName="[THrList].[Department]" caption="Department" attribute="1" defaultMemberUniqueName="[THrList].[Department].[All]" allUniqueName="[THrList].[Department].[All]" dimensionUniqueName="[THrList]" displayFolder="" count="2" memberValueDatatype="130" unbalanced="0"/>
    <cacheHierarchy uniqueName="[TTrainingSource].[EMPloyee_ID2]" caption="EMPloyee_ID2" attribute="1" defaultMemberUniqueName="[TTrainingSource].[EMPloyee_ID2].[All]" allUniqueName="[TTrainingSource].[EMPloyee_ID2].[All]" dimensionUniqueName="[TTrainingSource]" displayFolder="" count="0" memberValueDatatype="130" unbalanced="0"/>
    <cacheHierarchy uniqueName="[TTrainingSource].[Employee_ID]" caption="Employee_ID" attribute="1" defaultMemberUniqueName="[TTrainingSource].[Employee_ID].[All]" allUniqueName="[TTrainingSource].[Employee_ID].[All]" dimensionUniqueName="[TTrainingSource]" displayFolder="" count="2" memberValueDatatype="130" unbalanced="0">
      <fieldsUsage count="2">
        <fieldUsage x="-1"/>
        <fieldUsage x="0"/>
      </fieldsUsage>
    </cacheHierarchy>
    <cacheHierarchy uniqueName="[TTrainingSource].[Last_Name]" caption="Last_Name" attribute="1" defaultMemberUniqueName="[TTrainingSource].[Last_Name].[All]" allUniqueName="[TTrainingSource].[Last_Name].[All]" dimensionUniqueName="[TTrainingSource]" displayFolder="" count="2" memberValueDatatype="130" unbalanced="0">
      <fieldsUsage count="2">
        <fieldUsage x="-1"/>
        <fieldUsage x="2"/>
      </fieldsUsage>
    </cacheHierarchy>
    <cacheHierarchy uniqueName="[TTrainingSource].[First_Name]" caption="First_Name" attribute="1" defaultMemberUniqueName="[TTrainingSource].[First_Name].[All]" allUniqueName="[TTrainingSource].[First_Name].[All]" dimensionUniqueName="[TTrainingSource]" displayFolder="" count="2" memberValueDatatype="130" unbalanced="0">
      <fieldsUsage count="2">
        <fieldUsage x="-1"/>
        <fieldUsage x="3"/>
      </fieldsUsage>
    </cacheHierarchy>
    <cacheHierarchy uniqueName="[TTrainingSource].[Department]" caption="Department" attribute="1" defaultMemberUniqueName="[TTrainingSource].[Department].[All]" allUniqueName="[TTrainingSource].[Department].[All]" dimensionUniqueName="[TTrainingSource]" displayFolder="" count="0" memberValueDatatype="130" unbalanced="0"/>
    <cacheHierarchy uniqueName="[TTrainingSource].[Training_Status]" caption="Training_Status" attribute="1" defaultMemberUniqueName="[TTrainingSource].[Training_Status].[All]" allUniqueName="[TTrainingSource].[Training_Status].[All]" dimensionUniqueName="[TTrainingSource]" displayFolder="" count="2" memberValueDatatype="130" unbalanced="0"/>
    <cacheHierarchy uniqueName="[TTrainingSource].[Training_Status2]" caption="Training_Status2" attribute="1" defaultMemberUniqueName="[TTrainingSource].[Training_Status2].[All]" allUniqueName="[TTrainingSource].[Training_Status2].[All]" dimensionUniqueName="[TTrainingSource]" displayFolder="" count="0" memberValueDatatype="130" unbalanced="0"/>
    <cacheHierarchy uniqueName="[TTrainingSource].[Training_Title]" caption="Training_Title" attribute="1" defaultMemberUniqueName="[TTrainingSource].[Training_Title].[All]" allUniqueName="[TTrainingSource].[Training_Title].[All]" dimensionUniqueName="[TTrainingSource]" displayFolder="" count="2" memberValueDatatype="130" unbalanced="0"/>
    <cacheHierarchy uniqueName="[TTrainingSource].[Training_Title2]" caption="Training_Title2" attribute="1" defaultMemberUniqueName="[TTrainingSource].[Training_Title2].[All]" allUniqueName="[TTrainingSource].[Training_Title2].[All]" dimensionUniqueName="[TTrainingSource]" displayFolder="" count="0" memberValueDatatype="130" unbalanced="0"/>
    <cacheHierarchy uniqueName="[TTrainingSource].[Training_Date]" caption="Training_Date" attribute="1" time="1" defaultMemberUniqueName="[TTrainingSource].[Training_Date].[All]" allUniqueName="[TTrainingSource].[Training_Date].[All]" dimensionUniqueName="[TTrainingSource]" displayFolder="" count="2" memberValueDatatype="7" unbalanced="0"/>
    <cacheHierarchy uniqueName="[TTrainingSource].[Training_Provider]" caption="Training_Provider" attribute="1" defaultMemberUniqueName="[TTrainingSource].[Training_Provider].[All]" allUniqueName="[TTrainingSource].[Training_Provider].[All]" dimensionUniqueName="[TTrainingSource]" displayFolder="" count="0" memberValueDatatype="130" unbalanced="0"/>
    <cacheHierarchy uniqueName="[TTrainingSource].[Duration_Hours]" caption="Duration_Hours" attribute="1" defaultMemberUniqueName="[TTrainingSource].[Duration_Hours].[All]" allUniqueName="[TTrainingSource].[Duration_Hours].[All]" dimensionUniqueName="[TTrainingSource]" displayFolder="" count="0" memberValueDatatype="20" unbalanced="0"/>
    <cacheHierarchy uniqueName="[TTrainingSource].[Satisfaction_Score]" caption="Satisfaction_Score" attribute="1" defaultMemberUniqueName="[TTrainingSource].[Satisfaction_Score].[All]" allUniqueName="[TTrainingSource].[Satisfaction_Score].[All]" dimensionUniqueName="[TTrainingSource]" displayFolder="" count="0" memberValueDatatype="20" unbalanced="0"/>
    <cacheHierarchy uniqueName="[TTrainingSource].[Satisfaction_Score2]" caption="Satisfaction_Score2" attribute="1" defaultMemberUniqueName="[TTrainingSource].[Satisfaction_Score2].[All]" allUniqueName="[TTrainingSource].[Satisfaction_Score2].[All]" dimensionUniqueName="[TTrainingSource]" displayFolder="" count="0" memberValueDatatype="5" unbalanced="0"/>
    <cacheHierarchy uniqueName="[TTrainingSource].[Training_Date (Year)]" caption="Training_Date (Year)" attribute="1" defaultMemberUniqueName="[TTrainingSource].[Training_Date (Year)].[All]" allUniqueName="[TTrainingSource].[Training_Date (Year)].[All]" dimensionUniqueName="[TTrainingSource]" displayFolder="" count="0" memberValueDatatype="130" unbalanced="0"/>
    <cacheHierarchy uniqueName="[TTrainingSource].[Training_Date (Quarter)]" caption="Training_Date (Quarter)" attribute="1" defaultMemberUniqueName="[TTrainingSource].[Training_Date (Quarter)].[All]" allUniqueName="[TTrainingSource].[Training_Date (Quarter)].[All]" dimensionUniqueName="[TTrainingSource]" displayFolder="" count="0" memberValueDatatype="130" unbalanced="0"/>
    <cacheHierarchy uniqueName="[TTrainingSource].[Training_Date (Month)]" caption="Training_Date (Month)" attribute="1" defaultMemberUniqueName="[TTrainingSource].[Training_Date (Month)].[All]" allUniqueName="[TTrainingSource].[Training_Date (Month)].[All]" dimensionUniqueName="[TTrainingSource]" displayFolder="" count="0" memberValueDatatype="130" unbalanced="0"/>
    <cacheHierarchy uniqueName="[TTrainingSource].[Training_Date (Month Index)]" caption="Training_Date (Month Index)" attribute="1" defaultMemberUniqueName="[TTrainingSource].[Training_Date (Month Index)].[All]" allUniqueName="[TTrainingSource].[Training_Date (Month Index)].[All]" dimensionUniqueName="[TTrainingSource]" displayFolder="" count="0" memberValueDatatype="20" unbalanced="0" hidden="1"/>
    <cacheHierarchy uniqueName="[Measures].[__XL_Count TTrainingSource]" caption="__XL_Count TTrainingSource" measure="1" displayFolder="" measureGroup="TTrainingSource" count="0" hidden="1"/>
    <cacheHierarchy uniqueName="[Measures].[__XL_Count THrList]" caption="__XL_Count THrList" measure="1" displayFolder="" measureGroup="THrList" count="0" hidden="1"/>
    <cacheHierarchy uniqueName="[Measures].[__XL_Count TDepartment]" caption="__XL_Count TDepartment" measure="1" displayFolder="" measureGroup="TDepartment" count="0" hidden="1"/>
    <cacheHierarchy uniqueName="[Measures].[__No measures defined]" caption="__No measures defined" measure="1" displayFolder="" count="0" hidden="1"/>
    <cacheHierarchy uniqueName="[Measures].[Count of Duration_Hours]" caption="Count of Duration_Hours" measure="1" displayFolder="" measureGroup="TTrainingSource" count="0" hidden="1">
      <extLst>
        <ext xmlns:x15="http://schemas.microsoft.com/office/spreadsheetml/2010/11/main" uri="{B97F6D7D-B522-45F9-BDA1-12C45D357490}">
          <x15:cacheHierarchy aggregatedColumn="22"/>
        </ext>
      </extLst>
    </cacheHierarchy>
    <cacheHierarchy uniqueName="[Measures].[Sum of Satisfaction_Score]" caption="Sum of Satisfaction_Score" measure="1" displayFolder="" measureGroup="TTrainingSource" count="0" hidden="1">
      <extLst>
        <ext xmlns:x15="http://schemas.microsoft.com/office/spreadsheetml/2010/11/main" uri="{B97F6D7D-B522-45F9-BDA1-12C45D357490}">
          <x15:cacheHierarchy aggregatedColumn="23"/>
        </ext>
      </extLst>
    </cacheHierarchy>
    <cacheHierarchy uniqueName="[Measures].[Sum of Duration_Hours]" caption="Sum of Duration_Hours" measure="1" displayFolder="" measureGroup="TTrainingSourc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Satisfaction_Score2]" caption="Sum of Satisfaction_Score2" measure="1" displayFolder="" measureGroup="TTrainingSource" count="0" hidden="1">
      <extLst>
        <ext xmlns:x15="http://schemas.microsoft.com/office/spreadsheetml/2010/11/main" uri="{B97F6D7D-B522-45F9-BDA1-12C45D357490}">
          <x15:cacheHierarchy aggregatedColumn="24"/>
        </ext>
      </extLst>
    </cacheHierarchy>
    <cacheHierarchy uniqueName="[Measures].[Average of Satisfaction_Score2]" caption="Average of Satisfaction_Score2" measure="1" displayFolder="" measureGroup="TTrainingSource" count="0" hidden="1">
      <extLst>
        <ext xmlns:x15="http://schemas.microsoft.com/office/spreadsheetml/2010/11/main" uri="{B97F6D7D-B522-45F9-BDA1-12C45D357490}">
          <x15:cacheHierarchy aggregatedColumn="24"/>
        </ext>
      </extLst>
    </cacheHierarchy>
    <cacheHierarchy uniqueName="[Measures].[Average of Satisfaction_Score]" caption="Average of Satisfaction_Score" measure="1" displayFolder="" measureGroup="TTrainingSource" count="0" hidden="1">
      <extLst>
        <ext xmlns:x15="http://schemas.microsoft.com/office/spreadsheetml/2010/11/main" uri="{B97F6D7D-B522-45F9-BDA1-12C45D357490}">
          <x15:cacheHierarchy aggregatedColumn="23"/>
        </ext>
      </extLst>
    </cacheHierarchy>
    <cacheHierarchy uniqueName="[Measures].[Count of Training_Title]" caption="Count of Training_Title" measure="1" displayFolder="" measureGroup="TTrainingSource"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TDepartment" uniqueName="[TDepartment]" caption="TDepartment"/>
    <dimension name="THrList" uniqueName="[THrList]" caption="THrList"/>
    <dimension name="TTrainingSource" uniqueName="[TTrainingSource]" caption="TTrainingSource"/>
  </dimensions>
  <measureGroups count="3">
    <measureGroup name="TDepartment" caption="TDepartment"/>
    <measureGroup name="THrList" caption="THrList"/>
    <measureGroup name="TTrainingSource" caption="TTrainingSource"/>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09.504411226852" backgroundQuery="1" createdVersion="8" refreshedVersion="8" minRefreshableVersion="3" recordCount="0" supportSubquery="1" supportAdvancedDrill="1" xr:uid="{EE1237A0-0E55-4501-B039-7FEDE7BDD510}">
  <cacheSource type="external" connectionId="1"/>
  <cacheFields count="5">
    <cacheField name="[TTrainingSource].[Training_Date].[Training_Date]" caption="Training_Date" numFmtId="0" hierarchy="20" level="1">
      <sharedItems containsSemiMixedTypes="0" containsNonDate="0" containsDate="1" containsString="0" minDate="2022-04-02T00:00:00" maxDate="2025-07-01T00:00:00" count="242">
        <d v="2022-04-02T00:00:00"/>
        <d v="2022-04-04T00:00:00"/>
        <d v="2022-04-05T00:00:00"/>
        <d v="2022-04-07T00:00:00"/>
        <d v="2022-04-10T00:00:00"/>
        <d v="2022-04-11T00:00:00"/>
        <d v="2022-04-12T00:00:00"/>
        <d v="2022-04-15T00:00:00"/>
        <d v="2022-04-16T00:00:00"/>
        <d v="2022-04-17T00:00:00"/>
        <d v="2022-04-18T00:00:00"/>
        <d v="2022-04-19T00:00:00"/>
        <d v="2022-04-21T00:00:00"/>
        <d v="2022-04-22T00:00:00"/>
        <d v="2022-04-23T00:00:00"/>
        <d v="2022-04-24T00:00:00"/>
        <d v="2022-04-25T00:00:00"/>
        <d v="2022-04-27T00:00:00"/>
        <d v="2022-04-29T00:00:00"/>
        <d v="2022-04-30T00:00:00"/>
        <d v="2022-05-01T00:00:00"/>
        <d v="2022-05-02T00:00:00"/>
        <d v="2022-05-03T00:00:00"/>
        <d v="2022-05-05T00:00:00"/>
        <d v="2022-05-08T00:00:00"/>
        <d v="2022-05-09T00:00:00"/>
        <d v="2022-05-10T00:00:00"/>
        <d v="2022-05-11T00:00:00"/>
        <d v="2022-05-12T00:00:00"/>
        <d v="2022-05-13T00:00:00"/>
        <d v="2022-05-14T00:00:00"/>
        <d v="2022-05-15T00:00:00"/>
        <d v="2022-05-19T00:00:00"/>
        <d v="2022-05-20T00:00:00"/>
        <d v="2022-05-21T00:00:00"/>
        <d v="2022-05-22T00:00:00"/>
        <d v="2022-05-23T00:00:00"/>
        <d v="2022-05-24T00:00:00"/>
        <d v="2022-05-26T00:00:00"/>
        <d v="2022-05-28T00:00:00"/>
        <d v="2022-05-29T00:00:00"/>
        <d v="2022-05-30T00:00:00"/>
        <d v="2022-05-31T00:00:00"/>
        <d v="2022-06-01T00:00:00"/>
        <d v="2022-06-02T00:00:00"/>
        <d v="2022-06-04T00:00:00"/>
        <d v="2022-06-05T00:00:00"/>
        <d v="2022-06-06T00:00:00"/>
        <d v="2022-06-08T00:00:00"/>
        <d v="2022-06-12T00:00:00"/>
        <d v="2022-06-13T00:00:00"/>
        <d v="2022-06-14T00:00:00"/>
        <d v="2022-06-15T00:00:00"/>
        <d v="2022-06-16T00:00:00"/>
        <d v="2022-06-17T00:00:00"/>
        <d v="2022-06-18T00:00:00"/>
        <d v="2022-06-19T00:00:00"/>
        <d v="2022-06-20T00:00:00"/>
        <d v="2022-06-21T00:00:00"/>
        <d v="2022-06-24T00:00:00"/>
        <d v="2022-06-25T00:00:00"/>
        <d v="2022-06-26T00:00:00"/>
        <d v="2022-06-28T00:00:00"/>
        <d v="2022-06-30T00:00:00"/>
        <d v="2023-04-05T00:00:00"/>
        <d v="2023-04-07T00:00:00"/>
        <d v="2023-04-08T00:00:00"/>
        <d v="2023-04-09T00:00:00"/>
        <d v="2023-04-11T00:00:00"/>
        <d v="2023-04-12T00:00:00"/>
        <d v="2023-04-13T00:00:00"/>
        <d v="2023-04-14T00:00:00"/>
        <d v="2023-04-15T00:00:00"/>
        <d v="2023-04-21T00:00:00"/>
        <d v="2023-04-22T00:00:00"/>
        <d v="2023-04-24T00:00:00"/>
        <d v="2023-04-25T00:00:00"/>
        <d v="2023-04-27T00:00:00"/>
        <d v="2023-04-28T00:00:00"/>
        <d v="2023-05-02T00:00:00"/>
        <d v="2023-05-04T00:00:00"/>
        <d v="2023-05-06T00:00:00"/>
        <d v="2023-05-07T00:00:00"/>
        <d v="2023-05-08T00:00:00"/>
        <d v="2023-05-09T00:00:00"/>
        <d v="2023-05-10T00:00:00"/>
        <d v="2023-05-12T00:00:00"/>
        <d v="2023-05-13T00:00:00"/>
        <d v="2023-05-14T00:00:00"/>
        <d v="2023-05-16T00:00:00"/>
        <d v="2023-05-17T00:00:00"/>
        <d v="2023-05-18T00:00:00"/>
        <d v="2023-05-19T00:00:00"/>
        <d v="2023-05-20T00:00:00"/>
        <d v="2023-05-21T00:00:00"/>
        <d v="2023-05-22T00:00:00"/>
        <d v="2023-05-24T00:00:00"/>
        <d v="2023-05-25T00:00:00"/>
        <d v="2023-05-26T00:00:00"/>
        <d v="2023-05-27T00:00:00"/>
        <d v="2023-05-28T00:00:00"/>
        <d v="2023-05-29T00:00:00"/>
        <d v="2023-06-01T00:00:00"/>
        <d v="2023-06-03T00:00:00"/>
        <d v="2023-06-04T00:00:00"/>
        <d v="2023-06-05T00:00:00"/>
        <d v="2023-06-06T00:00:00"/>
        <d v="2023-06-07T00:00:00"/>
        <d v="2023-06-09T00:00:00"/>
        <d v="2023-06-10T00:00:00"/>
        <d v="2023-06-11T00:00:00"/>
        <d v="2023-06-12T00:00:00"/>
        <d v="2023-06-13T00:00:00"/>
        <d v="2023-06-14T00:00:00"/>
        <d v="2023-06-16T00:00:00"/>
        <d v="2023-06-17T00:00:00"/>
        <d v="2023-06-19T00:00:00"/>
        <d v="2023-06-20T00:00:00"/>
        <d v="2023-06-21T00:00:00"/>
        <d v="2023-06-25T00:00:00"/>
        <d v="2023-06-28T00:00:00"/>
        <d v="2023-06-29T00:00:00"/>
        <d v="2024-04-01T00:00:00"/>
        <d v="2024-04-03T00:00:00"/>
        <d v="2024-04-05T00:00:00"/>
        <d v="2024-04-06T00:00:00"/>
        <d v="2024-04-07T00:00:00"/>
        <d v="2024-04-09T00:00:00"/>
        <d v="2024-04-11T00:00:00"/>
        <d v="2024-04-15T00:00:00"/>
        <d v="2024-04-17T00:00:00"/>
        <d v="2024-04-18T00:00:00"/>
        <d v="2024-04-19T00:00:00"/>
        <d v="2024-04-20T00:00:00"/>
        <d v="2024-04-21T00:00:00"/>
        <d v="2024-04-22T00:00:00"/>
        <d v="2024-04-23T00:00:00"/>
        <d v="2024-04-25T00:00:00"/>
        <d v="2024-04-26T00:00:00"/>
        <d v="2024-04-29T00:00:00"/>
        <d v="2024-04-30T00:00:00"/>
        <d v="2024-05-01T00:00:00"/>
        <d v="2024-05-02T00:00:00"/>
        <d v="2024-05-03T00:00:00"/>
        <d v="2024-05-05T00:00:00"/>
        <d v="2024-05-06T00:00:00"/>
        <d v="2024-05-07T00:00:00"/>
        <d v="2024-05-08T00:00:00"/>
        <d v="2024-05-09T00:00:00"/>
        <d v="2024-05-11T00:00:00"/>
        <d v="2024-05-12T00:00:00"/>
        <d v="2024-05-14T00:00:00"/>
        <d v="2024-05-15T00:00:00"/>
        <d v="2024-05-17T00:00:00"/>
        <d v="2024-05-18T00:00:00"/>
        <d v="2024-05-19T00:00:00"/>
        <d v="2024-05-20T00:00:00"/>
        <d v="2024-05-21T00:00:00"/>
        <d v="2024-05-24T00:00:00"/>
        <d v="2024-05-28T00:00:00"/>
        <d v="2024-05-29T00:00:00"/>
        <d v="2024-06-01T00:00:00"/>
        <d v="2024-06-03T00:00:00"/>
        <d v="2024-06-04T00:00:00"/>
        <d v="2024-06-05T00:00:00"/>
        <d v="2024-06-07T00:00:00"/>
        <d v="2024-06-09T00:00:00"/>
        <d v="2024-06-11T00:00:00"/>
        <d v="2024-06-12T00:00:00"/>
        <d v="2024-06-13T00:00:00"/>
        <d v="2024-06-14T00:00:00"/>
        <d v="2024-06-15T00:00:00"/>
        <d v="2024-06-16T00:00:00"/>
        <d v="2024-06-17T00:00:00"/>
        <d v="2024-06-21T00:00:00"/>
        <d v="2024-06-22T00:00:00"/>
        <d v="2024-06-24T00:00:00"/>
        <d v="2024-06-27T00:00:00"/>
        <d v="2024-06-28T00:00:00"/>
        <d v="2024-06-29T00:00:00"/>
        <d v="2025-04-04T00:00:00"/>
        <d v="2025-04-07T00:00:00"/>
        <d v="2025-04-08T00:00:00"/>
        <d v="2025-04-09T00:00:00"/>
        <d v="2025-04-10T00:00:00"/>
        <d v="2025-04-11T00:00:00"/>
        <d v="2025-04-12T00:00:00"/>
        <d v="2025-04-13T00:00:00"/>
        <d v="2025-04-15T00:00:00"/>
        <d v="2025-04-16T00:00:00"/>
        <d v="2025-04-17T00:00:00"/>
        <d v="2025-04-18T00:00:00"/>
        <d v="2025-04-19T00:00:00"/>
        <d v="2025-04-20T00:00:00"/>
        <d v="2025-04-22T00:00:00"/>
        <d v="2025-04-23T00:00:00"/>
        <d v="2025-04-24T00:00:00"/>
        <d v="2025-04-25T00:00:00"/>
        <d v="2025-04-26T00:00:00"/>
        <d v="2025-04-27T00:00:00"/>
        <d v="2025-05-01T00:00:00"/>
        <d v="2025-05-02T00:00:00"/>
        <d v="2025-05-03T00:00:00"/>
        <d v="2025-05-08T00:00:00"/>
        <d v="2025-05-11T00:00:00"/>
        <d v="2025-05-12T00:00:00"/>
        <d v="2025-05-13T00:00:00"/>
        <d v="2025-05-14T00:00:00"/>
        <d v="2025-05-15T00:00:00"/>
        <d v="2025-05-16T00:00:00"/>
        <d v="2025-05-19T00:00:00"/>
        <d v="2025-05-20T00:00:00"/>
        <d v="2025-05-21T00:00:00"/>
        <d v="2025-05-22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3T00:00:00"/>
        <d v="2025-06-14T00:00:00"/>
        <d v="2025-06-15T00:00:00"/>
        <d v="2025-06-19T00:00:00"/>
        <d v="2025-06-21T00:00:00"/>
        <d v="2025-06-22T00:00:00"/>
        <d v="2025-06-23T00:00:00"/>
        <d v="2025-06-24T00:00:00"/>
        <d v="2025-06-25T00:00:00"/>
        <d v="2025-06-26T00:00:00"/>
        <d v="2025-06-30T00:00:00"/>
      </sharedItems>
    </cacheField>
    <cacheField name="[TTrainingSource].[Training_Date (Quarter)].[Training_Date (Quarter)]" caption="Training_Date (Quarter)" numFmtId="0" hierarchy="26" level="1">
      <sharedItems count="4">
        <s v="Qtr1"/>
        <s v="Qtr2"/>
        <s v="Qtr3"/>
        <s v="Qtr4"/>
      </sharedItems>
    </cacheField>
    <cacheField name="[TTrainingSource].[Training_Date (Year)].[Training_Date (Year)]" caption="Training_Date (Year)" numFmtId="0" hierarchy="25" level="1">
      <sharedItems count="4">
        <s v="2022"/>
        <s v="2023"/>
        <s v="2024"/>
        <s v="2025"/>
      </sharedItems>
    </cacheField>
    <cacheField name="[Measures].[Count of Training_Title]" caption="Count of Training_Title" numFmtId="0" hierarchy="39" level="32767"/>
    <cacheField name="[TDepartment].[Department].[Department]" caption="Department" numFmtId="0" level="1">
      <sharedItems containsSemiMixedTypes="0" containsNonDate="0" containsString="0"/>
    </cacheField>
  </cacheFields>
  <cacheHierarchies count="40">
    <cacheHierarchy uniqueName="[TDepartment].[Department]" caption="Department" attribute="1" defaultMemberUniqueName="[TDepartment].[Department].[All]" allUniqueName="[TDepartment].[Department].[All]" dimensionUniqueName="[TDepartment]" displayFolder="" count="2" memberValueDatatype="130" unbalanced="0">
      <fieldsUsage count="2">
        <fieldUsage x="-1"/>
        <fieldUsage x="4"/>
      </fieldsUsage>
    </cacheHierarchy>
    <cacheHierarchy uniqueName="[THrList].[Employee_ID]" caption="Employee_ID" attribute="1" defaultMemberUniqueName="[THrList].[Employee_ID].[All]" allUniqueName="[THrList].[Employee_ID].[All]" dimensionUniqueName="[THrList]" displayFolder="" count="0" memberValueDatatype="130" unbalanced="0"/>
    <cacheHierarchy uniqueName="[THrList].[Last_Name]" caption="Last_Name" attribute="1" defaultMemberUniqueName="[THrList].[Last_Name].[All]" allUniqueName="[THrList].[Last_Name].[All]" dimensionUniqueName="[THrList]" displayFolder="" count="0" memberValueDatatype="130" unbalanced="0"/>
    <cacheHierarchy uniqueName="[THrList].[Last_Name2]" caption="Last_Name2" attribute="1" defaultMemberUniqueName="[THrList].[Last_Name2].[All]" allUniqueName="[THrList].[Last_Name2].[All]" dimensionUniqueName="[THrList]" displayFolder="" count="0" memberValueDatatype="130" unbalanced="0"/>
    <cacheHierarchy uniqueName="[THrList].[First_Name]" caption="First_Name" attribute="1" defaultMemberUniqueName="[THrList].[First_Name].[All]" allUniqueName="[THrList].[First_Name].[All]" dimensionUniqueName="[THrList]" displayFolder="" count="0" memberValueDatatype="130" unbalanced="0"/>
    <cacheHierarchy uniqueName="[THrList].[Gender]" caption="Gender" attribute="1" defaultMemberUniqueName="[THrList].[Gender].[All]" allUniqueName="[THrList].[Gender].[All]" dimensionUniqueName="[THrList]" displayFolder="" count="2" memberValueDatatype="130" unbalanced="0"/>
    <cacheHierarchy uniqueName="[THrList].[Date_of_Birth]" caption="Date_of_Birth" attribute="1" time="1" defaultMemberUniqueName="[THrList].[Date_of_Birth].[All]" allUniqueName="[THrList].[Date_of_Birth].[All]" dimensionUniqueName="[THrList]" displayFolder="" count="0" memberValueDatatype="7" unbalanced="0"/>
    <cacheHierarchy uniqueName="[THrList].[Age]" caption="Age" attribute="1" defaultMemberUniqueName="[THrList].[Age].[All]" allUniqueName="[THrList].[Age].[All]" dimensionUniqueName="[THrList]" displayFolder="" count="0" memberValueDatatype="20" unbalanced="0"/>
    <cacheHierarchy uniqueName="[THrList].[Job_Level]" caption="Job_Level" attribute="1" defaultMemberUniqueName="[THrList].[Job_Level].[All]" allUniqueName="[THrList].[Job_Level].[All]" dimensionUniqueName="[THrList]" displayFolder="" count="0" memberValueDatatype="130" unbalanced="0"/>
    <cacheHierarchy uniqueName="[THrList].[Employment_Status]" caption="Employment_Status" attribute="1" defaultMemberUniqueName="[THrList].[Employment_Status].[All]" allUniqueName="[THrList].[Employment_Status].[All]" dimensionUniqueName="[THrList]" displayFolder="" count="0" memberValueDatatype="130" unbalanced="0"/>
    <cacheHierarchy uniqueName="[THrList].[Department]" caption="Department" attribute="1" defaultMemberUniqueName="[THrList].[Department].[All]" allUniqueName="[THrList].[Department].[All]" dimensionUniqueName="[THrList]" displayFolder="" count="2" memberValueDatatype="130" unbalanced="0"/>
    <cacheHierarchy uniqueName="[TTrainingSource].[EMPloyee_ID2]" caption="EMPloyee_ID2" attribute="1" defaultMemberUniqueName="[TTrainingSource].[EMPloyee_ID2].[All]" allUniqueName="[TTrainingSource].[EMPloyee_ID2].[All]" dimensionUniqueName="[TTrainingSource]" displayFolder="" count="0" memberValueDatatype="130" unbalanced="0"/>
    <cacheHierarchy uniqueName="[TTrainingSource].[Employee_ID]" caption="Employee_ID" attribute="1" defaultMemberUniqueName="[TTrainingSource].[Employee_ID].[All]" allUniqueName="[TTrainingSource].[Employee_ID].[All]" dimensionUniqueName="[TTrainingSource]" displayFolder="" count="0" memberValueDatatype="130" unbalanced="0"/>
    <cacheHierarchy uniqueName="[TTrainingSource].[Last_Name]" caption="Last_Name" attribute="1" defaultMemberUniqueName="[TTrainingSource].[Last_Name].[All]" allUniqueName="[TTrainingSource].[Last_Name].[All]" dimensionUniqueName="[TTrainingSource]" displayFolder="" count="0" memberValueDatatype="130" unbalanced="0"/>
    <cacheHierarchy uniqueName="[TTrainingSource].[First_Name]" caption="First_Name" attribute="1" defaultMemberUniqueName="[TTrainingSource].[First_Name].[All]" allUniqueName="[TTrainingSource].[First_Name].[All]" dimensionUniqueName="[TTrainingSource]" displayFolder="" count="0" memberValueDatatype="130" unbalanced="0"/>
    <cacheHierarchy uniqueName="[TTrainingSource].[Department]" caption="Department" attribute="1" defaultMemberUniqueName="[TTrainingSource].[Department].[All]" allUniqueName="[TTrainingSource].[Department].[All]" dimensionUniqueName="[TTrainingSource]" displayFolder="" count="0" memberValueDatatype="130" unbalanced="0"/>
    <cacheHierarchy uniqueName="[TTrainingSource].[Training_Status]" caption="Training_Status" attribute="1" defaultMemberUniqueName="[TTrainingSource].[Training_Status].[All]" allUniqueName="[TTrainingSource].[Training_Status].[All]" dimensionUniqueName="[TTrainingSource]" displayFolder="" count="2" memberValueDatatype="130" unbalanced="0"/>
    <cacheHierarchy uniqueName="[TTrainingSource].[Training_Status2]" caption="Training_Status2" attribute="1" defaultMemberUniqueName="[TTrainingSource].[Training_Status2].[All]" allUniqueName="[TTrainingSource].[Training_Status2].[All]" dimensionUniqueName="[TTrainingSource]" displayFolder="" count="0" memberValueDatatype="130" unbalanced="0"/>
    <cacheHierarchy uniqueName="[TTrainingSource].[Training_Title]" caption="Training_Title" attribute="1" defaultMemberUniqueName="[TTrainingSource].[Training_Title].[All]" allUniqueName="[TTrainingSource].[Training_Title].[All]" dimensionUniqueName="[TTrainingSource]" displayFolder="" count="2" memberValueDatatype="130" unbalanced="0"/>
    <cacheHierarchy uniqueName="[TTrainingSource].[Training_Title2]" caption="Training_Title2" attribute="1" defaultMemberUniqueName="[TTrainingSource].[Training_Title2].[All]" allUniqueName="[TTrainingSource].[Training_Title2].[All]" dimensionUniqueName="[TTrainingSource]" displayFolder="" count="0" memberValueDatatype="130" unbalanced="0"/>
    <cacheHierarchy uniqueName="[TTrainingSource].[Training_Date]" caption="Training_Date" attribute="1" time="1" defaultMemberUniqueName="[TTrainingSource].[Training_Date].[All]" allUniqueName="[TTrainingSource].[Training_Date].[All]" dimensionUniqueName="[TTrainingSource]" displayFolder="" count="2" memberValueDatatype="7" unbalanced="0">
      <fieldsUsage count="2">
        <fieldUsage x="-1"/>
        <fieldUsage x="0"/>
      </fieldsUsage>
    </cacheHierarchy>
    <cacheHierarchy uniqueName="[TTrainingSource].[Training_Provider]" caption="Training_Provider" attribute="1" defaultMemberUniqueName="[TTrainingSource].[Training_Provider].[All]" allUniqueName="[TTrainingSource].[Training_Provider].[All]" dimensionUniqueName="[TTrainingSource]" displayFolder="" count="0" memberValueDatatype="130" unbalanced="0"/>
    <cacheHierarchy uniqueName="[TTrainingSource].[Duration_Hours]" caption="Duration_Hours" attribute="1" defaultMemberUniqueName="[TTrainingSource].[Duration_Hours].[All]" allUniqueName="[TTrainingSource].[Duration_Hours].[All]" dimensionUniqueName="[TTrainingSource]" displayFolder="" count="0" memberValueDatatype="20" unbalanced="0"/>
    <cacheHierarchy uniqueName="[TTrainingSource].[Satisfaction_Score]" caption="Satisfaction_Score" attribute="1" defaultMemberUniqueName="[TTrainingSource].[Satisfaction_Score].[All]" allUniqueName="[TTrainingSource].[Satisfaction_Score].[All]" dimensionUniqueName="[TTrainingSource]" displayFolder="" count="0" memberValueDatatype="20" unbalanced="0"/>
    <cacheHierarchy uniqueName="[TTrainingSource].[Satisfaction_Score2]" caption="Satisfaction_Score2" attribute="1" defaultMemberUniqueName="[TTrainingSource].[Satisfaction_Score2].[All]" allUniqueName="[TTrainingSource].[Satisfaction_Score2].[All]" dimensionUniqueName="[TTrainingSource]" displayFolder="" count="0" memberValueDatatype="5" unbalanced="0"/>
    <cacheHierarchy uniqueName="[TTrainingSource].[Training_Date (Year)]" caption="Training_Date (Year)" attribute="1" defaultMemberUniqueName="[TTrainingSource].[Training_Date (Year)].[All]" allUniqueName="[TTrainingSource].[Training_Date (Year)].[All]" dimensionUniqueName="[TTrainingSource]" displayFolder="" count="2" memberValueDatatype="130" unbalanced="0">
      <fieldsUsage count="2">
        <fieldUsage x="-1"/>
        <fieldUsage x="2"/>
      </fieldsUsage>
    </cacheHierarchy>
    <cacheHierarchy uniqueName="[TTrainingSource].[Training_Date (Quarter)]" caption="Training_Date (Quarter)" attribute="1" defaultMemberUniqueName="[TTrainingSource].[Training_Date (Quarter)].[All]" allUniqueName="[TTrainingSource].[Training_Date (Quarter)].[All]" dimensionUniqueName="[TTrainingSource]" displayFolder="" count="2" memberValueDatatype="130" unbalanced="0">
      <fieldsUsage count="2">
        <fieldUsage x="-1"/>
        <fieldUsage x="1"/>
      </fieldsUsage>
    </cacheHierarchy>
    <cacheHierarchy uniqueName="[TTrainingSource].[Training_Date (Month)]" caption="Training_Date (Month)" attribute="1" defaultMemberUniqueName="[TTrainingSource].[Training_Date (Month)].[All]" allUniqueName="[TTrainingSource].[Training_Date (Month)].[All]" dimensionUniqueName="[TTrainingSource]" displayFolder="" count="0" memberValueDatatype="130" unbalanced="0"/>
    <cacheHierarchy uniqueName="[TTrainingSource].[Training_Date (Month Index)]" caption="Training_Date (Month Index)" attribute="1" defaultMemberUniqueName="[TTrainingSource].[Training_Date (Month Index)].[All]" allUniqueName="[TTrainingSource].[Training_Date (Month Index)].[All]" dimensionUniqueName="[TTrainingSource]" displayFolder="" count="0" memberValueDatatype="20" unbalanced="0" hidden="1"/>
    <cacheHierarchy uniqueName="[Measures].[__XL_Count TTrainingSource]" caption="__XL_Count TTrainingSource" measure="1" displayFolder="" measureGroup="TTrainingSource" count="0" hidden="1"/>
    <cacheHierarchy uniqueName="[Measures].[__XL_Count THrList]" caption="__XL_Count THrList" measure="1" displayFolder="" measureGroup="THrList" count="0" hidden="1"/>
    <cacheHierarchy uniqueName="[Measures].[__XL_Count TDepartment]" caption="__XL_Count TDepartment" measure="1" displayFolder="" measureGroup="TDepartment" count="0" hidden="1"/>
    <cacheHierarchy uniqueName="[Measures].[__No measures defined]" caption="__No measures defined" measure="1" displayFolder="" count="0" hidden="1"/>
    <cacheHierarchy uniqueName="[Measures].[Count of Duration_Hours]" caption="Count of Duration_Hours" measure="1" displayFolder="" measureGroup="TTrainingSource" count="0" hidden="1">
      <extLst>
        <ext xmlns:x15="http://schemas.microsoft.com/office/spreadsheetml/2010/11/main" uri="{B97F6D7D-B522-45F9-BDA1-12C45D357490}">
          <x15:cacheHierarchy aggregatedColumn="22"/>
        </ext>
      </extLst>
    </cacheHierarchy>
    <cacheHierarchy uniqueName="[Measures].[Sum of Satisfaction_Score]" caption="Sum of Satisfaction_Score" measure="1" displayFolder="" measureGroup="TTrainingSource" count="0" hidden="1">
      <extLst>
        <ext xmlns:x15="http://schemas.microsoft.com/office/spreadsheetml/2010/11/main" uri="{B97F6D7D-B522-45F9-BDA1-12C45D357490}">
          <x15:cacheHierarchy aggregatedColumn="23"/>
        </ext>
      </extLst>
    </cacheHierarchy>
    <cacheHierarchy uniqueName="[Measures].[Sum of Duration_Hours]" caption="Sum of Duration_Hours" measure="1" displayFolder="" measureGroup="TTrainingSource" count="0" hidden="1">
      <extLst>
        <ext xmlns:x15="http://schemas.microsoft.com/office/spreadsheetml/2010/11/main" uri="{B97F6D7D-B522-45F9-BDA1-12C45D357490}">
          <x15:cacheHierarchy aggregatedColumn="22"/>
        </ext>
      </extLst>
    </cacheHierarchy>
    <cacheHierarchy uniqueName="[Measures].[Sum of Satisfaction_Score2]" caption="Sum of Satisfaction_Score2" measure="1" displayFolder="" measureGroup="TTrainingSource" count="0" hidden="1">
      <extLst>
        <ext xmlns:x15="http://schemas.microsoft.com/office/spreadsheetml/2010/11/main" uri="{B97F6D7D-B522-45F9-BDA1-12C45D357490}">
          <x15:cacheHierarchy aggregatedColumn="24"/>
        </ext>
      </extLst>
    </cacheHierarchy>
    <cacheHierarchy uniqueName="[Measures].[Average of Satisfaction_Score2]" caption="Average of Satisfaction_Score2" measure="1" displayFolder="" measureGroup="TTrainingSource" count="0" hidden="1">
      <extLst>
        <ext xmlns:x15="http://schemas.microsoft.com/office/spreadsheetml/2010/11/main" uri="{B97F6D7D-B522-45F9-BDA1-12C45D357490}">
          <x15:cacheHierarchy aggregatedColumn="24"/>
        </ext>
      </extLst>
    </cacheHierarchy>
    <cacheHierarchy uniqueName="[Measures].[Average of Satisfaction_Score]" caption="Average of Satisfaction_Score" measure="1" displayFolder="" measureGroup="TTrainingSource" count="0" hidden="1">
      <extLst>
        <ext xmlns:x15="http://schemas.microsoft.com/office/spreadsheetml/2010/11/main" uri="{B97F6D7D-B522-45F9-BDA1-12C45D357490}">
          <x15:cacheHierarchy aggregatedColumn="23"/>
        </ext>
      </extLst>
    </cacheHierarchy>
    <cacheHierarchy uniqueName="[Measures].[Count of Training_Title]" caption="Count of Training_Title" measure="1" displayFolder="" measureGroup="TTrainingSource" count="0" oneField="1" hidden="1">
      <fieldsUsage count="1">
        <fieldUsage x="3"/>
      </fieldsUsage>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TDepartment" uniqueName="[TDepartment]" caption="TDepartment"/>
    <dimension name="THrList" uniqueName="[THrList]" caption="THrList"/>
    <dimension name="TTrainingSource" uniqueName="[TTrainingSource]" caption="TTrainingSource"/>
  </dimensions>
  <measureGroups count="3">
    <measureGroup name="TDepartment" caption="TDepartment"/>
    <measureGroup name="THrList" caption="THrList"/>
    <measureGroup name="TTrainingSource" caption="TTrainingSource"/>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09.504411458336" backgroundQuery="1" createdVersion="8" refreshedVersion="8" minRefreshableVersion="3" recordCount="0" supportSubquery="1" supportAdvancedDrill="1" xr:uid="{32528015-8097-4738-A211-04925139117F}">
  <cacheSource type="external" connectionId="1"/>
  <cacheFields count="3">
    <cacheField name="[TTrainingSource].[Department].[Department]" caption="Department" numFmtId="0" hierarchy="15" level="1">
      <sharedItems count="11">
        <s v=" Finance"/>
        <s v="Compliance"/>
        <s v="Customer Support"/>
        <s v="Finance"/>
        <s v="Human Resources"/>
        <s v="IT"/>
        <s v="Marketing"/>
        <s v="N/A"/>
        <s v="Operations"/>
        <s v="Procurement"/>
        <s v="Sales"/>
      </sharedItems>
    </cacheField>
    <cacheField name="[Measures].[Sum of Duration_Hours]" caption="Sum of Duration_Hours" numFmtId="0" hierarchy="35" level="32767"/>
    <cacheField name="[TDepartment].[Department].[Department]" caption="Department" numFmtId="0" level="1">
      <sharedItems containsSemiMixedTypes="0" containsNonDate="0" containsString="0"/>
    </cacheField>
  </cacheFields>
  <cacheHierarchies count="40">
    <cacheHierarchy uniqueName="[TDepartment].[Department]" caption="Department" attribute="1" defaultMemberUniqueName="[TDepartment].[Department].[All]" allUniqueName="[TDepartment].[Department].[All]" dimensionUniqueName="[TDepartment]" displayFolder="" count="2" memberValueDatatype="130" unbalanced="0">
      <fieldsUsage count="2">
        <fieldUsage x="-1"/>
        <fieldUsage x="2"/>
      </fieldsUsage>
    </cacheHierarchy>
    <cacheHierarchy uniqueName="[THrList].[Employee_ID]" caption="Employee_ID" attribute="1" defaultMemberUniqueName="[THrList].[Employee_ID].[All]" allUniqueName="[THrList].[Employee_ID].[All]" dimensionUniqueName="[THrList]" displayFolder="" count="0" memberValueDatatype="130" unbalanced="0"/>
    <cacheHierarchy uniqueName="[THrList].[Last_Name]" caption="Last_Name" attribute="1" defaultMemberUniqueName="[THrList].[Last_Name].[All]" allUniqueName="[THrList].[Last_Name].[All]" dimensionUniqueName="[THrList]" displayFolder="" count="0" memberValueDatatype="130" unbalanced="0"/>
    <cacheHierarchy uniqueName="[THrList].[Last_Name2]" caption="Last_Name2" attribute="1" defaultMemberUniqueName="[THrList].[Last_Name2].[All]" allUniqueName="[THrList].[Last_Name2].[All]" dimensionUniqueName="[THrList]" displayFolder="" count="0" memberValueDatatype="130" unbalanced="0"/>
    <cacheHierarchy uniqueName="[THrList].[First_Name]" caption="First_Name" attribute="1" defaultMemberUniqueName="[THrList].[First_Name].[All]" allUniqueName="[THrList].[First_Name].[All]" dimensionUniqueName="[THrList]" displayFolder="" count="0" memberValueDatatype="130" unbalanced="0"/>
    <cacheHierarchy uniqueName="[THrList].[Gender]" caption="Gender" attribute="1" defaultMemberUniqueName="[THrList].[Gender].[All]" allUniqueName="[THrList].[Gender].[All]" dimensionUniqueName="[THrList]" displayFolder="" count="2" memberValueDatatype="130" unbalanced="0"/>
    <cacheHierarchy uniqueName="[THrList].[Date_of_Birth]" caption="Date_of_Birth" attribute="1" time="1" defaultMemberUniqueName="[THrList].[Date_of_Birth].[All]" allUniqueName="[THrList].[Date_of_Birth].[All]" dimensionUniqueName="[THrList]" displayFolder="" count="0" memberValueDatatype="7" unbalanced="0"/>
    <cacheHierarchy uniqueName="[THrList].[Age]" caption="Age" attribute="1" defaultMemberUniqueName="[THrList].[Age].[All]" allUniqueName="[THrList].[Age].[All]" dimensionUniqueName="[THrList]" displayFolder="" count="0" memberValueDatatype="20" unbalanced="0"/>
    <cacheHierarchy uniqueName="[THrList].[Job_Level]" caption="Job_Level" attribute="1" defaultMemberUniqueName="[THrList].[Job_Level].[All]" allUniqueName="[THrList].[Job_Level].[All]" dimensionUniqueName="[THrList]" displayFolder="" count="0" memberValueDatatype="130" unbalanced="0"/>
    <cacheHierarchy uniqueName="[THrList].[Employment_Status]" caption="Employment_Status" attribute="1" defaultMemberUniqueName="[THrList].[Employment_Status].[All]" allUniqueName="[THrList].[Employment_Status].[All]" dimensionUniqueName="[THrList]" displayFolder="" count="0" memberValueDatatype="130" unbalanced="0"/>
    <cacheHierarchy uniqueName="[THrList].[Department]" caption="Department" attribute="1" defaultMemberUniqueName="[THrList].[Department].[All]" allUniqueName="[THrList].[Department].[All]" dimensionUniqueName="[THrList]" displayFolder="" count="2" memberValueDatatype="130" unbalanced="0"/>
    <cacheHierarchy uniqueName="[TTrainingSource].[EMPloyee_ID2]" caption="EMPloyee_ID2" attribute="1" defaultMemberUniqueName="[TTrainingSource].[EMPloyee_ID2].[All]" allUniqueName="[TTrainingSource].[EMPloyee_ID2].[All]" dimensionUniqueName="[TTrainingSource]" displayFolder="" count="0" memberValueDatatype="130" unbalanced="0"/>
    <cacheHierarchy uniqueName="[TTrainingSource].[Employee_ID]" caption="Employee_ID" attribute="1" defaultMemberUniqueName="[TTrainingSource].[Employee_ID].[All]" allUniqueName="[TTrainingSource].[Employee_ID].[All]" dimensionUniqueName="[TTrainingSource]" displayFolder="" count="0" memberValueDatatype="130" unbalanced="0"/>
    <cacheHierarchy uniqueName="[TTrainingSource].[Last_Name]" caption="Last_Name" attribute="1" defaultMemberUniqueName="[TTrainingSource].[Last_Name].[All]" allUniqueName="[TTrainingSource].[Last_Name].[All]" dimensionUniqueName="[TTrainingSource]" displayFolder="" count="0" memberValueDatatype="130" unbalanced="0"/>
    <cacheHierarchy uniqueName="[TTrainingSource].[First_Name]" caption="First_Name" attribute="1" defaultMemberUniqueName="[TTrainingSource].[First_Name].[All]" allUniqueName="[TTrainingSource].[First_Name].[All]" dimensionUniqueName="[TTrainingSource]" displayFolder="" count="0" memberValueDatatype="130" unbalanced="0"/>
    <cacheHierarchy uniqueName="[TTrainingSource].[Department]" caption="Department" attribute="1" defaultMemberUniqueName="[TTrainingSource].[Department].[All]" allUniqueName="[TTrainingSource].[Department].[All]" dimensionUniqueName="[TTrainingSource]" displayFolder="" count="2" memberValueDatatype="130" unbalanced="0">
      <fieldsUsage count="2">
        <fieldUsage x="-1"/>
        <fieldUsage x="0"/>
      </fieldsUsage>
    </cacheHierarchy>
    <cacheHierarchy uniqueName="[TTrainingSource].[Training_Status]" caption="Training_Status" attribute="1" defaultMemberUniqueName="[TTrainingSource].[Training_Status].[All]" allUniqueName="[TTrainingSource].[Training_Status].[All]" dimensionUniqueName="[TTrainingSource]" displayFolder="" count="2" memberValueDatatype="130" unbalanced="0"/>
    <cacheHierarchy uniqueName="[TTrainingSource].[Training_Status2]" caption="Training_Status2" attribute="1" defaultMemberUniqueName="[TTrainingSource].[Training_Status2].[All]" allUniqueName="[TTrainingSource].[Training_Status2].[All]" dimensionUniqueName="[TTrainingSource]" displayFolder="" count="0" memberValueDatatype="130" unbalanced="0"/>
    <cacheHierarchy uniqueName="[TTrainingSource].[Training_Title]" caption="Training_Title" attribute="1" defaultMemberUniqueName="[TTrainingSource].[Training_Title].[All]" allUniqueName="[TTrainingSource].[Training_Title].[All]" dimensionUniqueName="[TTrainingSource]" displayFolder="" count="2" memberValueDatatype="130" unbalanced="0"/>
    <cacheHierarchy uniqueName="[TTrainingSource].[Training_Title2]" caption="Training_Title2" attribute="1" defaultMemberUniqueName="[TTrainingSource].[Training_Title2].[All]" allUniqueName="[TTrainingSource].[Training_Title2].[All]" dimensionUniqueName="[TTrainingSource]" displayFolder="" count="0" memberValueDatatype="130" unbalanced="0"/>
    <cacheHierarchy uniqueName="[TTrainingSource].[Training_Date]" caption="Training_Date" attribute="1" time="1" defaultMemberUniqueName="[TTrainingSource].[Training_Date].[All]" allUniqueName="[TTrainingSource].[Training_Date].[All]" dimensionUniqueName="[TTrainingSource]" displayFolder="" count="2" memberValueDatatype="7" unbalanced="0"/>
    <cacheHierarchy uniqueName="[TTrainingSource].[Training_Provider]" caption="Training_Provider" attribute="1" defaultMemberUniqueName="[TTrainingSource].[Training_Provider].[All]" allUniqueName="[TTrainingSource].[Training_Provider].[All]" dimensionUniqueName="[TTrainingSource]" displayFolder="" count="0" memberValueDatatype="130" unbalanced="0"/>
    <cacheHierarchy uniqueName="[TTrainingSource].[Duration_Hours]" caption="Duration_Hours" attribute="1" defaultMemberUniqueName="[TTrainingSource].[Duration_Hours].[All]" allUniqueName="[TTrainingSource].[Duration_Hours].[All]" dimensionUniqueName="[TTrainingSource]" displayFolder="" count="0" memberValueDatatype="20" unbalanced="0"/>
    <cacheHierarchy uniqueName="[TTrainingSource].[Satisfaction_Score]" caption="Satisfaction_Score" attribute="1" defaultMemberUniqueName="[TTrainingSource].[Satisfaction_Score].[All]" allUniqueName="[TTrainingSource].[Satisfaction_Score].[All]" dimensionUniqueName="[TTrainingSource]" displayFolder="" count="0" memberValueDatatype="20" unbalanced="0"/>
    <cacheHierarchy uniqueName="[TTrainingSource].[Satisfaction_Score2]" caption="Satisfaction_Score2" attribute="1" defaultMemberUniqueName="[TTrainingSource].[Satisfaction_Score2].[All]" allUniqueName="[TTrainingSource].[Satisfaction_Score2].[All]" dimensionUniqueName="[TTrainingSource]" displayFolder="" count="0" memberValueDatatype="5" unbalanced="0"/>
    <cacheHierarchy uniqueName="[TTrainingSource].[Training_Date (Year)]" caption="Training_Date (Year)" attribute="1" defaultMemberUniqueName="[TTrainingSource].[Training_Date (Year)].[All]" allUniqueName="[TTrainingSource].[Training_Date (Year)].[All]" dimensionUniqueName="[TTrainingSource]" displayFolder="" count="0" memberValueDatatype="130" unbalanced="0"/>
    <cacheHierarchy uniqueName="[TTrainingSource].[Training_Date (Quarter)]" caption="Training_Date (Quarter)" attribute="1" defaultMemberUniqueName="[TTrainingSource].[Training_Date (Quarter)].[All]" allUniqueName="[TTrainingSource].[Training_Date (Quarter)].[All]" dimensionUniqueName="[TTrainingSource]" displayFolder="" count="0" memberValueDatatype="130" unbalanced="0"/>
    <cacheHierarchy uniqueName="[TTrainingSource].[Training_Date (Month)]" caption="Training_Date (Month)" attribute="1" defaultMemberUniqueName="[TTrainingSource].[Training_Date (Month)].[All]" allUniqueName="[TTrainingSource].[Training_Date (Month)].[All]" dimensionUniqueName="[TTrainingSource]" displayFolder="" count="0" memberValueDatatype="130" unbalanced="0"/>
    <cacheHierarchy uniqueName="[TTrainingSource].[Training_Date (Month Index)]" caption="Training_Date (Month Index)" attribute="1" defaultMemberUniqueName="[TTrainingSource].[Training_Date (Month Index)].[All]" allUniqueName="[TTrainingSource].[Training_Date (Month Index)].[All]" dimensionUniqueName="[TTrainingSource]" displayFolder="" count="0" memberValueDatatype="20" unbalanced="0" hidden="1"/>
    <cacheHierarchy uniqueName="[Measures].[__XL_Count TTrainingSource]" caption="__XL_Count TTrainingSource" measure="1" displayFolder="" measureGroup="TTrainingSource" count="0" hidden="1"/>
    <cacheHierarchy uniqueName="[Measures].[__XL_Count THrList]" caption="__XL_Count THrList" measure="1" displayFolder="" measureGroup="THrList" count="0" hidden="1"/>
    <cacheHierarchy uniqueName="[Measures].[__XL_Count TDepartment]" caption="__XL_Count TDepartment" measure="1" displayFolder="" measureGroup="TDepartment" count="0" hidden="1"/>
    <cacheHierarchy uniqueName="[Measures].[__No measures defined]" caption="__No measures defined" measure="1" displayFolder="" count="0" hidden="1"/>
    <cacheHierarchy uniqueName="[Measures].[Count of Duration_Hours]" caption="Count of Duration_Hours" measure="1" displayFolder="" measureGroup="TTrainingSource" count="0" hidden="1">
      <extLst>
        <ext xmlns:x15="http://schemas.microsoft.com/office/spreadsheetml/2010/11/main" uri="{B97F6D7D-B522-45F9-BDA1-12C45D357490}">
          <x15:cacheHierarchy aggregatedColumn="22"/>
        </ext>
      </extLst>
    </cacheHierarchy>
    <cacheHierarchy uniqueName="[Measures].[Sum of Satisfaction_Score]" caption="Sum of Satisfaction_Score" measure="1" displayFolder="" measureGroup="TTrainingSource" count="0" hidden="1">
      <extLst>
        <ext xmlns:x15="http://schemas.microsoft.com/office/spreadsheetml/2010/11/main" uri="{B97F6D7D-B522-45F9-BDA1-12C45D357490}">
          <x15:cacheHierarchy aggregatedColumn="23"/>
        </ext>
      </extLst>
    </cacheHierarchy>
    <cacheHierarchy uniqueName="[Measures].[Sum of Duration_Hours]" caption="Sum of Duration_Hours" measure="1" displayFolder="" measureGroup="TTrainingSourc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Satisfaction_Score2]" caption="Sum of Satisfaction_Score2" measure="1" displayFolder="" measureGroup="TTrainingSource" count="0" hidden="1">
      <extLst>
        <ext xmlns:x15="http://schemas.microsoft.com/office/spreadsheetml/2010/11/main" uri="{B97F6D7D-B522-45F9-BDA1-12C45D357490}">
          <x15:cacheHierarchy aggregatedColumn="24"/>
        </ext>
      </extLst>
    </cacheHierarchy>
    <cacheHierarchy uniqueName="[Measures].[Average of Satisfaction_Score2]" caption="Average of Satisfaction_Score2" measure="1" displayFolder="" measureGroup="TTrainingSource" count="0" hidden="1">
      <extLst>
        <ext xmlns:x15="http://schemas.microsoft.com/office/spreadsheetml/2010/11/main" uri="{B97F6D7D-B522-45F9-BDA1-12C45D357490}">
          <x15:cacheHierarchy aggregatedColumn="24"/>
        </ext>
      </extLst>
    </cacheHierarchy>
    <cacheHierarchy uniqueName="[Measures].[Average of Satisfaction_Score]" caption="Average of Satisfaction_Score" measure="1" displayFolder="" measureGroup="TTrainingSource" count="0" hidden="1">
      <extLst>
        <ext xmlns:x15="http://schemas.microsoft.com/office/spreadsheetml/2010/11/main" uri="{B97F6D7D-B522-45F9-BDA1-12C45D357490}">
          <x15:cacheHierarchy aggregatedColumn="23"/>
        </ext>
      </extLst>
    </cacheHierarchy>
    <cacheHierarchy uniqueName="[Measures].[Count of Training_Title]" caption="Count of Training_Title" measure="1" displayFolder="" measureGroup="TTrainingSource"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TDepartment" uniqueName="[TDepartment]" caption="TDepartment"/>
    <dimension name="THrList" uniqueName="[THrList]" caption="THrList"/>
    <dimension name="TTrainingSource" uniqueName="[TTrainingSource]" caption="TTrainingSource"/>
  </dimensions>
  <measureGroups count="3">
    <measureGroup name="TDepartment" caption="TDepartment"/>
    <measureGroup name="THrList" caption="THrList"/>
    <measureGroup name="TTrainingSource" caption="TTrainingSource"/>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09.504411805552" backgroundQuery="1" createdVersion="8" refreshedVersion="8" minRefreshableVersion="3" recordCount="0" supportSubquery="1" supportAdvancedDrill="1" xr:uid="{DB8EBEF2-6B83-46B1-9CC9-C72B81F71202}">
  <cacheSource type="external" connectionId="1"/>
  <cacheFields count="3">
    <cacheField name="[THrList].[Employment_Status].[Employment_Status]" caption="Employment_Status" numFmtId="0" hierarchy="9" level="1">
      <sharedItems count="3">
        <s v="Contract"/>
        <s v="Intern"/>
        <s v="Permanent"/>
      </sharedItems>
    </cacheField>
    <cacheField name="[Measures].[Sum of Duration_Hours]" caption="Sum of Duration_Hours" numFmtId="0" hierarchy="35" level="32767"/>
    <cacheField name="[TDepartment].[Department].[Department]" caption="Department" numFmtId="0" level="1">
      <sharedItems containsSemiMixedTypes="0" containsNonDate="0" containsString="0"/>
    </cacheField>
  </cacheFields>
  <cacheHierarchies count="40">
    <cacheHierarchy uniqueName="[TDepartment].[Department]" caption="Department" attribute="1" defaultMemberUniqueName="[TDepartment].[Department].[All]" allUniqueName="[TDepartment].[Department].[All]" dimensionUniqueName="[TDepartment]" displayFolder="" count="2" memberValueDatatype="130" unbalanced="0">
      <fieldsUsage count="2">
        <fieldUsage x="-1"/>
        <fieldUsage x="2"/>
      </fieldsUsage>
    </cacheHierarchy>
    <cacheHierarchy uniqueName="[THrList].[Employee_ID]" caption="Employee_ID" attribute="1" defaultMemberUniqueName="[THrList].[Employee_ID].[All]" allUniqueName="[THrList].[Employee_ID].[All]" dimensionUniqueName="[THrList]" displayFolder="" count="0" memberValueDatatype="130" unbalanced="0"/>
    <cacheHierarchy uniqueName="[THrList].[Last_Name]" caption="Last_Name" attribute="1" defaultMemberUniqueName="[THrList].[Last_Name].[All]" allUniqueName="[THrList].[Last_Name].[All]" dimensionUniqueName="[THrList]" displayFolder="" count="0" memberValueDatatype="130" unbalanced="0"/>
    <cacheHierarchy uniqueName="[THrList].[Last_Name2]" caption="Last_Name2" attribute="1" defaultMemberUniqueName="[THrList].[Last_Name2].[All]" allUniqueName="[THrList].[Last_Name2].[All]" dimensionUniqueName="[THrList]" displayFolder="" count="0" memberValueDatatype="130" unbalanced="0"/>
    <cacheHierarchy uniqueName="[THrList].[First_Name]" caption="First_Name" attribute="1" defaultMemberUniqueName="[THrList].[First_Name].[All]" allUniqueName="[THrList].[First_Name].[All]" dimensionUniqueName="[THrList]" displayFolder="" count="0" memberValueDatatype="130" unbalanced="0"/>
    <cacheHierarchy uniqueName="[THrList].[Gender]" caption="Gender" attribute="1" defaultMemberUniqueName="[THrList].[Gender].[All]" allUniqueName="[THrList].[Gender].[All]" dimensionUniqueName="[THrList]" displayFolder="" count="2" memberValueDatatype="130" unbalanced="0"/>
    <cacheHierarchy uniqueName="[THrList].[Date_of_Birth]" caption="Date_of_Birth" attribute="1" time="1" defaultMemberUniqueName="[THrList].[Date_of_Birth].[All]" allUniqueName="[THrList].[Date_of_Birth].[All]" dimensionUniqueName="[THrList]" displayFolder="" count="0" memberValueDatatype="7" unbalanced="0"/>
    <cacheHierarchy uniqueName="[THrList].[Age]" caption="Age" attribute="1" defaultMemberUniqueName="[THrList].[Age].[All]" allUniqueName="[THrList].[Age].[All]" dimensionUniqueName="[THrList]" displayFolder="" count="0" memberValueDatatype="20" unbalanced="0"/>
    <cacheHierarchy uniqueName="[THrList].[Job_Level]" caption="Job_Level" attribute="1" defaultMemberUniqueName="[THrList].[Job_Level].[All]" allUniqueName="[THrList].[Job_Level].[All]" dimensionUniqueName="[THrList]" displayFolder="" count="0" memberValueDatatype="130" unbalanced="0"/>
    <cacheHierarchy uniqueName="[THrList].[Employment_Status]" caption="Employment_Status" attribute="1" defaultMemberUniqueName="[THrList].[Employment_Status].[All]" allUniqueName="[THrList].[Employment_Status].[All]" dimensionUniqueName="[THrList]" displayFolder="" count="2" memberValueDatatype="130" unbalanced="0">
      <fieldsUsage count="2">
        <fieldUsage x="-1"/>
        <fieldUsage x="0"/>
      </fieldsUsage>
    </cacheHierarchy>
    <cacheHierarchy uniqueName="[THrList].[Department]" caption="Department" attribute="1" defaultMemberUniqueName="[THrList].[Department].[All]" allUniqueName="[THrList].[Department].[All]" dimensionUniqueName="[THrList]" displayFolder="" count="2" memberValueDatatype="130" unbalanced="0"/>
    <cacheHierarchy uniqueName="[TTrainingSource].[EMPloyee_ID2]" caption="EMPloyee_ID2" attribute="1" defaultMemberUniqueName="[TTrainingSource].[EMPloyee_ID2].[All]" allUniqueName="[TTrainingSource].[EMPloyee_ID2].[All]" dimensionUniqueName="[TTrainingSource]" displayFolder="" count="0" memberValueDatatype="130" unbalanced="0"/>
    <cacheHierarchy uniqueName="[TTrainingSource].[Employee_ID]" caption="Employee_ID" attribute="1" defaultMemberUniqueName="[TTrainingSource].[Employee_ID].[All]" allUniqueName="[TTrainingSource].[Employee_ID].[All]" dimensionUniqueName="[TTrainingSource]" displayFolder="" count="0" memberValueDatatype="130" unbalanced="0"/>
    <cacheHierarchy uniqueName="[TTrainingSource].[Last_Name]" caption="Last_Name" attribute="1" defaultMemberUniqueName="[TTrainingSource].[Last_Name].[All]" allUniqueName="[TTrainingSource].[Last_Name].[All]" dimensionUniqueName="[TTrainingSource]" displayFolder="" count="0" memberValueDatatype="130" unbalanced="0"/>
    <cacheHierarchy uniqueName="[TTrainingSource].[First_Name]" caption="First_Name" attribute="1" defaultMemberUniqueName="[TTrainingSource].[First_Name].[All]" allUniqueName="[TTrainingSource].[First_Name].[All]" dimensionUniqueName="[TTrainingSource]" displayFolder="" count="0" memberValueDatatype="130" unbalanced="0"/>
    <cacheHierarchy uniqueName="[TTrainingSource].[Department]" caption="Department" attribute="1" defaultMemberUniqueName="[TTrainingSource].[Department].[All]" allUniqueName="[TTrainingSource].[Department].[All]" dimensionUniqueName="[TTrainingSource]" displayFolder="" count="0" memberValueDatatype="130" unbalanced="0"/>
    <cacheHierarchy uniqueName="[TTrainingSource].[Training_Status]" caption="Training_Status" attribute="1" defaultMemberUniqueName="[TTrainingSource].[Training_Status].[All]" allUniqueName="[TTrainingSource].[Training_Status].[All]" dimensionUniqueName="[TTrainingSource]" displayFolder="" count="2" memberValueDatatype="130" unbalanced="0"/>
    <cacheHierarchy uniqueName="[TTrainingSource].[Training_Status2]" caption="Training_Status2" attribute="1" defaultMemberUniqueName="[TTrainingSource].[Training_Status2].[All]" allUniqueName="[TTrainingSource].[Training_Status2].[All]" dimensionUniqueName="[TTrainingSource]" displayFolder="" count="0" memberValueDatatype="130" unbalanced="0"/>
    <cacheHierarchy uniqueName="[TTrainingSource].[Training_Title]" caption="Training_Title" attribute="1" defaultMemberUniqueName="[TTrainingSource].[Training_Title].[All]" allUniqueName="[TTrainingSource].[Training_Title].[All]" dimensionUniqueName="[TTrainingSource]" displayFolder="" count="2" memberValueDatatype="130" unbalanced="0"/>
    <cacheHierarchy uniqueName="[TTrainingSource].[Training_Title2]" caption="Training_Title2" attribute="1" defaultMemberUniqueName="[TTrainingSource].[Training_Title2].[All]" allUniqueName="[TTrainingSource].[Training_Title2].[All]" dimensionUniqueName="[TTrainingSource]" displayFolder="" count="0" memberValueDatatype="130" unbalanced="0"/>
    <cacheHierarchy uniqueName="[TTrainingSource].[Training_Date]" caption="Training_Date" attribute="1" time="1" defaultMemberUniqueName="[TTrainingSource].[Training_Date].[All]" allUniqueName="[TTrainingSource].[Training_Date].[All]" dimensionUniqueName="[TTrainingSource]" displayFolder="" count="2" memberValueDatatype="7" unbalanced="0"/>
    <cacheHierarchy uniqueName="[TTrainingSource].[Training_Provider]" caption="Training_Provider" attribute="1" defaultMemberUniqueName="[TTrainingSource].[Training_Provider].[All]" allUniqueName="[TTrainingSource].[Training_Provider].[All]" dimensionUniqueName="[TTrainingSource]" displayFolder="" count="0" memberValueDatatype="130" unbalanced="0"/>
    <cacheHierarchy uniqueName="[TTrainingSource].[Duration_Hours]" caption="Duration_Hours" attribute="1" defaultMemberUniqueName="[TTrainingSource].[Duration_Hours].[All]" allUniqueName="[TTrainingSource].[Duration_Hours].[All]" dimensionUniqueName="[TTrainingSource]" displayFolder="" count="0" memberValueDatatype="20" unbalanced="0"/>
    <cacheHierarchy uniqueName="[TTrainingSource].[Satisfaction_Score]" caption="Satisfaction_Score" attribute="1" defaultMemberUniqueName="[TTrainingSource].[Satisfaction_Score].[All]" allUniqueName="[TTrainingSource].[Satisfaction_Score].[All]" dimensionUniqueName="[TTrainingSource]" displayFolder="" count="0" memberValueDatatype="20" unbalanced="0"/>
    <cacheHierarchy uniqueName="[TTrainingSource].[Satisfaction_Score2]" caption="Satisfaction_Score2" attribute="1" defaultMemberUniqueName="[TTrainingSource].[Satisfaction_Score2].[All]" allUniqueName="[TTrainingSource].[Satisfaction_Score2].[All]" dimensionUniqueName="[TTrainingSource]" displayFolder="" count="0" memberValueDatatype="5" unbalanced="0"/>
    <cacheHierarchy uniqueName="[TTrainingSource].[Training_Date (Year)]" caption="Training_Date (Year)" attribute="1" defaultMemberUniqueName="[TTrainingSource].[Training_Date (Year)].[All]" allUniqueName="[TTrainingSource].[Training_Date (Year)].[All]" dimensionUniqueName="[TTrainingSource]" displayFolder="" count="0" memberValueDatatype="130" unbalanced="0"/>
    <cacheHierarchy uniqueName="[TTrainingSource].[Training_Date (Quarter)]" caption="Training_Date (Quarter)" attribute="1" defaultMemberUniqueName="[TTrainingSource].[Training_Date (Quarter)].[All]" allUniqueName="[TTrainingSource].[Training_Date (Quarter)].[All]" dimensionUniqueName="[TTrainingSource]" displayFolder="" count="0" memberValueDatatype="130" unbalanced="0"/>
    <cacheHierarchy uniqueName="[TTrainingSource].[Training_Date (Month)]" caption="Training_Date (Month)" attribute="1" defaultMemberUniqueName="[TTrainingSource].[Training_Date (Month)].[All]" allUniqueName="[TTrainingSource].[Training_Date (Month)].[All]" dimensionUniqueName="[TTrainingSource]" displayFolder="" count="0" memberValueDatatype="130" unbalanced="0"/>
    <cacheHierarchy uniqueName="[TTrainingSource].[Training_Date (Month Index)]" caption="Training_Date (Month Index)" attribute="1" defaultMemberUniqueName="[TTrainingSource].[Training_Date (Month Index)].[All]" allUniqueName="[TTrainingSource].[Training_Date (Month Index)].[All]" dimensionUniqueName="[TTrainingSource]" displayFolder="" count="0" memberValueDatatype="20" unbalanced="0" hidden="1"/>
    <cacheHierarchy uniqueName="[Measures].[__XL_Count TTrainingSource]" caption="__XL_Count TTrainingSource" measure="1" displayFolder="" measureGroup="TTrainingSource" count="0" hidden="1"/>
    <cacheHierarchy uniqueName="[Measures].[__XL_Count THrList]" caption="__XL_Count THrList" measure="1" displayFolder="" measureGroup="THrList" count="0" hidden="1"/>
    <cacheHierarchy uniqueName="[Measures].[__XL_Count TDepartment]" caption="__XL_Count TDepartment" measure="1" displayFolder="" measureGroup="TDepartment" count="0" hidden="1"/>
    <cacheHierarchy uniqueName="[Measures].[__No measures defined]" caption="__No measures defined" measure="1" displayFolder="" count="0" hidden="1"/>
    <cacheHierarchy uniqueName="[Measures].[Count of Duration_Hours]" caption="Count of Duration_Hours" measure="1" displayFolder="" measureGroup="TTrainingSource" count="0" hidden="1">
      <extLst>
        <ext xmlns:x15="http://schemas.microsoft.com/office/spreadsheetml/2010/11/main" uri="{B97F6D7D-B522-45F9-BDA1-12C45D357490}">
          <x15:cacheHierarchy aggregatedColumn="22"/>
        </ext>
      </extLst>
    </cacheHierarchy>
    <cacheHierarchy uniqueName="[Measures].[Sum of Satisfaction_Score]" caption="Sum of Satisfaction_Score" measure="1" displayFolder="" measureGroup="TTrainingSource" count="0" hidden="1">
      <extLst>
        <ext xmlns:x15="http://schemas.microsoft.com/office/spreadsheetml/2010/11/main" uri="{B97F6D7D-B522-45F9-BDA1-12C45D357490}">
          <x15:cacheHierarchy aggregatedColumn="23"/>
        </ext>
      </extLst>
    </cacheHierarchy>
    <cacheHierarchy uniqueName="[Measures].[Sum of Duration_Hours]" caption="Sum of Duration_Hours" measure="1" displayFolder="" measureGroup="TTrainingSourc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Satisfaction_Score2]" caption="Sum of Satisfaction_Score2" measure="1" displayFolder="" measureGroup="TTrainingSource" count="0" hidden="1">
      <extLst>
        <ext xmlns:x15="http://schemas.microsoft.com/office/spreadsheetml/2010/11/main" uri="{B97F6D7D-B522-45F9-BDA1-12C45D357490}">
          <x15:cacheHierarchy aggregatedColumn="24"/>
        </ext>
      </extLst>
    </cacheHierarchy>
    <cacheHierarchy uniqueName="[Measures].[Average of Satisfaction_Score2]" caption="Average of Satisfaction_Score2" measure="1" displayFolder="" measureGroup="TTrainingSource" count="0" hidden="1">
      <extLst>
        <ext xmlns:x15="http://schemas.microsoft.com/office/spreadsheetml/2010/11/main" uri="{B97F6D7D-B522-45F9-BDA1-12C45D357490}">
          <x15:cacheHierarchy aggregatedColumn="24"/>
        </ext>
      </extLst>
    </cacheHierarchy>
    <cacheHierarchy uniqueName="[Measures].[Average of Satisfaction_Score]" caption="Average of Satisfaction_Score" measure="1" displayFolder="" measureGroup="TTrainingSource" count="0" hidden="1">
      <extLst>
        <ext xmlns:x15="http://schemas.microsoft.com/office/spreadsheetml/2010/11/main" uri="{B97F6D7D-B522-45F9-BDA1-12C45D357490}">
          <x15:cacheHierarchy aggregatedColumn="23"/>
        </ext>
      </extLst>
    </cacheHierarchy>
    <cacheHierarchy uniqueName="[Measures].[Count of Training_Title]" caption="Count of Training_Title" measure="1" displayFolder="" measureGroup="TTrainingSource"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TDepartment" uniqueName="[TDepartment]" caption="TDepartment"/>
    <dimension name="THrList" uniqueName="[THrList]" caption="THrList"/>
    <dimension name="TTrainingSource" uniqueName="[TTrainingSource]" caption="TTrainingSource"/>
  </dimensions>
  <measureGroups count="3">
    <measureGroup name="TDepartment" caption="TDepartment"/>
    <measureGroup name="THrList" caption="THrList"/>
    <measureGroup name="TTrainingSource" caption="TTrainingSource"/>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09.504412268521" backgroundQuery="1" createdVersion="8" refreshedVersion="8" minRefreshableVersion="3" recordCount="0" supportSubquery="1" supportAdvancedDrill="1" xr:uid="{B8CD1358-D544-4FB3-A7DF-D9E4A440BAF9}">
  <cacheSource type="external" connectionId="1"/>
  <cacheFields count="3">
    <cacheField name="[THrList].[Gender].[Gender]" caption="Gender" numFmtId="0" hierarchy="5" level="1">
      <sharedItems count="2">
        <s v="Female"/>
        <s v="Male"/>
      </sharedItems>
    </cacheField>
    <cacheField name="[Measures].[Sum of Duration_Hours]" caption="Sum of Duration_Hours" numFmtId="0" hierarchy="35" level="32767"/>
    <cacheField name="[TDepartment].[Department].[Department]" caption="Department" numFmtId="0" level="1">
      <sharedItems containsSemiMixedTypes="0" containsNonDate="0" containsString="0"/>
    </cacheField>
  </cacheFields>
  <cacheHierarchies count="40">
    <cacheHierarchy uniqueName="[TDepartment].[Department]" caption="Department" attribute="1" defaultMemberUniqueName="[TDepartment].[Department].[All]" allUniqueName="[TDepartment].[Department].[All]" dimensionUniqueName="[TDepartment]" displayFolder="" count="2" memberValueDatatype="130" unbalanced="0">
      <fieldsUsage count="2">
        <fieldUsage x="-1"/>
        <fieldUsage x="2"/>
      </fieldsUsage>
    </cacheHierarchy>
    <cacheHierarchy uniqueName="[THrList].[Employee_ID]" caption="Employee_ID" attribute="1" defaultMemberUniqueName="[THrList].[Employee_ID].[All]" allUniqueName="[THrList].[Employee_ID].[All]" dimensionUniqueName="[THrList]" displayFolder="" count="0" memberValueDatatype="130" unbalanced="0"/>
    <cacheHierarchy uniqueName="[THrList].[Last_Name]" caption="Last_Name" attribute="1" defaultMemberUniqueName="[THrList].[Last_Name].[All]" allUniqueName="[THrList].[Last_Name].[All]" dimensionUniqueName="[THrList]" displayFolder="" count="0" memberValueDatatype="130" unbalanced="0"/>
    <cacheHierarchy uniqueName="[THrList].[Last_Name2]" caption="Last_Name2" attribute="1" defaultMemberUniqueName="[THrList].[Last_Name2].[All]" allUniqueName="[THrList].[Last_Name2].[All]" dimensionUniqueName="[THrList]" displayFolder="" count="0" memberValueDatatype="130" unbalanced="0"/>
    <cacheHierarchy uniqueName="[THrList].[First_Name]" caption="First_Name" attribute="1" defaultMemberUniqueName="[THrList].[First_Name].[All]" allUniqueName="[THrList].[First_Name].[All]" dimensionUniqueName="[THrList]" displayFolder="" count="0" memberValueDatatype="130" unbalanced="0"/>
    <cacheHierarchy uniqueName="[THrList].[Gender]" caption="Gender" attribute="1" defaultMemberUniqueName="[THrList].[Gender].[All]" allUniqueName="[THrList].[Gender].[All]" dimensionUniqueName="[THrList]" displayFolder="" count="2" memberValueDatatype="130" unbalanced="0">
      <fieldsUsage count="2">
        <fieldUsage x="-1"/>
        <fieldUsage x="0"/>
      </fieldsUsage>
    </cacheHierarchy>
    <cacheHierarchy uniqueName="[THrList].[Date_of_Birth]" caption="Date_of_Birth" attribute="1" time="1" defaultMemberUniqueName="[THrList].[Date_of_Birth].[All]" allUniqueName="[THrList].[Date_of_Birth].[All]" dimensionUniqueName="[THrList]" displayFolder="" count="0" memberValueDatatype="7" unbalanced="0"/>
    <cacheHierarchy uniqueName="[THrList].[Age]" caption="Age" attribute="1" defaultMemberUniqueName="[THrList].[Age].[All]" allUniqueName="[THrList].[Age].[All]" dimensionUniqueName="[THrList]" displayFolder="" count="0" memberValueDatatype="20" unbalanced="0"/>
    <cacheHierarchy uniqueName="[THrList].[Job_Level]" caption="Job_Level" attribute="1" defaultMemberUniqueName="[THrList].[Job_Level].[All]" allUniqueName="[THrList].[Job_Level].[All]" dimensionUniqueName="[THrList]" displayFolder="" count="0" memberValueDatatype="130" unbalanced="0"/>
    <cacheHierarchy uniqueName="[THrList].[Employment_Status]" caption="Employment_Status" attribute="1" defaultMemberUniqueName="[THrList].[Employment_Status].[All]" allUniqueName="[THrList].[Employment_Status].[All]" dimensionUniqueName="[THrList]" displayFolder="" count="0" memberValueDatatype="130" unbalanced="0"/>
    <cacheHierarchy uniqueName="[THrList].[Department]" caption="Department" attribute="1" defaultMemberUniqueName="[THrList].[Department].[All]" allUniqueName="[THrList].[Department].[All]" dimensionUniqueName="[THrList]" displayFolder="" count="2" memberValueDatatype="130" unbalanced="0"/>
    <cacheHierarchy uniqueName="[TTrainingSource].[EMPloyee_ID2]" caption="EMPloyee_ID2" attribute="1" defaultMemberUniqueName="[TTrainingSource].[EMPloyee_ID2].[All]" allUniqueName="[TTrainingSource].[EMPloyee_ID2].[All]" dimensionUniqueName="[TTrainingSource]" displayFolder="" count="0" memberValueDatatype="130" unbalanced="0"/>
    <cacheHierarchy uniqueName="[TTrainingSource].[Employee_ID]" caption="Employee_ID" attribute="1" defaultMemberUniqueName="[TTrainingSource].[Employee_ID].[All]" allUniqueName="[TTrainingSource].[Employee_ID].[All]" dimensionUniqueName="[TTrainingSource]" displayFolder="" count="0" memberValueDatatype="130" unbalanced="0"/>
    <cacheHierarchy uniqueName="[TTrainingSource].[Last_Name]" caption="Last_Name" attribute="1" defaultMemberUniqueName="[TTrainingSource].[Last_Name].[All]" allUniqueName="[TTrainingSource].[Last_Name].[All]" dimensionUniqueName="[TTrainingSource]" displayFolder="" count="0" memberValueDatatype="130" unbalanced="0"/>
    <cacheHierarchy uniqueName="[TTrainingSource].[First_Name]" caption="First_Name" attribute="1" defaultMemberUniqueName="[TTrainingSource].[First_Name].[All]" allUniqueName="[TTrainingSource].[First_Name].[All]" dimensionUniqueName="[TTrainingSource]" displayFolder="" count="0" memberValueDatatype="130" unbalanced="0"/>
    <cacheHierarchy uniqueName="[TTrainingSource].[Department]" caption="Department" attribute="1" defaultMemberUniqueName="[TTrainingSource].[Department].[All]" allUniqueName="[TTrainingSource].[Department].[All]" dimensionUniqueName="[TTrainingSource]" displayFolder="" count="0" memberValueDatatype="130" unbalanced="0"/>
    <cacheHierarchy uniqueName="[TTrainingSource].[Training_Status]" caption="Training_Status" attribute="1" defaultMemberUniqueName="[TTrainingSource].[Training_Status].[All]" allUniqueName="[TTrainingSource].[Training_Status].[All]" dimensionUniqueName="[TTrainingSource]" displayFolder="" count="2" memberValueDatatype="130" unbalanced="0"/>
    <cacheHierarchy uniqueName="[TTrainingSource].[Training_Status2]" caption="Training_Status2" attribute="1" defaultMemberUniqueName="[TTrainingSource].[Training_Status2].[All]" allUniqueName="[TTrainingSource].[Training_Status2].[All]" dimensionUniqueName="[TTrainingSource]" displayFolder="" count="0" memberValueDatatype="130" unbalanced="0"/>
    <cacheHierarchy uniqueName="[TTrainingSource].[Training_Title]" caption="Training_Title" attribute="1" defaultMemberUniqueName="[TTrainingSource].[Training_Title].[All]" allUniqueName="[TTrainingSource].[Training_Title].[All]" dimensionUniqueName="[TTrainingSource]" displayFolder="" count="2" memberValueDatatype="130" unbalanced="0"/>
    <cacheHierarchy uniqueName="[TTrainingSource].[Training_Title2]" caption="Training_Title2" attribute="1" defaultMemberUniqueName="[TTrainingSource].[Training_Title2].[All]" allUniqueName="[TTrainingSource].[Training_Title2].[All]" dimensionUniqueName="[TTrainingSource]" displayFolder="" count="0" memberValueDatatype="130" unbalanced="0"/>
    <cacheHierarchy uniqueName="[TTrainingSource].[Training_Date]" caption="Training_Date" attribute="1" time="1" defaultMemberUniqueName="[TTrainingSource].[Training_Date].[All]" allUniqueName="[TTrainingSource].[Training_Date].[All]" dimensionUniqueName="[TTrainingSource]" displayFolder="" count="2" memberValueDatatype="7" unbalanced="0"/>
    <cacheHierarchy uniqueName="[TTrainingSource].[Training_Provider]" caption="Training_Provider" attribute="1" defaultMemberUniqueName="[TTrainingSource].[Training_Provider].[All]" allUniqueName="[TTrainingSource].[Training_Provider].[All]" dimensionUniqueName="[TTrainingSource]" displayFolder="" count="0" memberValueDatatype="130" unbalanced="0"/>
    <cacheHierarchy uniqueName="[TTrainingSource].[Duration_Hours]" caption="Duration_Hours" attribute="1" defaultMemberUniqueName="[TTrainingSource].[Duration_Hours].[All]" allUniqueName="[TTrainingSource].[Duration_Hours].[All]" dimensionUniqueName="[TTrainingSource]" displayFolder="" count="0" memberValueDatatype="20" unbalanced="0"/>
    <cacheHierarchy uniqueName="[TTrainingSource].[Satisfaction_Score]" caption="Satisfaction_Score" attribute="1" defaultMemberUniqueName="[TTrainingSource].[Satisfaction_Score].[All]" allUniqueName="[TTrainingSource].[Satisfaction_Score].[All]" dimensionUniqueName="[TTrainingSource]" displayFolder="" count="0" memberValueDatatype="20" unbalanced="0"/>
    <cacheHierarchy uniqueName="[TTrainingSource].[Satisfaction_Score2]" caption="Satisfaction_Score2" attribute="1" defaultMemberUniqueName="[TTrainingSource].[Satisfaction_Score2].[All]" allUniqueName="[TTrainingSource].[Satisfaction_Score2].[All]" dimensionUniqueName="[TTrainingSource]" displayFolder="" count="0" memberValueDatatype="5" unbalanced="0"/>
    <cacheHierarchy uniqueName="[TTrainingSource].[Training_Date (Year)]" caption="Training_Date (Year)" attribute="1" defaultMemberUniqueName="[TTrainingSource].[Training_Date (Year)].[All]" allUniqueName="[TTrainingSource].[Training_Date (Year)].[All]" dimensionUniqueName="[TTrainingSource]" displayFolder="" count="0" memberValueDatatype="130" unbalanced="0"/>
    <cacheHierarchy uniqueName="[TTrainingSource].[Training_Date (Quarter)]" caption="Training_Date (Quarter)" attribute="1" defaultMemberUniqueName="[TTrainingSource].[Training_Date (Quarter)].[All]" allUniqueName="[TTrainingSource].[Training_Date (Quarter)].[All]" dimensionUniqueName="[TTrainingSource]" displayFolder="" count="0" memberValueDatatype="130" unbalanced="0"/>
    <cacheHierarchy uniqueName="[TTrainingSource].[Training_Date (Month)]" caption="Training_Date (Month)" attribute="1" defaultMemberUniqueName="[TTrainingSource].[Training_Date (Month)].[All]" allUniqueName="[TTrainingSource].[Training_Date (Month)].[All]" dimensionUniqueName="[TTrainingSource]" displayFolder="" count="0" memberValueDatatype="130" unbalanced="0"/>
    <cacheHierarchy uniqueName="[TTrainingSource].[Training_Date (Month Index)]" caption="Training_Date (Month Index)" attribute="1" defaultMemberUniqueName="[TTrainingSource].[Training_Date (Month Index)].[All]" allUniqueName="[TTrainingSource].[Training_Date (Month Index)].[All]" dimensionUniqueName="[TTrainingSource]" displayFolder="" count="0" memberValueDatatype="20" unbalanced="0" hidden="1"/>
    <cacheHierarchy uniqueName="[Measures].[__XL_Count TTrainingSource]" caption="__XL_Count TTrainingSource" measure="1" displayFolder="" measureGroup="TTrainingSource" count="0" hidden="1"/>
    <cacheHierarchy uniqueName="[Measures].[__XL_Count THrList]" caption="__XL_Count THrList" measure="1" displayFolder="" measureGroup="THrList" count="0" hidden="1"/>
    <cacheHierarchy uniqueName="[Measures].[__XL_Count TDepartment]" caption="__XL_Count TDepartment" measure="1" displayFolder="" measureGroup="TDepartment" count="0" hidden="1"/>
    <cacheHierarchy uniqueName="[Measures].[__No measures defined]" caption="__No measures defined" measure="1" displayFolder="" count="0" hidden="1"/>
    <cacheHierarchy uniqueName="[Measures].[Count of Duration_Hours]" caption="Count of Duration_Hours" measure="1" displayFolder="" measureGroup="TTrainingSource" count="0" hidden="1">
      <extLst>
        <ext xmlns:x15="http://schemas.microsoft.com/office/spreadsheetml/2010/11/main" uri="{B97F6D7D-B522-45F9-BDA1-12C45D357490}">
          <x15:cacheHierarchy aggregatedColumn="22"/>
        </ext>
      </extLst>
    </cacheHierarchy>
    <cacheHierarchy uniqueName="[Measures].[Sum of Satisfaction_Score]" caption="Sum of Satisfaction_Score" measure="1" displayFolder="" measureGroup="TTrainingSource" count="0" hidden="1">
      <extLst>
        <ext xmlns:x15="http://schemas.microsoft.com/office/spreadsheetml/2010/11/main" uri="{B97F6D7D-B522-45F9-BDA1-12C45D357490}">
          <x15:cacheHierarchy aggregatedColumn="23"/>
        </ext>
      </extLst>
    </cacheHierarchy>
    <cacheHierarchy uniqueName="[Measures].[Sum of Duration_Hours]" caption="Sum of Duration_Hours" measure="1" displayFolder="" measureGroup="TTrainingSourc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Satisfaction_Score2]" caption="Sum of Satisfaction_Score2" measure="1" displayFolder="" measureGroup="TTrainingSource" count="0" hidden="1">
      <extLst>
        <ext xmlns:x15="http://schemas.microsoft.com/office/spreadsheetml/2010/11/main" uri="{B97F6D7D-B522-45F9-BDA1-12C45D357490}">
          <x15:cacheHierarchy aggregatedColumn="24"/>
        </ext>
      </extLst>
    </cacheHierarchy>
    <cacheHierarchy uniqueName="[Measures].[Average of Satisfaction_Score2]" caption="Average of Satisfaction_Score2" measure="1" displayFolder="" measureGroup="TTrainingSource" count="0" hidden="1">
      <extLst>
        <ext xmlns:x15="http://schemas.microsoft.com/office/spreadsheetml/2010/11/main" uri="{B97F6D7D-B522-45F9-BDA1-12C45D357490}">
          <x15:cacheHierarchy aggregatedColumn="24"/>
        </ext>
      </extLst>
    </cacheHierarchy>
    <cacheHierarchy uniqueName="[Measures].[Average of Satisfaction_Score]" caption="Average of Satisfaction_Score" measure="1" displayFolder="" measureGroup="TTrainingSource" count="0" hidden="1">
      <extLst>
        <ext xmlns:x15="http://schemas.microsoft.com/office/spreadsheetml/2010/11/main" uri="{B97F6D7D-B522-45F9-BDA1-12C45D357490}">
          <x15:cacheHierarchy aggregatedColumn="23"/>
        </ext>
      </extLst>
    </cacheHierarchy>
    <cacheHierarchy uniqueName="[Measures].[Count of Training_Title]" caption="Count of Training_Title" measure="1" displayFolder="" measureGroup="TTrainingSource"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TDepartment" uniqueName="[TDepartment]" caption="TDepartment"/>
    <dimension name="THrList" uniqueName="[THrList]" caption="THrList"/>
    <dimension name="TTrainingSource" uniqueName="[TTrainingSource]" caption="TTrainingSource"/>
  </dimensions>
  <measureGroups count="3">
    <measureGroup name="TDepartment" caption="TDepartment"/>
    <measureGroup name="THrList" caption="THrList"/>
    <measureGroup name="TTrainingSource" caption="TTrainingSource"/>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09.504412731483" backgroundQuery="1" createdVersion="8" refreshedVersion="8" minRefreshableVersion="3" recordCount="0" supportSubquery="1" supportAdvancedDrill="1" xr:uid="{34CA3BA6-DDB7-4EB6-A62F-7635EF692DCE}">
  <cacheSource type="external" connectionId="1"/>
  <cacheFields count="3">
    <cacheField name="[TTrainingSource].[Training_Provider].[Training_Provider]" caption="Training_Provider" numFmtId="0" hierarchy="21" level="1">
      <sharedItems count="7">
        <s v="AWS Training"/>
        <s v="Coursera"/>
        <s v="Google Partners"/>
        <s v="Internal Training"/>
        <s v="LinkedIn Learning"/>
        <s v="Microsoft Learn"/>
        <s v="Udemy Business"/>
      </sharedItems>
    </cacheField>
    <cacheField name="[Measures].[Average of Satisfaction_Score]" caption="Average of Satisfaction_Score" numFmtId="0" hierarchy="38" level="32767"/>
    <cacheField name="[TDepartment].[Department].[Department]" caption="Department" numFmtId="0" level="1">
      <sharedItems containsSemiMixedTypes="0" containsNonDate="0" containsString="0"/>
    </cacheField>
  </cacheFields>
  <cacheHierarchies count="40">
    <cacheHierarchy uniqueName="[TDepartment].[Department]" caption="Department" attribute="1" defaultMemberUniqueName="[TDepartment].[Department].[All]" allUniqueName="[TDepartment].[Department].[All]" dimensionUniqueName="[TDepartment]" displayFolder="" count="2" memberValueDatatype="130" unbalanced="0">
      <fieldsUsage count="2">
        <fieldUsage x="-1"/>
        <fieldUsage x="2"/>
      </fieldsUsage>
    </cacheHierarchy>
    <cacheHierarchy uniqueName="[THrList].[Employee_ID]" caption="Employee_ID" attribute="1" defaultMemberUniqueName="[THrList].[Employee_ID].[All]" allUniqueName="[THrList].[Employee_ID].[All]" dimensionUniqueName="[THrList]" displayFolder="" count="0" memberValueDatatype="130" unbalanced="0"/>
    <cacheHierarchy uniqueName="[THrList].[Last_Name]" caption="Last_Name" attribute="1" defaultMemberUniqueName="[THrList].[Last_Name].[All]" allUniqueName="[THrList].[Last_Name].[All]" dimensionUniqueName="[THrList]" displayFolder="" count="0" memberValueDatatype="130" unbalanced="0"/>
    <cacheHierarchy uniqueName="[THrList].[Last_Name2]" caption="Last_Name2" attribute="1" defaultMemberUniqueName="[THrList].[Last_Name2].[All]" allUniqueName="[THrList].[Last_Name2].[All]" dimensionUniqueName="[THrList]" displayFolder="" count="0" memberValueDatatype="130" unbalanced="0"/>
    <cacheHierarchy uniqueName="[THrList].[First_Name]" caption="First_Name" attribute="1" defaultMemberUniqueName="[THrList].[First_Name].[All]" allUniqueName="[THrList].[First_Name].[All]" dimensionUniqueName="[THrList]" displayFolder="" count="0" memberValueDatatype="130" unbalanced="0"/>
    <cacheHierarchy uniqueName="[THrList].[Gender]" caption="Gender" attribute="1" defaultMemberUniqueName="[THrList].[Gender].[All]" allUniqueName="[THrList].[Gender].[All]" dimensionUniqueName="[THrList]" displayFolder="" count="2" memberValueDatatype="130" unbalanced="0"/>
    <cacheHierarchy uniqueName="[THrList].[Date_of_Birth]" caption="Date_of_Birth" attribute="1" time="1" defaultMemberUniqueName="[THrList].[Date_of_Birth].[All]" allUniqueName="[THrList].[Date_of_Birth].[All]" dimensionUniqueName="[THrList]" displayFolder="" count="0" memberValueDatatype="7" unbalanced="0"/>
    <cacheHierarchy uniqueName="[THrList].[Age]" caption="Age" attribute="1" defaultMemberUniqueName="[THrList].[Age].[All]" allUniqueName="[THrList].[Age].[All]" dimensionUniqueName="[THrList]" displayFolder="" count="0" memberValueDatatype="20" unbalanced="0"/>
    <cacheHierarchy uniqueName="[THrList].[Job_Level]" caption="Job_Level" attribute="1" defaultMemberUniqueName="[THrList].[Job_Level].[All]" allUniqueName="[THrList].[Job_Level].[All]" dimensionUniqueName="[THrList]" displayFolder="" count="0" memberValueDatatype="130" unbalanced="0"/>
    <cacheHierarchy uniqueName="[THrList].[Employment_Status]" caption="Employment_Status" attribute="1" defaultMemberUniqueName="[THrList].[Employment_Status].[All]" allUniqueName="[THrList].[Employment_Status].[All]" dimensionUniqueName="[THrList]" displayFolder="" count="0" memberValueDatatype="130" unbalanced="0"/>
    <cacheHierarchy uniqueName="[THrList].[Department]" caption="Department" attribute="1" defaultMemberUniqueName="[THrList].[Department].[All]" allUniqueName="[THrList].[Department].[All]" dimensionUniqueName="[THrList]" displayFolder="" count="2" memberValueDatatype="130" unbalanced="0"/>
    <cacheHierarchy uniqueName="[TTrainingSource].[EMPloyee_ID2]" caption="EMPloyee_ID2" attribute="1" defaultMemberUniqueName="[TTrainingSource].[EMPloyee_ID2].[All]" allUniqueName="[TTrainingSource].[EMPloyee_ID2].[All]" dimensionUniqueName="[TTrainingSource]" displayFolder="" count="0" memberValueDatatype="130" unbalanced="0"/>
    <cacheHierarchy uniqueName="[TTrainingSource].[Employee_ID]" caption="Employee_ID" attribute="1" defaultMemberUniqueName="[TTrainingSource].[Employee_ID].[All]" allUniqueName="[TTrainingSource].[Employee_ID].[All]" dimensionUniqueName="[TTrainingSource]" displayFolder="" count="0" memberValueDatatype="130" unbalanced="0"/>
    <cacheHierarchy uniqueName="[TTrainingSource].[Last_Name]" caption="Last_Name" attribute="1" defaultMemberUniqueName="[TTrainingSource].[Last_Name].[All]" allUniqueName="[TTrainingSource].[Last_Name].[All]" dimensionUniqueName="[TTrainingSource]" displayFolder="" count="0" memberValueDatatype="130" unbalanced="0"/>
    <cacheHierarchy uniqueName="[TTrainingSource].[First_Name]" caption="First_Name" attribute="1" defaultMemberUniqueName="[TTrainingSource].[First_Name].[All]" allUniqueName="[TTrainingSource].[First_Name].[All]" dimensionUniqueName="[TTrainingSource]" displayFolder="" count="0" memberValueDatatype="130" unbalanced="0"/>
    <cacheHierarchy uniqueName="[TTrainingSource].[Department]" caption="Department" attribute="1" defaultMemberUniqueName="[TTrainingSource].[Department].[All]" allUniqueName="[TTrainingSource].[Department].[All]" dimensionUniqueName="[TTrainingSource]" displayFolder="" count="0" memberValueDatatype="130" unbalanced="0"/>
    <cacheHierarchy uniqueName="[TTrainingSource].[Training_Status]" caption="Training_Status" attribute="1" defaultMemberUniqueName="[TTrainingSource].[Training_Status].[All]" allUniqueName="[TTrainingSource].[Training_Status].[All]" dimensionUniqueName="[TTrainingSource]" displayFolder="" count="2" memberValueDatatype="130" unbalanced="0"/>
    <cacheHierarchy uniqueName="[TTrainingSource].[Training_Status2]" caption="Training_Status2" attribute="1" defaultMemberUniqueName="[TTrainingSource].[Training_Status2].[All]" allUniqueName="[TTrainingSource].[Training_Status2].[All]" dimensionUniqueName="[TTrainingSource]" displayFolder="" count="0" memberValueDatatype="130" unbalanced="0"/>
    <cacheHierarchy uniqueName="[TTrainingSource].[Training_Title]" caption="Training_Title" attribute="1" defaultMemberUniqueName="[TTrainingSource].[Training_Title].[All]" allUniqueName="[TTrainingSource].[Training_Title].[All]" dimensionUniqueName="[TTrainingSource]" displayFolder="" count="2" memberValueDatatype="130" unbalanced="0"/>
    <cacheHierarchy uniqueName="[TTrainingSource].[Training_Title2]" caption="Training_Title2" attribute="1" defaultMemberUniqueName="[TTrainingSource].[Training_Title2].[All]" allUniqueName="[TTrainingSource].[Training_Title2].[All]" dimensionUniqueName="[TTrainingSource]" displayFolder="" count="0" memberValueDatatype="130" unbalanced="0"/>
    <cacheHierarchy uniqueName="[TTrainingSource].[Training_Date]" caption="Training_Date" attribute="1" time="1" defaultMemberUniqueName="[TTrainingSource].[Training_Date].[All]" allUniqueName="[TTrainingSource].[Training_Date].[All]" dimensionUniqueName="[TTrainingSource]" displayFolder="" count="2" memberValueDatatype="7" unbalanced="0"/>
    <cacheHierarchy uniqueName="[TTrainingSource].[Training_Provider]" caption="Training_Provider" attribute="1" defaultMemberUniqueName="[TTrainingSource].[Training_Provider].[All]" allUniqueName="[TTrainingSource].[Training_Provider].[All]" dimensionUniqueName="[TTrainingSource]" displayFolder="" count="2" memberValueDatatype="130" unbalanced="0">
      <fieldsUsage count="2">
        <fieldUsage x="-1"/>
        <fieldUsage x="0"/>
      </fieldsUsage>
    </cacheHierarchy>
    <cacheHierarchy uniqueName="[TTrainingSource].[Duration_Hours]" caption="Duration_Hours" attribute="1" defaultMemberUniqueName="[TTrainingSource].[Duration_Hours].[All]" allUniqueName="[TTrainingSource].[Duration_Hours].[All]" dimensionUniqueName="[TTrainingSource]" displayFolder="" count="0" memberValueDatatype="20" unbalanced="0"/>
    <cacheHierarchy uniqueName="[TTrainingSource].[Satisfaction_Score]" caption="Satisfaction_Score" attribute="1" defaultMemberUniqueName="[TTrainingSource].[Satisfaction_Score].[All]" allUniqueName="[TTrainingSource].[Satisfaction_Score].[All]" dimensionUniqueName="[TTrainingSource]" displayFolder="" count="0" memberValueDatatype="20" unbalanced="0"/>
    <cacheHierarchy uniqueName="[TTrainingSource].[Satisfaction_Score2]" caption="Satisfaction_Score2" attribute="1" defaultMemberUniqueName="[TTrainingSource].[Satisfaction_Score2].[All]" allUniqueName="[TTrainingSource].[Satisfaction_Score2].[All]" dimensionUniqueName="[TTrainingSource]" displayFolder="" count="0" memberValueDatatype="5" unbalanced="0"/>
    <cacheHierarchy uniqueName="[TTrainingSource].[Training_Date (Year)]" caption="Training_Date (Year)" attribute="1" defaultMemberUniqueName="[TTrainingSource].[Training_Date (Year)].[All]" allUniqueName="[TTrainingSource].[Training_Date (Year)].[All]" dimensionUniqueName="[TTrainingSource]" displayFolder="" count="0" memberValueDatatype="130" unbalanced="0"/>
    <cacheHierarchy uniqueName="[TTrainingSource].[Training_Date (Quarter)]" caption="Training_Date (Quarter)" attribute="1" defaultMemberUniqueName="[TTrainingSource].[Training_Date (Quarter)].[All]" allUniqueName="[TTrainingSource].[Training_Date (Quarter)].[All]" dimensionUniqueName="[TTrainingSource]" displayFolder="" count="0" memberValueDatatype="130" unbalanced="0"/>
    <cacheHierarchy uniqueName="[TTrainingSource].[Training_Date (Month)]" caption="Training_Date (Month)" attribute="1" defaultMemberUniqueName="[TTrainingSource].[Training_Date (Month)].[All]" allUniqueName="[TTrainingSource].[Training_Date (Month)].[All]" dimensionUniqueName="[TTrainingSource]" displayFolder="" count="0" memberValueDatatype="130" unbalanced="0"/>
    <cacheHierarchy uniqueName="[TTrainingSource].[Training_Date (Month Index)]" caption="Training_Date (Month Index)" attribute="1" defaultMemberUniqueName="[TTrainingSource].[Training_Date (Month Index)].[All]" allUniqueName="[TTrainingSource].[Training_Date (Month Index)].[All]" dimensionUniqueName="[TTrainingSource]" displayFolder="" count="0" memberValueDatatype="20" unbalanced="0" hidden="1"/>
    <cacheHierarchy uniqueName="[Measures].[__XL_Count TTrainingSource]" caption="__XL_Count TTrainingSource" measure="1" displayFolder="" measureGroup="TTrainingSource" count="0" hidden="1"/>
    <cacheHierarchy uniqueName="[Measures].[__XL_Count THrList]" caption="__XL_Count THrList" measure="1" displayFolder="" measureGroup="THrList" count="0" hidden="1"/>
    <cacheHierarchy uniqueName="[Measures].[__XL_Count TDepartment]" caption="__XL_Count TDepartment" measure="1" displayFolder="" measureGroup="TDepartment" count="0" hidden="1"/>
    <cacheHierarchy uniqueName="[Measures].[__No measures defined]" caption="__No measures defined" measure="1" displayFolder="" count="0" hidden="1"/>
    <cacheHierarchy uniqueName="[Measures].[Count of Duration_Hours]" caption="Count of Duration_Hours" measure="1" displayFolder="" measureGroup="TTrainingSource" count="0" hidden="1">
      <extLst>
        <ext xmlns:x15="http://schemas.microsoft.com/office/spreadsheetml/2010/11/main" uri="{B97F6D7D-B522-45F9-BDA1-12C45D357490}">
          <x15:cacheHierarchy aggregatedColumn="22"/>
        </ext>
      </extLst>
    </cacheHierarchy>
    <cacheHierarchy uniqueName="[Measures].[Sum of Satisfaction_Score]" caption="Sum of Satisfaction_Score" measure="1" displayFolder="" measureGroup="TTrainingSource" count="0" hidden="1">
      <extLst>
        <ext xmlns:x15="http://schemas.microsoft.com/office/spreadsheetml/2010/11/main" uri="{B97F6D7D-B522-45F9-BDA1-12C45D357490}">
          <x15:cacheHierarchy aggregatedColumn="23"/>
        </ext>
      </extLst>
    </cacheHierarchy>
    <cacheHierarchy uniqueName="[Measures].[Sum of Duration_Hours]" caption="Sum of Duration_Hours" measure="1" displayFolder="" measureGroup="TTrainingSource" count="0" hidden="1">
      <extLst>
        <ext xmlns:x15="http://schemas.microsoft.com/office/spreadsheetml/2010/11/main" uri="{B97F6D7D-B522-45F9-BDA1-12C45D357490}">
          <x15:cacheHierarchy aggregatedColumn="22"/>
        </ext>
      </extLst>
    </cacheHierarchy>
    <cacheHierarchy uniqueName="[Measures].[Sum of Satisfaction_Score2]" caption="Sum of Satisfaction_Score2" measure="1" displayFolder="" measureGroup="TTrainingSource" count="0" hidden="1">
      <extLst>
        <ext xmlns:x15="http://schemas.microsoft.com/office/spreadsheetml/2010/11/main" uri="{B97F6D7D-B522-45F9-BDA1-12C45D357490}">
          <x15:cacheHierarchy aggregatedColumn="24"/>
        </ext>
      </extLst>
    </cacheHierarchy>
    <cacheHierarchy uniqueName="[Measures].[Average of Satisfaction_Score2]" caption="Average of Satisfaction_Score2" measure="1" displayFolder="" measureGroup="TTrainingSource" count="0" hidden="1">
      <extLst>
        <ext xmlns:x15="http://schemas.microsoft.com/office/spreadsheetml/2010/11/main" uri="{B97F6D7D-B522-45F9-BDA1-12C45D357490}">
          <x15:cacheHierarchy aggregatedColumn="24"/>
        </ext>
      </extLst>
    </cacheHierarchy>
    <cacheHierarchy uniqueName="[Measures].[Average of Satisfaction_Score]" caption="Average of Satisfaction_Score" measure="1" displayFolder="" measureGroup="TTrainingSource"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Training_Title]" caption="Count of Training_Title" measure="1" displayFolder="" measureGroup="TTrainingSource"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TDepartment" uniqueName="[TDepartment]" caption="TDepartment"/>
    <dimension name="THrList" uniqueName="[THrList]" caption="THrList"/>
    <dimension name="TTrainingSource" uniqueName="[TTrainingSource]" caption="TTrainingSource"/>
  </dimensions>
  <measureGroups count="3">
    <measureGroup name="TDepartment" caption="TDepartment"/>
    <measureGroup name="THrList" caption="THrList"/>
    <measureGroup name="TTrainingSource" caption="TTrainingSource"/>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09.504413194445" backgroundQuery="1" createdVersion="8" refreshedVersion="8" minRefreshableVersion="3" recordCount="0" supportSubquery="1" supportAdvancedDrill="1" xr:uid="{0F27831E-9352-4385-B5A5-55CBE316C540}">
  <cacheSource type="external" connectionId="1"/>
  <cacheFields count="5">
    <cacheField name="[TTrainingSource].[Employee_ID].[Employee_ID]" caption="Employee_ID" numFmtId="0" hierarchy="12" level="1">
      <sharedItems count="607">
        <s v="EMP10000"/>
        <s v="EMP10001"/>
        <s v="EMP10002"/>
        <s v="EMP10003"/>
        <s v="EMP10004"/>
        <s v="EMP10005"/>
        <s v="EMP10006"/>
        <s v="EMP10007"/>
        <s v="EMP10008"/>
        <s v="EMP10010"/>
        <s v="EMP10011"/>
        <s v="EMP10012"/>
        <s v="EMP10013"/>
        <s v="EMP10015"/>
        <s v="EMP10016"/>
        <s v="EMP10017"/>
        <s v="EMP10019"/>
        <s v="EMP10020"/>
        <s v="EMP10021"/>
        <s v="EMP10023"/>
        <s v="EMP10024"/>
        <s v="EMP10025"/>
        <s v="EMP10027"/>
        <s v="EMP10028"/>
        <s v="EMP10029"/>
        <s v="EMP10030"/>
        <s v="EMP10031"/>
        <s v="EMP10032"/>
        <s v="EMP10035"/>
        <s v="EMP10036"/>
        <s v="EMP10037"/>
        <s v="EMP10038"/>
        <s v="EMP10039"/>
        <s v="EMP10041"/>
        <s v="EMP10042"/>
        <s v="EMP10044"/>
        <s v="EMP10045"/>
        <s v="EMP10046"/>
        <s v="EMP10047"/>
        <s v="EMP10048"/>
        <s v="EMP10049"/>
        <s v="EMP10050"/>
        <s v="EMP10051"/>
        <s v="EMP10052"/>
        <s v="EMP10053"/>
        <s v="EMP10054"/>
        <s v="EMP10055"/>
        <s v="EMP10056"/>
        <s v="EMP10057"/>
        <s v="EMP10058"/>
        <s v="EMP10059"/>
        <s v="EMP10060"/>
        <s v="EMP10061"/>
        <s v="EMP10062"/>
        <s v="EMP10063"/>
        <s v="EMP10064"/>
        <s v="EMP10065"/>
        <s v="EMP10066"/>
        <s v="EMP10068"/>
        <s v="EMP10069"/>
        <s v="EMP10070"/>
        <s v="EMP10071"/>
        <s v="EMP10072"/>
        <s v="EMP10073"/>
        <s v="EMP10074"/>
        <s v="EMP10075"/>
        <s v="EMP10076"/>
        <s v="EMP10077"/>
        <s v="EMP10078"/>
        <s v="EMP10079"/>
        <s v="EMP10080"/>
        <s v="EMP10081"/>
        <s v="EMP10082"/>
        <s v="EMP10083"/>
        <s v="EMP10084"/>
        <s v="EMP10086"/>
        <s v="EMP10087"/>
        <s v="EMP10090"/>
        <s v="EMP10091"/>
        <s v="EMP10092"/>
        <s v="EMP10093"/>
        <s v="EMP10094"/>
        <s v="EMP10095"/>
        <s v="EMP10096"/>
        <s v="EMP10097"/>
        <s v="EMP10098"/>
        <s v="EMP10099"/>
        <s v="EMP10101"/>
        <s v="EMP10102"/>
        <s v="EMP10103"/>
        <s v="EMP10104"/>
        <s v="EMP10105"/>
        <s v="EMP10106"/>
        <s v="EMP10107"/>
        <s v="EMP10108"/>
        <s v="EMP10109"/>
        <s v="EMP10110"/>
        <s v="EMP10111"/>
        <s v="EMP10112"/>
        <s v="EMP10113"/>
        <s v="EMP10114"/>
        <s v="EMP10115"/>
        <s v="EMP10117"/>
        <s v="EMP10118"/>
        <s v="EMP10119"/>
        <s v="EMP10120"/>
        <s v="EMP10121"/>
        <s v="EMP10122"/>
        <s v="EMP10123"/>
        <s v="EMP10124"/>
        <s v="EMP10126"/>
        <s v="EMP10127"/>
        <s v="EMP10128"/>
        <s v="EMP10129"/>
        <s v="EMP10130"/>
        <s v="EMP10131"/>
        <s v="EMP10132"/>
        <s v="EMP10133"/>
        <s v="EMP10134"/>
        <s v="EMP10135"/>
        <s v="EMP10136"/>
        <s v="EMP10137"/>
        <s v="EMP10138"/>
        <s v="EMP10139"/>
        <s v="EMP10140"/>
        <s v="EMP10142"/>
        <s v="EMP10143"/>
        <s v="EMP10144"/>
        <s v="EMP10145"/>
        <s v="EMP10146"/>
        <s v="EMP10148"/>
        <s v="EMP10149"/>
        <s v="EMP10150"/>
        <s v="EMP10151"/>
        <s v="EMP10152"/>
        <s v="EMP10154"/>
        <s v="EMP10155"/>
        <s v="EMP10156"/>
        <s v="EMP10158"/>
        <s v="EMP10159"/>
        <s v="EMP10160"/>
        <s v="EMP10161"/>
        <s v="EMP10162"/>
        <s v="EMP10164"/>
        <s v="EMP10165"/>
        <s v="EMP10166"/>
        <s v="EMP10167"/>
        <s v="EMP10168"/>
        <s v="EMP10170"/>
        <s v="EMP10171"/>
        <s v="EMP10172"/>
        <s v="EMP10173"/>
        <s v="EMP10174"/>
        <s v="EMP10175"/>
        <s v="EMP10177"/>
        <s v="EMP10178"/>
        <s v="EMP10179"/>
        <s v="EMP10180"/>
        <s v="EMP10181"/>
        <s v="EMP10182"/>
        <s v="EMP10183"/>
        <s v="EMP10186"/>
        <s v="EMP10187"/>
        <s v="EMP10188"/>
        <s v="EMP10189"/>
        <s v="EMP10190"/>
        <s v="EMP10191"/>
        <s v="EMP10192"/>
        <s v="EMP10193"/>
        <s v="EMP10194"/>
        <s v="EMP10195"/>
        <s v="EMP10197"/>
        <s v="EMP10198"/>
        <s v="EMP10199"/>
        <s v="EMP10200"/>
        <s v="EMP10201"/>
        <s v="EMP10203"/>
        <s v="EMP10204"/>
        <s v="EMP10205"/>
        <s v="EMP10206"/>
        <s v="EMP10207"/>
        <s v="EMP10208"/>
        <s v="EMP10209"/>
        <s v="EMP10210"/>
        <s v="EMP10211"/>
        <s v="EMP10212"/>
        <s v="EMP10213"/>
        <s v="EMP10214"/>
        <s v="EMP10215"/>
        <s v="EMP10216"/>
        <s v="EMP10217"/>
        <s v="EMP10218"/>
        <s v="EMP10219"/>
        <s v="EMP10220"/>
        <s v="EMP10221"/>
        <s v="EMP10222"/>
        <s v="EMP10223"/>
        <s v="EMP10224"/>
        <s v="EMP10225"/>
        <s v="EMP10226"/>
        <s v="EMP10227"/>
        <s v="EMP10228"/>
        <s v="EMP10229"/>
        <s v="EMP10230"/>
        <s v="EMP10231"/>
        <s v="EMP10232"/>
        <s v="EMP10233"/>
        <s v="EMP10234"/>
        <s v="EMP10236"/>
        <s v="EMP10237"/>
        <s v="EMP10238"/>
        <s v="EMP10239"/>
        <s v="EMP10240"/>
        <s v="EMP10241"/>
        <s v="EMP10242"/>
        <s v="EMP10243"/>
        <s v="EMP10244"/>
        <s v="EMP10245"/>
        <s v="EMP10246"/>
        <s v="EMP10247"/>
        <s v="EMP10248"/>
        <s v="EMP10250"/>
        <s v="EMP10251"/>
        <s v="EMP10252"/>
        <s v="EMP10253"/>
        <s v="EMP10254"/>
        <s v="EMP10255"/>
        <s v="EMP10256"/>
        <s v="EMP10257"/>
        <s v="EMP10258"/>
        <s v="EMP10259"/>
        <s v="EMP10260"/>
        <s v="EMP10261"/>
        <s v="EMP10262"/>
        <s v="EMP10264"/>
        <s v="EMP10265"/>
        <s v="EMP10267"/>
        <s v="EMP10268"/>
        <s v="EMP10269"/>
        <s v="EMP10272"/>
        <s v="EMP10273"/>
        <s v="EMP10274"/>
        <s v="EMP10275"/>
        <s v="EMP10277"/>
        <s v="EMP10279"/>
        <s v="EMP10280"/>
        <s v="EMP10282"/>
        <s v="EMP10284"/>
        <s v="EMP10285"/>
        <s v="EMP10286"/>
        <s v="EMP10287"/>
        <s v="EMP10288"/>
        <s v="EMP10289"/>
        <s v="EMP10290"/>
        <s v="EMP10291"/>
        <s v="EMP10292"/>
        <s v="EMP10293"/>
        <s v="EMP10294"/>
        <s v="EMP10295"/>
        <s v="EMP10297"/>
        <s v="EMP10298"/>
        <s v="EMP10299"/>
        <s v="EMP10300"/>
        <s v="EMP10301"/>
        <s v="EMP10302"/>
        <s v="EMP10303"/>
        <s v="EMP10304"/>
        <s v="EMP10305"/>
        <s v="EMP10306"/>
        <s v="EMP10307"/>
        <s v="EMP10308"/>
        <s v="EMP10309"/>
        <s v="EMP10310"/>
        <s v="EMP10311"/>
        <s v="EMP10312"/>
        <s v="EMP10313"/>
        <s v="EMP10314"/>
        <s v="EMP10315"/>
        <s v="EMP10316"/>
        <s v="EMP10317"/>
        <s v="EMP10318"/>
        <s v="EMP10319"/>
        <s v="EMP10320"/>
        <s v="EMP10321"/>
        <s v="EMP10322"/>
        <s v="EMP10323"/>
        <s v="EMP10324"/>
        <s v="EMP10325"/>
        <s v="EMP10326"/>
        <s v="EMP10328"/>
        <s v="EMP10329"/>
        <s v="EMP10330"/>
        <s v="EMP10331"/>
        <s v="EMP10332"/>
        <s v="EMP10333"/>
        <s v="EMP10334"/>
        <s v="EMP10335"/>
        <s v="EMP10337"/>
        <s v="EMP10338"/>
        <s v="EMP10339"/>
        <s v="EMP10340"/>
        <s v="EMP10341"/>
        <s v="EMP10342"/>
        <s v="EMP10344"/>
        <s v="EMP10345"/>
        <s v="EMP10346"/>
        <s v="EMP10348"/>
        <s v="EMP10349"/>
        <s v="EMP10350"/>
        <s v="EMP10351"/>
        <s v="EMP10352"/>
        <s v="EMP10354"/>
        <s v="EMP10355"/>
        <s v="EMP10356"/>
        <s v="EMP10357"/>
        <s v="EMP10358"/>
        <s v="EMP10359"/>
        <s v="EMP10360"/>
        <s v="EMP10361"/>
        <s v="EMP10362"/>
        <s v="EMP10364"/>
        <s v="EMP10365"/>
        <s v="EMP10366"/>
        <s v="EMP10367"/>
        <s v="EMP10368"/>
        <s v="EMP10370"/>
        <s v="EMP10372"/>
        <s v="EMP10373"/>
        <s v="EMP10374"/>
        <s v="EMP10375"/>
        <s v="EMP10376"/>
        <s v="EMP10377"/>
        <s v="EMP10378"/>
        <s v="EMP10379"/>
        <s v="EMP10380"/>
        <s v="EMP10381"/>
        <s v="EMP10383"/>
        <s v="EMP10384"/>
        <s v="EMP10385"/>
        <s v="EMP10386"/>
        <s v="EMP10387"/>
        <s v="EMP10388"/>
        <s v="EMP10389"/>
        <s v="EMP10390"/>
        <s v="EMP10391"/>
        <s v="EMP10392"/>
        <s v="EMP10393"/>
        <s v="EMP10394"/>
        <s v="EMP10395"/>
        <s v="EMP10397"/>
        <s v="EMP10398"/>
        <s v="EMP10399"/>
        <s v="EMP10401"/>
        <s v="EMP10402"/>
        <s v="EMP10404"/>
        <s v="EMP10405"/>
        <s v="EMP10406"/>
        <s v="EMP10407"/>
        <s v="EMP10408"/>
        <s v="EMP10410"/>
        <s v="EMP10411"/>
        <s v="EMP10412"/>
        <s v="EMP10413"/>
        <s v="EMP10414"/>
        <s v="EMP10415"/>
        <s v="EMP10416"/>
        <s v="EMP10417"/>
        <s v="EMP10418"/>
        <s v="EMP10419"/>
        <s v="EMP10420"/>
        <s v="EMP10421"/>
        <s v="EMP10422"/>
        <s v="EMP10423"/>
        <s v="EMP10426"/>
        <s v="EMP10427"/>
        <s v="EMP10428"/>
        <s v="EMP10429"/>
        <s v="EMP10430"/>
        <s v="EMP10431"/>
        <s v="EMP10432"/>
        <s v="EMP10433"/>
        <s v="EMP10434"/>
        <s v="EMP10435"/>
        <s v="EMP10436"/>
        <s v="EMP10437"/>
        <s v="EMP10439"/>
        <s v="EMP10440"/>
        <s v="EMP10441"/>
        <s v="EMP10442"/>
        <s v="EMP10443"/>
        <s v="EMP10444"/>
        <s v="EMP10445"/>
        <s v="EMP10446"/>
        <s v="EMP10447"/>
        <s v="EMP10448"/>
        <s v="EMP10449"/>
        <s v="EMP10450"/>
        <s v="EMP10451"/>
        <s v="EMP10452"/>
        <s v="EMP10454"/>
        <s v="EMP10455"/>
        <s v="EMP10456"/>
        <s v="EMP10458"/>
        <s v="EMP10459"/>
        <s v="EMP10460"/>
        <s v="EMP10461"/>
        <s v="EMP10462"/>
        <s v="EMP10463"/>
        <s v="EMP10464"/>
        <s v="EMP10467"/>
        <s v="EMP10468"/>
        <s v="EMP10469"/>
        <s v="EMP10470"/>
        <s v="EMP10471"/>
        <s v="EMP10472"/>
        <s v="EMP10473"/>
        <s v="EMP10475"/>
        <s v="EMP10477"/>
        <s v="EMP10479"/>
        <s v="EMP10481"/>
        <s v="EMP10482"/>
        <s v="EMP10483"/>
        <s v="EMP10484"/>
        <s v="EMP10485"/>
        <s v="EMP10486"/>
        <s v="EMP10487"/>
        <s v="EMP10488"/>
        <s v="EMP10489"/>
        <s v="EMP10490"/>
        <s v="EMP10491"/>
        <s v="EMP10492"/>
        <s v="EMP10493"/>
        <s v="EMP10494"/>
        <s v="EMP10496"/>
        <s v="EMP10497"/>
        <s v="EMP10498"/>
        <s v="EMP10499"/>
        <s v="EMP10501"/>
        <s v="EMP10502"/>
        <s v="EMP10503"/>
        <s v="EMP10504"/>
        <s v="EMP10505"/>
        <s v="EMP10506"/>
        <s v="EMP10507"/>
        <s v="EMP10509"/>
        <s v="EMP10510"/>
        <s v="EMP10511"/>
        <s v="EMP10512"/>
        <s v="EMP10513"/>
        <s v="EMP10515"/>
        <s v="EMP10516"/>
        <s v="EMP10517"/>
        <s v="EMP10518"/>
        <s v="EMP10519"/>
        <s v="EMP10521"/>
        <s v="EMP10522"/>
        <s v="EMP10523"/>
        <s v="EMP10524"/>
        <s v="EMP10525"/>
        <s v="EMP10526"/>
        <s v="EMP10527"/>
        <s v="EMP10528"/>
        <s v="EMP10529"/>
        <s v="EMP10530"/>
        <s v="EMP10531"/>
        <s v="EMP10532"/>
        <s v="EMP10534"/>
        <s v="EMP10535"/>
        <s v="EMP10536"/>
        <s v="EMP10537"/>
        <s v="EMP10538"/>
        <s v="EMP10539"/>
        <s v="EMP10540"/>
        <s v="EMP10541"/>
        <s v="EMP10542"/>
        <s v="EMP10543"/>
        <s v="EMP10545"/>
        <s v="EMP10547"/>
        <s v="EMP10548"/>
        <s v="EMP10549"/>
        <s v="EMP10551"/>
        <s v="EMP10552"/>
        <s v="EMP10553"/>
        <s v="EMP10554"/>
        <s v="EMP10555"/>
        <s v="EMP10557"/>
        <s v="EMP10558"/>
        <s v="EMP10559"/>
        <s v="EMP10560"/>
        <s v="EMP10561"/>
        <s v="EMP10562"/>
        <s v="EMP10563"/>
        <s v="EMP10565"/>
        <s v="EMP10566"/>
        <s v="EMP10567"/>
        <s v="EMP10570"/>
        <s v="EMP10571"/>
        <s v="EMP10572"/>
        <s v="EMP10574"/>
        <s v="EMP10575"/>
        <s v="EMP10576"/>
        <s v="EMP10578"/>
        <s v="EMP10579"/>
        <s v="EMP10581"/>
        <s v="EMP10582"/>
        <s v="EMP10583"/>
        <s v="EMP10584"/>
        <s v="EMP10585"/>
        <s v="EMP10586"/>
        <s v="EMP10587"/>
        <s v="EMP10588"/>
        <s v="EMP10589"/>
        <s v="EMP10591"/>
        <s v="EMP10592"/>
        <s v="EMP10593"/>
        <s v="EMP10594"/>
        <s v="EMP10595"/>
        <s v="EMP10596"/>
        <s v="EMP10597"/>
        <s v="EMP10598"/>
        <s v="EMP10599"/>
        <s v="EMP10600"/>
        <s v="EMP10601"/>
        <s v="EMP10602"/>
        <s v="EMP10603"/>
        <s v="EMP10604"/>
        <s v="EMP10605"/>
        <s v="EMP10607"/>
        <s v="EMP10609"/>
        <s v="EMP10612"/>
        <s v="EMP10613"/>
        <s v="EMP10614"/>
        <s v="EMP10615"/>
        <s v="EMP10616"/>
        <s v="EMP10617"/>
        <s v="EMP10618"/>
        <s v="EMP10619"/>
        <s v="EMP10620"/>
        <s v="EMP10621"/>
        <s v="EMP10622"/>
        <s v="EMP10623"/>
        <s v="EMP10624"/>
        <s v="EMP10625"/>
        <s v="EMP10626"/>
        <s v="EMP10628"/>
        <s v="EMP10629"/>
        <s v="EMP10630"/>
        <s v="EMP10631"/>
        <s v="EMP10632"/>
        <s v="EMP10634"/>
        <s v="EMP10636"/>
        <s v="EMP10637"/>
        <s v="EMP10638"/>
        <s v="EMP10639"/>
        <s v="EMP10640"/>
        <s v="EMP10641"/>
        <s v="EMP10642"/>
        <s v="EMP10643"/>
        <s v="EMP10645"/>
        <s v="EMP10646"/>
        <s v="EMP10647"/>
        <s v="EMP10648"/>
        <s v="EMP10649"/>
        <s v="EMP10650"/>
        <s v="EMP10651"/>
        <s v="EMP10652"/>
        <s v="EMP10653"/>
        <s v="EMP10654"/>
        <s v="EMP10655"/>
        <s v="EMP10656"/>
        <s v="EMP10657"/>
        <s v="EMP10660"/>
        <s v="EMP10662"/>
        <s v="EMP10663"/>
        <s v="EMP10664"/>
        <s v="EMP10665"/>
        <s v="EMP10666"/>
        <s v="EMP10667"/>
        <s v="EMP10669"/>
        <s v="EMP10670"/>
        <s v="EMP10672"/>
        <s v="EMP10673"/>
        <s v="EMP10674"/>
        <s v="EMP10675"/>
        <s v="EMP10676"/>
        <s v="EMP10677"/>
        <s v="EMP10678"/>
        <s v="EMP10679"/>
        <s v="EMP10680"/>
        <s v="EMP10681"/>
        <s v="EMP10682"/>
        <s v="EMP10683"/>
        <s v="EMP10684"/>
        <s v="EMP10685"/>
        <s v="EMP10686"/>
        <s v="EMP10687"/>
        <s v="EMP10689"/>
        <s v="EMP10690"/>
        <s v="EMP10691"/>
        <s v="EMP10692"/>
        <s v="EMP10693"/>
        <s v="EMP10694"/>
        <s v="EMP10695"/>
        <s v="EMP10696"/>
        <s v="EMP10697"/>
        <s v="EMP10698"/>
        <s v="EMP10699"/>
      </sharedItems>
    </cacheField>
    <cacheField name="[Measures].[Sum of Duration_Hours]" caption="Sum of Duration_Hours" numFmtId="0" hierarchy="35" level="32767"/>
    <cacheField name="[TTrainingSource].[Last_Name].[Last_Name]" caption="Last_Name" numFmtId="0" hierarchy="13" level="1">
      <sharedItems count="53">
        <s v="LEROY"/>
        <s v="GIRARD"/>
        <s v="JOHNSON"/>
        <s v="GARCIA"/>
        <s v="SMITH"/>
        <s v="TRAORE"/>
        <s v="CAMARA"/>
        <s v="MARTIN"/>
        <s v="JACKSON"/>
        <s v="SOW"/>
        <s v="RODRIGUEZ"/>
        <s v="HASSAN"/>
        <s v="JONES"/>
        <s v="FOURNIER"/>
        <s v="ANDERSON"/>
        <s v="WILSON"/>
        <s v="ALI"/>
        <s v="NGUYEN"/>
        <s v="MOORE"/>
        <s v="PATEL"/>
        <s v="CHEN"/>
        <s v="THOMAS"/>
        <s v="MILLER"/>
        <s v="MENSAH"/>
        <s v="DIALLO"/>
        <s v="PETIT"/>
        <s v="KONE"/>
        <s v="WILLIAMS"/>
        <s v="MARTINEZ"/>
        <s v="TOURE"/>
        <s v="ROUSSEAU"/>
        <s v="BALDE"/>
        <s v="LOPEZ"/>
        <s v="DIOP"/>
        <s v="MOREAU"/>
        <s v="GONZALEZ"/>
        <s v="DAVIS"/>
        <s v="KHAN"/>
        <s v="BROWN"/>
        <s v="MERCIER"/>
        <s v="LAURENT"/>
        <s v="TAYLOR"/>
        <s v="HERNANDEZ"/>
        <s v="SINGH"/>
        <s v=" CAMARA"/>
        <s v="IBRAHIM"/>
        <s v="ABDULLAH"/>
        <s v="KOUASSI"/>
        <s v="KIM"/>
        <s v="LEFEVRE"/>
        <s v="DUBOIS"/>
        <s v=" MARTINEZ"/>
        <s v=" WILSON"/>
      </sharedItems>
    </cacheField>
    <cacheField name="[TTrainingSource].[First_Name].[First_Name]" caption="First_Name" numFmtId="0" hierarchy="14" level="1">
      <sharedItems count="52">
        <s v="Ama"/>
        <s v="Kwame"/>
        <s v="Binta"/>
        <s v="Claire"/>
        <s v="Emily"/>
        <s v="Lucas"/>
        <s v="Akosua"/>
        <s v="Amina"/>
        <s v="Mia"/>
        <s v="Olivia"/>
        <s v="Layla"/>
        <s v="Kofi"/>
        <s v="Chinedu"/>
        <s v="Liam"/>
        <s v="Alexander"/>
        <s v="Evelyn"/>
        <s v="Nina"/>
        <s v="Ngozi"/>
        <s v="Abigail"/>
        <s v="Amelia"/>
        <s v="Zainab"/>
        <s v="Omar"/>
        <s v="Sophia"/>
        <s v="Julien"/>
        <s v="Nadia"/>
        <s v="Noah"/>
        <s v="Ibrahim"/>
        <s v="Charlotte"/>
        <s v="Ava"/>
        <s v="Antoine"/>
        <s v="Yusuf"/>
        <s v="Henry"/>
        <s v="Hugo"/>
        <s v="Camille"/>
        <s v="Paul"/>
        <s v="Yaw"/>
        <s v="Sophie"/>
        <s v="Emma"/>
        <s v="Hassan"/>
        <s v="Mariama"/>
        <s v="Khalid"/>
        <s v="Jean"/>
        <s v="Ada"/>
        <s v="Marie"/>
        <s v="Ethan"/>
        <s v="Harper"/>
        <s v="Isabella"/>
        <s v="Benjamin"/>
        <s v="Fatima"/>
        <s v="James"/>
        <s v=" Omar"/>
        <s v=" Abigail"/>
      </sharedItems>
    </cacheField>
    <cacheField name="[TDepartment].[Department].[Department]" caption="Department" numFmtId="0" level="1">
      <sharedItems containsSemiMixedTypes="0" containsNonDate="0" containsString="0"/>
    </cacheField>
  </cacheFields>
  <cacheHierarchies count="40">
    <cacheHierarchy uniqueName="[TDepartment].[Department]" caption="Department" attribute="1" defaultMemberUniqueName="[TDepartment].[Department].[All]" allUniqueName="[TDepartment].[Department].[All]" dimensionUniqueName="[TDepartment]" displayFolder="" count="2" memberValueDatatype="130" unbalanced="0">
      <fieldsUsage count="2">
        <fieldUsage x="-1"/>
        <fieldUsage x="4"/>
      </fieldsUsage>
    </cacheHierarchy>
    <cacheHierarchy uniqueName="[THrList].[Employee_ID]" caption="Employee_ID" attribute="1" defaultMemberUniqueName="[THrList].[Employee_ID].[All]" allUniqueName="[THrList].[Employee_ID].[All]" dimensionUniqueName="[THrList]" displayFolder="" count="0" memberValueDatatype="130" unbalanced="0"/>
    <cacheHierarchy uniqueName="[THrList].[Last_Name]" caption="Last_Name" attribute="1" defaultMemberUniqueName="[THrList].[Last_Name].[All]" allUniqueName="[THrList].[Last_Name].[All]" dimensionUniqueName="[THrList]" displayFolder="" count="0" memberValueDatatype="130" unbalanced="0"/>
    <cacheHierarchy uniqueName="[THrList].[Last_Name2]" caption="Last_Name2" attribute="1" defaultMemberUniqueName="[THrList].[Last_Name2].[All]" allUniqueName="[THrList].[Last_Name2].[All]" dimensionUniqueName="[THrList]" displayFolder="" count="0" memberValueDatatype="130" unbalanced="0"/>
    <cacheHierarchy uniqueName="[THrList].[First_Name]" caption="First_Name" attribute="1" defaultMemberUniqueName="[THrList].[First_Name].[All]" allUniqueName="[THrList].[First_Name].[All]" dimensionUniqueName="[THrList]" displayFolder="" count="0" memberValueDatatype="130" unbalanced="0"/>
    <cacheHierarchy uniqueName="[THrList].[Gender]" caption="Gender" attribute="1" defaultMemberUniqueName="[THrList].[Gender].[All]" allUniqueName="[THrList].[Gender].[All]" dimensionUniqueName="[THrList]" displayFolder="" count="2" memberValueDatatype="130" unbalanced="0"/>
    <cacheHierarchy uniqueName="[THrList].[Date_of_Birth]" caption="Date_of_Birth" attribute="1" time="1" defaultMemberUniqueName="[THrList].[Date_of_Birth].[All]" allUniqueName="[THrList].[Date_of_Birth].[All]" dimensionUniqueName="[THrList]" displayFolder="" count="0" memberValueDatatype="7" unbalanced="0"/>
    <cacheHierarchy uniqueName="[THrList].[Age]" caption="Age" attribute="1" defaultMemberUniqueName="[THrList].[Age].[All]" allUniqueName="[THrList].[Age].[All]" dimensionUniqueName="[THrList]" displayFolder="" count="0" memberValueDatatype="20" unbalanced="0"/>
    <cacheHierarchy uniqueName="[THrList].[Job_Level]" caption="Job_Level" attribute="1" defaultMemberUniqueName="[THrList].[Job_Level].[All]" allUniqueName="[THrList].[Job_Level].[All]" dimensionUniqueName="[THrList]" displayFolder="" count="0" memberValueDatatype="130" unbalanced="0"/>
    <cacheHierarchy uniqueName="[THrList].[Employment_Status]" caption="Employment_Status" attribute="1" defaultMemberUniqueName="[THrList].[Employment_Status].[All]" allUniqueName="[THrList].[Employment_Status].[All]" dimensionUniqueName="[THrList]" displayFolder="" count="0" memberValueDatatype="130" unbalanced="0"/>
    <cacheHierarchy uniqueName="[THrList].[Department]" caption="Department" attribute="1" defaultMemberUniqueName="[THrList].[Department].[All]" allUniqueName="[THrList].[Department].[All]" dimensionUniqueName="[THrList]" displayFolder="" count="2" memberValueDatatype="130" unbalanced="0"/>
    <cacheHierarchy uniqueName="[TTrainingSource].[EMPloyee_ID2]" caption="EMPloyee_ID2" attribute="1" defaultMemberUniqueName="[TTrainingSource].[EMPloyee_ID2].[All]" allUniqueName="[TTrainingSource].[EMPloyee_ID2].[All]" dimensionUniqueName="[TTrainingSource]" displayFolder="" count="0" memberValueDatatype="130" unbalanced="0"/>
    <cacheHierarchy uniqueName="[TTrainingSource].[Employee_ID]" caption="Employee_ID" attribute="1" defaultMemberUniqueName="[TTrainingSource].[Employee_ID].[All]" allUniqueName="[TTrainingSource].[Employee_ID].[All]" dimensionUniqueName="[TTrainingSource]" displayFolder="" count="2" memberValueDatatype="130" unbalanced="0">
      <fieldsUsage count="2">
        <fieldUsage x="-1"/>
        <fieldUsage x="0"/>
      </fieldsUsage>
    </cacheHierarchy>
    <cacheHierarchy uniqueName="[TTrainingSource].[Last_Name]" caption="Last_Name" attribute="1" defaultMemberUniqueName="[TTrainingSource].[Last_Name].[All]" allUniqueName="[TTrainingSource].[Last_Name].[All]" dimensionUniqueName="[TTrainingSource]" displayFolder="" count="2" memberValueDatatype="130" unbalanced="0">
      <fieldsUsage count="2">
        <fieldUsage x="-1"/>
        <fieldUsage x="2"/>
      </fieldsUsage>
    </cacheHierarchy>
    <cacheHierarchy uniqueName="[TTrainingSource].[First_Name]" caption="First_Name" attribute="1" defaultMemberUniqueName="[TTrainingSource].[First_Name].[All]" allUniqueName="[TTrainingSource].[First_Name].[All]" dimensionUniqueName="[TTrainingSource]" displayFolder="" count="2" memberValueDatatype="130" unbalanced="0">
      <fieldsUsage count="2">
        <fieldUsage x="-1"/>
        <fieldUsage x="3"/>
      </fieldsUsage>
    </cacheHierarchy>
    <cacheHierarchy uniqueName="[TTrainingSource].[Department]" caption="Department" attribute="1" defaultMemberUniqueName="[TTrainingSource].[Department].[All]" allUniqueName="[TTrainingSource].[Department].[All]" dimensionUniqueName="[TTrainingSource]" displayFolder="" count="0" memberValueDatatype="130" unbalanced="0"/>
    <cacheHierarchy uniqueName="[TTrainingSource].[Training_Status]" caption="Training_Status" attribute="1" defaultMemberUniqueName="[TTrainingSource].[Training_Status].[All]" allUniqueName="[TTrainingSource].[Training_Status].[All]" dimensionUniqueName="[TTrainingSource]" displayFolder="" count="2" memberValueDatatype="130" unbalanced="0"/>
    <cacheHierarchy uniqueName="[TTrainingSource].[Training_Status2]" caption="Training_Status2" attribute="1" defaultMemberUniqueName="[TTrainingSource].[Training_Status2].[All]" allUniqueName="[TTrainingSource].[Training_Status2].[All]" dimensionUniqueName="[TTrainingSource]" displayFolder="" count="0" memberValueDatatype="130" unbalanced="0"/>
    <cacheHierarchy uniqueName="[TTrainingSource].[Training_Title]" caption="Training_Title" attribute="1" defaultMemberUniqueName="[TTrainingSource].[Training_Title].[All]" allUniqueName="[TTrainingSource].[Training_Title].[All]" dimensionUniqueName="[TTrainingSource]" displayFolder="" count="2" memberValueDatatype="130" unbalanced="0"/>
    <cacheHierarchy uniqueName="[TTrainingSource].[Training_Title2]" caption="Training_Title2" attribute="1" defaultMemberUniqueName="[TTrainingSource].[Training_Title2].[All]" allUniqueName="[TTrainingSource].[Training_Title2].[All]" dimensionUniqueName="[TTrainingSource]" displayFolder="" count="0" memberValueDatatype="130" unbalanced="0"/>
    <cacheHierarchy uniqueName="[TTrainingSource].[Training_Date]" caption="Training_Date" attribute="1" time="1" defaultMemberUniqueName="[TTrainingSource].[Training_Date].[All]" allUniqueName="[TTrainingSource].[Training_Date].[All]" dimensionUniqueName="[TTrainingSource]" displayFolder="" count="2" memberValueDatatype="7" unbalanced="0"/>
    <cacheHierarchy uniqueName="[TTrainingSource].[Training_Provider]" caption="Training_Provider" attribute="1" defaultMemberUniqueName="[TTrainingSource].[Training_Provider].[All]" allUniqueName="[TTrainingSource].[Training_Provider].[All]" dimensionUniqueName="[TTrainingSource]" displayFolder="" count="0" memberValueDatatype="130" unbalanced="0"/>
    <cacheHierarchy uniqueName="[TTrainingSource].[Duration_Hours]" caption="Duration_Hours" attribute="1" defaultMemberUniqueName="[TTrainingSource].[Duration_Hours].[All]" allUniqueName="[TTrainingSource].[Duration_Hours].[All]" dimensionUniqueName="[TTrainingSource]" displayFolder="" count="0" memberValueDatatype="20" unbalanced="0"/>
    <cacheHierarchy uniqueName="[TTrainingSource].[Satisfaction_Score]" caption="Satisfaction_Score" attribute="1" defaultMemberUniqueName="[TTrainingSource].[Satisfaction_Score].[All]" allUniqueName="[TTrainingSource].[Satisfaction_Score].[All]" dimensionUniqueName="[TTrainingSource]" displayFolder="" count="0" memberValueDatatype="20" unbalanced="0"/>
    <cacheHierarchy uniqueName="[TTrainingSource].[Satisfaction_Score2]" caption="Satisfaction_Score2" attribute="1" defaultMemberUniqueName="[TTrainingSource].[Satisfaction_Score2].[All]" allUniqueName="[TTrainingSource].[Satisfaction_Score2].[All]" dimensionUniqueName="[TTrainingSource]" displayFolder="" count="0" memberValueDatatype="5" unbalanced="0"/>
    <cacheHierarchy uniqueName="[TTrainingSource].[Training_Date (Year)]" caption="Training_Date (Year)" attribute="1" defaultMemberUniqueName="[TTrainingSource].[Training_Date (Year)].[All]" allUniqueName="[TTrainingSource].[Training_Date (Year)].[All]" dimensionUniqueName="[TTrainingSource]" displayFolder="" count="0" memberValueDatatype="130" unbalanced="0"/>
    <cacheHierarchy uniqueName="[TTrainingSource].[Training_Date (Quarter)]" caption="Training_Date (Quarter)" attribute="1" defaultMemberUniqueName="[TTrainingSource].[Training_Date (Quarter)].[All]" allUniqueName="[TTrainingSource].[Training_Date (Quarter)].[All]" dimensionUniqueName="[TTrainingSource]" displayFolder="" count="0" memberValueDatatype="130" unbalanced="0"/>
    <cacheHierarchy uniqueName="[TTrainingSource].[Training_Date (Month)]" caption="Training_Date (Month)" attribute="1" defaultMemberUniqueName="[TTrainingSource].[Training_Date (Month)].[All]" allUniqueName="[TTrainingSource].[Training_Date (Month)].[All]" dimensionUniqueName="[TTrainingSource]" displayFolder="" count="0" memberValueDatatype="130" unbalanced="0"/>
    <cacheHierarchy uniqueName="[TTrainingSource].[Training_Date (Month Index)]" caption="Training_Date (Month Index)" attribute="1" defaultMemberUniqueName="[TTrainingSource].[Training_Date (Month Index)].[All]" allUniqueName="[TTrainingSource].[Training_Date (Month Index)].[All]" dimensionUniqueName="[TTrainingSource]" displayFolder="" count="0" memberValueDatatype="20" unbalanced="0" hidden="1"/>
    <cacheHierarchy uniqueName="[Measures].[__XL_Count TTrainingSource]" caption="__XL_Count TTrainingSource" measure="1" displayFolder="" measureGroup="TTrainingSource" count="0" hidden="1"/>
    <cacheHierarchy uniqueName="[Measures].[__XL_Count THrList]" caption="__XL_Count THrList" measure="1" displayFolder="" measureGroup="THrList" count="0" hidden="1"/>
    <cacheHierarchy uniqueName="[Measures].[__XL_Count TDepartment]" caption="__XL_Count TDepartment" measure="1" displayFolder="" measureGroup="TDepartment" count="0" hidden="1"/>
    <cacheHierarchy uniqueName="[Measures].[__No measures defined]" caption="__No measures defined" measure="1" displayFolder="" count="0" hidden="1"/>
    <cacheHierarchy uniqueName="[Measures].[Count of Duration_Hours]" caption="Count of Duration_Hours" measure="1" displayFolder="" measureGroup="TTrainingSource" count="0" hidden="1">
      <extLst>
        <ext xmlns:x15="http://schemas.microsoft.com/office/spreadsheetml/2010/11/main" uri="{B97F6D7D-B522-45F9-BDA1-12C45D357490}">
          <x15:cacheHierarchy aggregatedColumn="22"/>
        </ext>
      </extLst>
    </cacheHierarchy>
    <cacheHierarchy uniqueName="[Measures].[Sum of Satisfaction_Score]" caption="Sum of Satisfaction_Score" measure="1" displayFolder="" measureGroup="TTrainingSource" count="0" hidden="1">
      <extLst>
        <ext xmlns:x15="http://schemas.microsoft.com/office/spreadsheetml/2010/11/main" uri="{B97F6D7D-B522-45F9-BDA1-12C45D357490}">
          <x15:cacheHierarchy aggregatedColumn="23"/>
        </ext>
      </extLst>
    </cacheHierarchy>
    <cacheHierarchy uniqueName="[Measures].[Sum of Duration_Hours]" caption="Sum of Duration_Hours" measure="1" displayFolder="" measureGroup="TTrainingSourc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Satisfaction_Score2]" caption="Sum of Satisfaction_Score2" measure="1" displayFolder="" measureGroup="TTrainingSource" count="0" hidden="1">
      <extLst>
        <ext xmlns:x15="http://schemas.microsoft.com/office/spreadsheetml/2010/11/main" uri="{B97F6D7D-B522-45F9-BDA1-12C45D357490}">
          <x15:cacheHierarchy aggregatedColumn="24"/>
        </ext>
      </extLst>
    </cacheHierarchy>
    <cacheHierarchy uniqueName="[Measures].[Average of Satisfaction_Score2]" caption="Average of Satisfaction_Score2" measure="1" displayFolder="" measureGroup="TTrainingSource" count="0" hidden="1">
      <extLst>
        <ext xmlns:x15="http://schemas.microsoft.com/office/spreadsheetml/2010/11/main" uri="{B97F6D7D-B522-45F9-BDA1-12C45D357490}">
          <x15:cacheHierarchy aggregatedColumn="24"/>
        </ext>
      </extLst>
    </cacheHierarchy>
    <cacheHierarchy uniqueName="[Measures].[Average of Satisfaction_Score]" caption="Average of Satisfaction_Score" measure="1" displayFolder="" measureGroup="TTrainingSource" count="0" hidden="1">
      <extLst>
        <ext xmlns:x15="http://schemas.microsoft.com/office/spreadsheetml/2010/11/main" uri="{B97F6D7D-B522-45F9-BDA1-12C45D357490}">
          <x15:cacheHierarchy aggregatedColumn="23"/>
        </ext>
      </extLst>
    </cacheHierarchy>
    <cacheHierarchy uniqueName="[Measures].[Count of Training_Title]" caption="Count of Training_Title" measure="1" displayFolder="" measureGroup="TTrainingSource"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TDepartment" uniqueName="[TDepartment]" caption="TDepartment"/>
    <dimension name="THrList" uniqueName="[THrList]" caption="THrList"/>
    <dimension name="TTrainingSource" uniqueName="[TTrainingSource]" caption="TTrainingSource"/>
  </dimensions>
  <measureGroups count="3">
    <measureGroup name="TDepartment" caption="TDepartment"/>
    <measureGroup name="THrList" caption="THrList"/>
    <measureGroup name="TTrainingSource" caption="TTrainingSource"/>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09.341694328701" backgroundQuery="1" createdVersion="3" refreshedVersion="8" minRefreshableVersion="3" recordCount="0" supportSubquery="1" supportAdvancedDrill="1" xr:uid="{FA6CAD97-6727-4CAB-9921-D8193069AF57}">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TDepartment].[Department]" caption="Department" attribute="1" defaultMemberUniqueName="[TDepartment].[Department].[All]" allUniqueName="[TDepartment].[Department].[All]" dimensionUniqueName="[TDepartment]" displayFolder="" count="0" memberValueDatatype="130" unbalanced="0"/>
    <cacheHierarchy uniqueName="[THrList].[Employee_ID]" caption="Employee_ID" attribute="1" defaultMemberUniqueName="[THrList].[Employee_ID].[All]" allUniqueName="[THrList].[Employee_ID].[All]" dimensionUniqueName="[THrList]" displayFolder="" count="0" memberValueDatatype="130" unbalanced="0"/>
    <cacheHierarchy uniqueName="[THrList].[Last_Name]" caption="Last_Name" attribute="1" defaultMemberUniqueName="[THrList].[Last_Name].[All]" allUniqueName="[THrList].[Last_Name].[All]" dimensionUniqueName="[THrList]" displayFolder="" count="0" memberValueDatatype="130" unbalanced="0"/>
    <cacheHierarchy uniqueName="[THrList].[Last_Name2]" caption="Last_Name2" attribute="1" defaultMemberUniqueName="[THrList].[Last_Name2].[All]" allUniqueName="[THrList].[Last_Name2].[All]" dimensionUniqueName="[THrList]" displayFolder="" count="0" memberValueDatatype="130" unbalanced="0"/>
    <cacheHierarchy uniqueName="[THrList].[First_Name]" caption="First_Name" attribute="1" defaultMemberUniqueName="[THrList].[First_Name].[All]" allUniqueName="[THrList].[First_Name].[All]" dimensionUniqueName="[THrList]" displayFolder="" count="0" memberValueDatatype="130" unbalanced="0"/>
    <cacheHierarchy uniqueName="[THrList].[Gender]" caption="Gender" attribute="1" defaultMemberUniqueName="[THrList].[Gender].[All]" allUniqueName="[THrList].[Gender].[All]" dimensionUniqueName="[THrList]" displayFolder="" count="0" memberValueDatatype="130" unbalanced="0"/>
    <cacheHierarchy uniqueName="[THrList].[Date_of_Birth]" caption="Date_of_Birth" attribute="1" time="1" defaultMemberUniqueName="[THrList].[Date_of_Birth].[All]" allUniqueName="[THrList].[Date_of_Birth].[All]" dimensionUniqueName="[THrList]" displayFolder="" count="0" memberValueDatatype="7" unbalanced="0"/>
    <cacheHierarchy uniqueName="[THrList].[Age]" caption="Age" attribute="1" defaultMemberUniqueName="[THrList].[Age].[All]" allUniqueName="[THrList].[Age].[All]" dimensionUniqueName="[THrList]" displayFolder="" count="0" memberValueDatatype="20" unbalanced="0"/>
    <cacheHierarchy uniqueName="[THrList].[Job_Level]" caption="Job_Level" attribute="1" defaultMemberUniqueName="[THrList].[Job_Level].[All]" allUniqueName="[THrList].[Job_Level].[All]" dimensionUniqueName="[THrList]" displayFolder="" count="0" memberValueDatatype="130" unbalanced="0"/>
    <cacheHierarchy uniqueName="[THrList].[Employment_Status]" caption="Employment_Status" attribute="1" defaultMemberUniqueName="[THrList].[Employment_Status].[All]" allUniqueName="[THrList].[Employment_Status].[All]" dimensionUniqueName="[THrList]" displayFolder="" count="0" memberValueDatatype="130" unbalanced="0"/>
    <cacheHierarchy uniqueName="[THrList].[Department]" caption="Department" attribute="1" defaultMemberUniqueName="[THrList].[Department].[All]" allUniqueName="[THrList].[Department].[All]" dimensionUniqueName="[THrList]" displayFolder="" count="0" memberValueDatatype="130" unbalanced="0"/>
    <cacheHierarchy uniqueName="[TTrainingSource].[EMPloyee_ID2]" caption="EMPloyee_ID2" attribute="1" defaultMemberUniqueName="[TTrainingSource].[EMPloyee_ID2].[All]" allUniqueName="[TTrainingSource].[EMPloyee_ID2].[All]" dimensionUniqueName="[TTrainingSource]" displayFolder="" count="0" memberValueDatatype="130" unbalanced="0"/>
    <cacheHierarchy uniqueName="[TTrainingSource].[Employee_ID]" caption="Employee_ID" attribute="1" defaultMemberUniqueName="[TTrainingSource].[Employee_ID].[All]" allUniqueName="[TTrainingSource].[Employee_ID].[All]" dimensionUniqueName="[TTrainingSource]" displayFolder="" count="0" memberValueDatatype="130" unbalanced="0"/>
    <cacheHierarchy uniqueName="[TTrainingSource].[Last_Name]" caption="Last_Name" attribute="1" defaultMemberUniqueName="[TTrainingSource].[Last_Name].[All]" allUniqueName="[TTrainingSource].[Last_Name].[All]" dimensionUniqueName="[TTrainingSource]" displayFolder="" count="0" memberValueDatatype="130" unbalanced="0"/>
    <cacheHierarchy uniqueName="[TTrainingSource].[First_Name]" caption="First_Name" attribute="1" defaultMemberUniqueName="[TTrainingSource].[First_Name].[All]" allUniqueName="[TTrainingSource].[First_Name].[All]" dimensionUniqueName="[TTrainingSource]" displayFolder="" count="0" memberValueDatatype="130" unbalanced="0"/>
    <cacheHierarchy uniqueName="[TTrainingSource].[Department]" caption="Department" attribute="1" defaultMemberUniqueName="[TTrainingSource].[Department].[All]" allUniqueName="[TTrainingSource].[Department].[All]" dimensionUniqueName="[TTrainingSource]" displayFolder="" count="0" memberValueDatatype="130" unbalanced="0"/>
    <cacheHierarchy uniqueName="[TTrainingSource].[Training_Status]" caption="Training_Status" attribute="1" defaultMemberUniqueName="[TTrainingSource].[Training_Status].[All]" allUniqueName="[TTrainingSource].[Training_Status].[All]" dimensionUniqueName="[TTrainingSource]" displayFolder="" count="0" memberValueDatatype="130" unbalanced="0"/>
    <cacheHierarchy uniqueName="[TTrainingSource].[Training_Status2]" caption="Training_Status2" attribute="1" defaultMemberUniqueName="[TTrainingSource].[Training_Status2].[All]" allUniqueName="[TTrainingSource].[Training_Status2].[All]" dimensionUniqueName="[TTrainingSource]" displayFolder="" count="0" memberValueDatatype="130" unbalanced="0"/>
    <cacheHierarchy uniqueName="[TTrainingSource].[Training_Title]" caption="Training_Title" attribute="1" defaultMemberUniqueName="[TTrainingSource].[Training_Title].[All]" allUniqueName="[TTrainingSource].[Training_Title].[All]" dimensionUniqueName="[TTrainingSource]" displayFolder="" count="0" memberValueDatatype="130" unbalanced="0"/>
    <cacheHierarchy uniqueName="[TTrainingSource].[Training_Title2]" caption="Training_Title2" attribute="1" defaultMemberUniqueName="[TTrainingSource].[Training_Title2].[All]" allUniqueName="[TTrainingSource].[Training_Title2].[All]" dimensionUniqueName="[TTrainingSource]" displayFolder="" count="0" memberValueDatatype="130" unbalanced="0"/>
    <cacheHierarchy uniqueName="[TTrainingSource].[Training_Date]" caption="Training_Date" attribute="1" time="1" defaultMemberUniqueName="[TTrainingSource].[Training_Date].[All]" allUniqueName="[TTrainingSource].[Training_Date].[All]" dimensionUniqueName="[TTrainingSource]" displayFolder="" count="0" memberValueDatatype="7" unbalanced="0"/>
    <cacheHierarchy uniqueName="[TTrainingSource].[Training_Provider]" caption="Training_Provider" attribute="1" defaultMemberUniqueName="[TTrainingSource].[Training_Provider].[All]" allUniqueName="[TTrainingSource].[Training_Provider].[All]" dimensionUniqueName="[TTrainingSource]" displayFolder="" count="0" memberValueDatatype="130" unbalanced="0"/>
    <cacheHierarchy uniqueName="[TTrainingSource].[Duration_Hours]" caption="Duration_Hours" attribute="1" defaultMemberUniqueName="[TTrainingSource].[Duration_Hours].[All]" allUniqueName="[TTrainingSource].[Duration_Hours].[All]" dimensionUniqueName="[TTrainingSource]" displayFolder="" count="0" memberValueDatatype="20" unbalanced="0"/>
    <cacheHierarchy uniqueName="[TTrainingSource].[Satisfaction_Score]" caption="Satisfaction_Score" attribute="1" defaultMemberUniqueName="[TTrainingSource].[Satisfaction_Score].[All]" allUniqueName="[TTrainingSource].[Satisfaction_Score].[All]" dimensionUniqueName="[TTrainingSource]" displayFolder="" count="0" memberValueDatatype="20" unbalanced="0"/>
    <cacheHierarchy uniqueName="[TTrainingSource].[Satisfaction_Score2]" caption="Satisfaction_Score2" attribute="1" defaultMemberUniqueName="[TTrainingSource].[Satisfaction_Score2].[All]" allUniqueName="[TTrainingSource].[Satisfaction_Score2].[All]" dimensionUniqueName="[TTrainingSource]" displayFolder="" count="0" memberValueDatatype="5" unbalanced="0"/>
    <cacheHierarchy uniqueName="[TTrainingSource].[Training_Date (Year)]" caption="Training_Date (Year)" attribute="1" defaultMemberUniqueName="[TTrainingSource].[Training_Date (Year)].[All]" allUniqueName="[TTrainingSource].[Training_Date (Year)].[All]" dimensionUniqueName="[TTrainingSource]" displayFolder="" count="0" memberValueDatatype="130" unbalanced="0"/>
    <cacheHierarchy uniqueName="[TTrainingSource].[Training_Date (Quarter)]" caption="Training_Date (Quarter)" attribute="1" defaultMemberUniqueName="[TTrainingSource].[Training_Date (Quarter)].[All]" allUniqueName="[TTrainingSource].[Training_Date (Quarter)].[All]" dimensionUniqueName="[TTrainingSource]" displayFolder="" count="0" memberValueDatatype="130" unbalanced="0"/>
    <cacheHierarchy uniqueName="[TTrainingSource].[Training_Date (Month)]" caption="Training_Date (Month)" attribute="1" defaultMemberUniqueName="[TTrainingSource].[Training_Date (Month)].[All]" allUniqueName="[TTrainingSource].[Training_Date (Month)].[All]" dimensionUniqueName="[TTrainingSource]" displayFolder="" count="0" memberValueDatatype="130" unbalanced="0"/>
    <cacheHierarchy uniqueName="[TTrainingSource].[Training_Date (Month Index)]" caption="Training_Date (Month Index)" attribute="1" defaultMemberUniqueName="[TTrainingSource].[Training_Date (Month Index)].[All]" allUniqueName="[TTrainingSource].[Training_Date (Month Index)].[All]" dimensionUniqueName="[TTrainingSource]" displayFolder="" count="0" memberValueDatatype="20" unbalanced="0" hidden="1"/>
    <cacheHierarchy uniqueName="[Measures].[__XL_Count TTrainingSource]" caption="__XL_Count TTrainingSource" measure="1" displayFolder="" measureGroup="TTrainingSource" count="0" hidden="1"/>
    <cacheHierarchy uniqueName="[Measures].[__XL_Count THrList]" caption="__XL_Count THrList" measure="1" displayFolder="" measureGroup="THrList" count="0" hidden="1"/>
    <cacheHierarchy uniqueName="[Measures].[__XL_Count TDepartment]" caption="__XL_Count TDepartment" measure="1" displayFolder="" measureGroup="TDepartment" count="0" hidden="1"/>
    <cacheHierarchy uniqueName="[Measures].[__No measures defined]" caption="__No measures defined" measure="1" displayFolder="" count="0" hidden="1"/>
    <cacheHierarchy uniqueName="[Measures].[Count of Duration_Hours]" caption="Count of Duration_Hours" measure="1" displayFolder="" measureGroup="TTrainingSource" count="0" hidden="1">
      <extLst>
        <ext xmlns:x15="http://schemas.microsoft.com/office/spreadsheetml/2010/11/main" uri="{B97F6D7D-B522-45F9-BDA1-12C45D357490}">
          <x15:cacheHierarchy aggregatedColumn="22"/>
        </ext>
      </extLst>
    </cacheHierarchy>
    <cacheHierarchy uniqueName="[Measures].[Sum of Satisfaction_Score]" caption="Sum of Satisfaction_Score" measure="1" displayFolder="" measureGroup="TTrainingSource" count="0" hidden="1">
      <extLst>
        <ext xmlns:x15="http://schemas.microsoft.com/office/spreadsheetml/2010/11/main" uri="{B97F6D7D-B522-45F9-BDA1-12C45D357490}">
          <x15:cacheHierarchy aggregatedColumn="23"/>
        </ext>
      </extLst>
    </cacheHierarchy>
    <cacheHierarchy uniqueName="[Measures].[Sum of Duration_Hours]" caption="Sum of Duration_Hours" measure="1" displayFolder="" measureGroup="TTrainingSource" count="0" hidden="1">
      <extLst>
        <ext xmlns:x15="http://schemas.microsoft.com/office/spreadsheetml/2010/11/main" uri="{B97F6D7D-B522-45F9-BDA1-12C45D357490}">
          <x15:cacheHierarchy aggregatedColumn="22"/>
        </ext>
      </extLst>
    </cacheHierarchy>
    <cacheHierarchy uniqueName="[Measures].[Sum of Satisfaction_Score2]" caption="Sum of Satisfaction_Score2" measure="1" displayFolder="" measureGroup="TTrainingSource" count="0" hidden="1">
      <extLst>
        <ext xmlns:x15="http://schemas.microsoft.com/office/spreadsheetml/2010/11/main" uri="{B97F6D7D-B522-45F9-BDA1-12C45D357490}">
          <x15:cacheHierarchy aggregatedColumn="24"/>
        </ext>
      </extLst>
    </cacheHierarchy>
    <cacheHierarchy uniqueName="[Measures].[Average of Satisfaction_Score2]" caption="Average of Satisfaction_Score2" measure="1" displayFolder="" measureGroup="TTrainingSource" count="0" hidden="1">
      <extLst>
        <ext xmlns:x15="http://schemas.microsoft.com/office/spreadsheetml/2010/11/main" uri="{B97F6D7D-B522-45F9-BDA1-12C45D357490}">
          <x15:cacheHierarchy aggregatedColumn="24"/>
        </ext>
      </extLst>
    </cacheHierarchy>
    <cacheHierarchy uniqueName="[Measures].[Average of Satisfaction_Score]" caption="Average of Satisfaction_Score" measure="1" displayFolder="" measureGroup="TTrainingSource" count="0" hidden="1">
      <extLst>
        <ext xmlns:x15="http://schemas.microsoft.com/office/spreadsheetml/2010/11/main" uri="{B97F6D7D-B522-45F9-BDA1-12C45D357490}">
          <x15:cacheHierarchy aggregatedColumn="23"/>
        </ext>
      </extLst>
    </cacheHierarchy>
    <cacheHierarchy uniqueName="[Measures].[Count of Training_Title]" caption="Count of Training_Title" measure="1" displayFolder="" measureGroup="TTrainingSource"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TDepartment" uniqueName="[TDepartment]" caption="TDepartment"/>
    <dimension name="THrList" uniqueName="[THrList]" caption="THrList"/>
    <dimension name="TTrainingSource" uniqueName="[TTrainingSource]" caption="TTrainingSource"/>
  </dimensions>
  <measureGroups count="3">
    <measureGroup name="TDepartment" caption="TDepartment"/>
    <measureGroup name="THrList" caption="THrList"/>
    <measureGroup name="TTrainingSource" caption="TTrainingSource"/>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licerData="1" pivotCacheId="169843578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09.356510300924" backgroundQuery="1" createdVersion="3" refreshedVersion="8" minRefreshableVersion="3" recordCount="0" supportSubquery="1" supportAdvancedDrill="1" xr:uid="{B01A45FD-BBB9-4C2A-B28E-AA29C2A3A98E}">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TDepartment].[Department]" caption="Department" attribute="1" defaultMemberUniqueName="[TDepartment].[Department].[All]" allUniqueName="[TDepartment].[Department].[All]" dimensionUniqueName="[TDepartment]" displayFolder="" count="0" memberValueDatatype="130" unbalanced="0"/>
    <cacheHierarchy uniqueName="[THrList].[Employee_ID]" caption="Employee_ID" attribute="1" defaultMemberUniqueName="[THrList].[Employee_ID].[All]" allUniqueName="[THrList].[Employee_ID].[All]" dimensionUniqueName="[THrList]" displayFolder="" count="0" memberValueDatatype="130" unbalanced="0"/>
    <cacheHierarchy uniqueName="[THrList].[Last_Name]" caption="Last_Name" attribute="1" defaultMemberUniqueName="[THrList].[Last_Name].[All]" allUniqueName="[THrList].[Last_Name].[All]" dimensionUniqueName="[THrList]" displayFolder="" count="0" memberValueDatatype="130" unbalanced="0"/>
    <cacheHierarchy uniqueName="[THrList].[Last_Name2]" caption="Last_Name2" attribute="1" defaultMemberUniqueName="[THrList].[Last_Name2].[All]" allUniqueName="[THrList].[Last_Name2].[All]" dimensionUniqueName="[THrList]" displayFolder="" count="0" memberValueDatatype="130" unbalanced="0"/>
    <cacheHierarchy uniqueName="[THrList].[First_Name]" caption="First_Name" attribute="1" defaultMemberUniqueName="[THrList].[First_Name].[All]" allUniqueName="[THrList].[First_Name].[All]" dimensionUniqueName="[THrList]" displayFolder="" count="0" memberValueDatatype="130" unbalanced="0"/>
    <cacheHierarchy uniqueName="[THrList].[Gender]" caption="Gender" attribute="1" defaultMemberUniqueName="[THrList].[Gender].[All]" allUniqueName="[THrList].[Gender].[All]" dimensionUniqueName="[THrList]" displayFolder="" count="0" memberValueDatatype="130" unbalanced="0"/>
    <cacheHierarchy uniqueName="[THrList].[Date_of_Birth]" caption="Date_of_Birth" attribute="1" time="1" defaultMemberUniqueName="[THrList].[Date_of_Birth].[All]" allUniqueName="[THrList].[Date_of_Birth].[All]" dimensionUniqueName="[THrList]" displayFolder="" count="0" memberValueDatatype="7" unbalanced="0"/>
    <cacheHierarchy uniqueName="[THrList].[Age]" caption="Age" attribute="1" defaultMemberUniqueName="[THrList].[Age].[All]" allUniqueName="[THrList].[Age].[All]" dimensionUniqueName="[THrList]" displayFolder="" count="0" memberValueDatatype="20" unbalanced="0"/>
    <cacheHierarchy uniqueName="[THrList].[Job_Level]" caption="Job_Level" attribute="1" defaultMemberUniqueName="[THrList].[Job_Level].[All]" allUniqueName="[THrList].[Job_Level].[All]" dimensionUniqueName="[THrList]" displayFolder="" count="0" memberValueDatatype="130" unbalanced="0"/>
    <cacheHierarchy uniqueName="[THrList].[Employment_Status]" caption="Employment_Status" attribute="1" defaultMemberUniqueName="[THrList].[Employment_Status].[All]" allUniqueName="[THrList].[Employment_Status].[All]" dimensionUniqueName="[THrList]" displayFolder="" count="0" memberValueDatatype="130" unbalanced="0"/>
    <cacheHierarchy uniqueName="[THrList].[Department]" caption="Department" attribute="1" defaultMemberUniqueName="[THrList].[Department].[All]" allUniqueName="[THrList].[Department].[All]" dimensionUniqueName="[THrList]" displayFolder="" count="0" memberValueDatatype="130" unbalanced="0"/>
    <cacheHierarchy uniqueName="[TTrainingSource].[EMPloyee_ID2]" caption="EMPloyee_ID2" attribute="1" defaultMemberUniqueName="[TTrainingSource].[EMPloyee_ID2].[All]" allUniqueName="[TTrainingSource].[EMPloyee_ID2].[All]" dimensionUniqueName="[TTrainingSource]" displayFolder="" count="0" memberValueDatatype="130" unbalanced="0"/>
    <cacheHierarchy uniqueName="[TTrainingSource].[Employee_ID]" caption="Employee_ID" attribute="1" defaultMemberUniqueName="[TTrainingSource].[Employee_ID].[All]" allUniqueName="[TTrainingSource].[Employee_ID].[All]" dimensionUniqueName="[TTrainingSource]" displayFolder="" count="0" memberValueDatatype="130" unbalanced="0"/>
    <cacheHierarchy uniqueName="[TTrainingSource].[Last_Name]" caption="Last_Name" attribute="1" defaultMemberUniqueName="[TTrainingSource].[Last_Name].[All]" allUniqueName="[TTrainingSource].[Last_Name].[All]" dimensionUniqueName="[TTrainingSource]" displayFolder="" count="0" memberValueDatatype="130" unbalanced="0"/>
    <cacheHierarchy uniqueName="[TTrainingSource].[First_Name]" caption="First_Name" attribute="1" defaultMemberUniqueName="[TTrainingSource].[First_Name].[All]" allUniqueName="[TTrainingSource].[First_Name].[All]" dimensionUniqueName="[TTrainingSource]" displayFolder="" count="0" memberValueDatatype="130" unbalanced="0"/>
    <cacheHierarchy uniqueName="[TTrainingSource].[Department]" caption="Department" attribute="1" defaultMemberUniqueName="[TTrainingSource].[Department].[All]" allUniqueName="[TTrainingSource].[Department].[All]" dimensionUniqueName="[TTrainingSource]" displayFolder="" count="0" memberValueDatatype="130" unbalanced="0"/>
    <cacheHierarchy uniqueName="[TTrainingSource].[Training_Status]" caption="Training_Status" attribute="1" defaultMemberUniqueName="[TTrainingSource].[Training_Status].[All]" allUniqueName="[TTrainingSource].[Training_Status].[All]" dimensionUniqueName="[TTrainingSource]" displayFolder="" count="0" memberValueDatatype="130" unbalanced="0"/>
    <cacheHierarchy uniqueName="[TTrainingSource].[Training_Status2]" caption="Training_Status2" attribute="1" defaultMemberUniqueName="[TTrainingSource].[Training_Status2].[All]" allUniqueName="[TTrainingSource].[Training_Status2].[All]" dimensionUniqueName="[TTrainingSource]" displayFolder="" count="0" memberValueDatatype="130" unbalanced="0"/>
    <cacheHierarchy uniqueName="[TTrainingSource].[Training_Title]" caption="Training_Title" attribute="1" defaultMemberUniqueName="[TTrainingSource].[Training_Title].[All]" allUniqueName="[TTrainingSource].[Training_Title].[All]" dimensionUniqueName="[TTrainingSource]" displayFolder="" count="0" memberValueDatatype="130" unbalanced="0"/>
    <cacheHierarchy uniqueName="[TTrainingSource].[Training_Title2]" caption="Training_Title2" attribute="1" defaultMemberUniqueName="[TTrainingSource].[Training_Title2].[All]" allUniqueName="[TTrainingSource].[Training_Title2].[All]" dimensionUniqueName="[TTrainingSource]" displayFolder="" count="0" memberValueDatatype="130" unbalanced="0"/>
    <cacheHierarchy uniqueName="[TTrainingSource].[Training_Date]" caption="Training_Date" attribute="1" time="1" defaultMemberUniqueName="[TTrainingSource].[Training_Date].[All]" allUniqueName="[TTrainingSource].[Training_Date].[All]" dimensionUniqueName="[TTrainingSource]" displayFolder="" count="0" memberValueDatatype="7" unbalanced="0"/>
    <cacheHierarchy uniqueName="[TTrainingSource].[Training_Provider]" caption="Training_Provider" attribute="1" defaultMemberUniqueName="[TTrainingSource].[Training_Provider].[All]" allUniqueName="[TTrainingSource].[Training_Provider].[All]" dimensionUniqueName="[TTrainingSource]" displayFolder="" count="0" memberValueDatatype="130" unbalanced="0"/>
    <cacheHierarchy uniqueName="[TTrainingSource].[Duration_Hours]" caption="Duration_Hours" attribute="1" defaultMemberUniqueName="[TTrainingSource].[Duration_Hours].[All]" allUniqueName="[TTrainingSource].[Duration_Hours].[All]" dimensionUniqueName="[TTrainingSource]" displayFolder="" count="0" memberValueDatatype="20" unbalanced="0"/>
    <cacheHierarchy uniqueName="[TTrainingSource].[Satisfaction_Score]" caption="Satisfaction_Score" attribute="1" defaultMemberUniqueName="[TTrainingSource].[Satisfaction_Score].[All]" allUniqueName="[TTrainingSource].[Satisfaction_Score].[All]" dimensionUniqueName="[TTrainingSource]" displayFolder="" count="0" memberValueDatatype="20" unbalanced="0"/>
    <cacheHierarchy uniqueName="[TTrainingSource].[Satisfaction_Score2]" caption="Satisfaction_Score2" attribute="1" defaultMemberUniqueName="[TTrainingSource].[Satisfaction_Score2].[All]" allUniqueName="[TTrainingSource].[Satisfaction_Score2].[All]" dimensionUniqueName="[TTrainingSource]" displayFolder="" count="0" memberValueDatatype="5" unbalanced="0"/>
    <cacheHierarchy uniqueName="[TTrainingSource].[Training_Date (Year)]" caption="Training_Date (Year)" attribute="1" defaultMemberUniqueName="[TTrainingSource].[Training_Date (Year)].[All]" allUniqueName="[TTrainingSource].[Training_Date (Year)].[All]" dimensionUniqueName="[TTrainingSource]" displayFolder="" count="0" memberValueDatatype="130" unbalanced="0"/>
    <cacheHierarchy uniqueName="[TTrainingSource].[Training_Date (Quarter)]" caption="Training_Date (Quarter)" attribute="1" defaultMemberUniqueName="[TTrainingSource].[Training_Date (Quarter)].[All]" allUniqueName="[TTrainingSource].[Training_Date (Quarter)].[All]" dimensionUniqueName="[TTrainingSource]" displayFolder="" count="0" memberValueDatatype="130" unbalanced="0"/>
    <cacheHierarchy uniqueName="[TTrainingSource].[Training_Date (Month)]" caption="Training_Date (Month)" attribute="1" defaultMemberUniqueName="[TTrainingSource].[Training_Date (Month)].[All]" allUniqueName="[TTrainingSource].[Training_Date (Month)].[All]" dimensionUniqueName="[TTrainingSource]" displayFolder="" count="0" memberValueDatatype="130" unbalanced="0"/>
    <cacheHierarchy uniqueName="[TTrainingSource].[Training_Date (Month Index)]" caption="Training_Date (Month Index)" attribute="1" defaultMemberUniqueName="[TTrainingSource].[Training_Date (Month Index)].[All]" allUniqueName="[TTrainingSource].[Training_Date (Month Index)].[All]" dimensionUniqueName="[TTrainingSource]" displayFolder="" count="0" memberValueDatatype="20" unbalanced="0" hidden="1"/>
    <cacheHierarchy uniqueName="[Measures].[__XL_Count TTrainingSource]" caption="__XL_Count TTrainingSource" measure="1" displayFolder="" measureGroup="TTrainingSource" count="0" hidden="1"/>
    <cacheHierarchy uniqueName="[Measures].[__XL_Count THrList]" caption="__XL_Count THrList" measure="1" displayFolder="" measureGroup="THrList" count="0" hidden="1"/>
    <cacheHierarchy uniqueName="[Measures].[__XL_Count TDepartment]" caption="__XL_Count TDepartment" measure="1" displayFolder="" measureGroup="TDepartment" count="0" hidden="1"/>
    <cacheHierarchy uniqueName="[Measures].[__No measures defined]" caption="__No measures defined" measure="1" displayFolder="" count="0" hidden="1"/>
    <cacheHierarchy uniqueName="[Measures].[Count of Duration_Hours]" caption="Count of Duration_Hours" measure="1" displayFolder="" measureGroup="TTrainingSource" count="0" hidden="1">
      <extLst>
        <ext xmlns:x15="http://schemas.microsoft.com/office/spreadsheetml/2010/11/main" uri="{B97F6D7D-B522-45F9-BDA1-12C45D357490}">
          <x15:cacheHierarchy aggregatedColumn="22"/>
        </ext>
      </extLst>
    </cacheHierarchy>
    <cacheHierarchy uniqueName="[Measures].[Sum of Satisfaction_Score]" caption="Sum of Satisfaction_Score" measure="1" displayFolder="" measureGroup="TTrainingSource" count="0" hidden="1">
      <extLst>
        <ext xmlns:x15="http://schemas.microsoft.com/office/spreadsheetml/2010/11/main" uri="{B97F6D7D-B522-45F9-BDA1-12C45D357490}">
          <x15:cacheHierarchy aggregatedColumn="23"/>
        </ext>
      </extLst>
    </cacheHierarchy>
    <cacheHierarchy uniqueName="[Measures].[Sum of Duration_Hours]" caption="Sum of Duration_Hours" measure="1" displayFolder="" measureGroup="TTrainingSource" count="0" hidden="1">
      <extLst>
        <ext xmlns:x15="http://schemas.microsoft.com/office/spreadsheetml/2010/11/main" uri="{B97F6D7D-B522-45F9-BDA1-12C45D357490}">
          <x15:cacheHierarchy aggregatedColumn="22"/>
        </ext>
      </extLst>
    </cacheHierarchy>
    <cacheHierarchy uniqueName="[Measures].[Sum of Satisfaction_Score2]" caption="Sum of Satisfaction_Score2" measure="1" displayFolder="" measureGroup="TTrainingSource" count="0" hidden="1">
      <extLst>
        <ext xmlns:x15="http://schemas.microsoft.com/office/spreadsheetml/2010/11/main" uri="{B97F6D7D-B522-45F9-BDA1-12C45D357490}">
          <x15:cacheHierarchy aggregatedColumn="24"/>
        </ext>
      </extLst>
    </cacheHierarchy>
    <cacheHierarchy uniqueName="[Measures].[Average of Satisfaction_Score2]" caption="Average of Satisfaction_Score2" measure="1" displayFolder="" measureGroup="TTrainingSource" count="0" hidden="1">
      <extLst>
        <ext xmlns:x15="http://schemas.microsoft.com/office/spreadsheetml/2010/11/main" uri="{B97F6D7D-B522-45F9-BDA1-12C45D357490}">
          <x15:cacheHierarchy aggregatedColumn="24"/>
        </ext>
      </extLst>
    </cacheHierarchy>
    <cacheHierarchy uniqueName="[Measures].[Average of Satisfaction_Score]" caption="Average of Satisfaction_Score" measure="1" displayFolder="" measureGroup="TTrainingSource" count="0" hidden="1">
      <extLst>
        <ext xmlns:x15="http://schemas.microsoft.com/office/spreadsheetml/2010/11/main" uri="{B97F6D7D-B522-45F9-BDA1-12C45D357490}">
          <x15:cacheHierarchy aggregatedColumn="23"/>
        </ext>
      </extLst>
    </cacheHierarchy>
    <cacheHierarchy uniqueName="[Measures].[Count of Training_Title]" caption="Count of Training_Title" measure="1" displayFolder="" measureGroup="TTrainingSource"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TDepartment" uniqueName="[TDepartment]" caption="TDepartment"/>
    <dimension name="THrList" uniqueName="[THrList]" caption="THrList"/>
    <dimension name="TTrainingSource" uniqueName="[TTrainingSource]" caption="TTrainingSource"/>
  </dimensions>
  <measureGroups count="3">
    <measureGroup name="TDepartment" caption="TDepartment"/>
    <measureGroup name="THrList" caption="THrList"/>
    <measureGroup name="TTrainingSource" caption="TTrainingSource"/>
  </measureGroups>
  <maps count="4">
    <map measureGroup="0" dimension="1"/>
    <map measureGroup="1" dimension="2"/>
    <map measureGroup="2" dimension="2"/>
    <map measureGroup="2" dimension="3"/>
  </maps>
  <extLst>
    <ext xmlns:x14="http://schemas.microsoft.com/office/spreadsheetml/2009/9/main" uri="{725AE2AE-9491-48be-B2B4-4EB974FC3084}">
      <x14:pivotCacheDefinition pivotCacheId="202426366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F44403-0D39-433C-B1E7-DB0D07950CED}" name="PivotTable5" cacheId="176" applyNumberFormats="0" applyBorderFormats="0" applyFontFormats="0" applyPatternFormats="0" applyAlignmentFormats="0" applyWidthHeightFormats="1" dataCaption="Values" updatedVersion="8" minRefreshableVersion="5" showDrill="0" useAutoFormatting="1" subtotalHiddenItems="1" itemPrintTitles="1" createdVersion="8" indent="0" compact="0" compactData="0" multipleFieldFilters="0" rowHeaderCaption="Emploree ID">
  <location ref="D18:G626" firstHeaderRow="1" firstDataRow="1" firstDataCol="3"/>
  <pivotFields count="5">
    <pivotField axis="axisRow" compact="0" allDrilled="1" outline="0" subtotalTop="0" showAll="0" sortType="descending" defaultSubtotal="0" defaultAttributeDrillState="1">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s>
      <autoSortScope>
        <pivotArea dataOnly="0" outline="0" fieldPosition="0">
          <references count="1">
            <reference field="4294967294" count="1" selected="0">
              <x v="0"/>
            </reference>
          </references>
        </pivotArea>
      </autoSortScope>
    </pivotField>
    <pivotField dataField="1" compact="0" outline="0" subtotalTop="0" showAll="0" defaultSubtotal="0"/>
    <pivotField axis="axisRow" compact="0" allDrilled="1" outline="0" subtotalTop="0" showAll="0" dataSourceSort="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 axis="axisRow" compact="0" allDrilled="1" outline="0" subtotalTop="0" showAll="0" dataSourceSort="1" defaultSubtotal="0" defaultAttributeDrillState="1">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pivotField>
    <pivotField compact="0" allDrilled="1" outline="0" subtotalTop="0" showAll="0" dataSourceSort="1" defaultSubtotal="0" defaultAttributeDrillState="1"/>
  </pivotFields>
  <rowFields count="3">
    <field x="0"/>
    <field x="2"/>
    <field x="3"/>
  </rowFields>
  <rowItems count="608">
    <i>
      <x v="136"/>
      <x v="46"/>
      <x v="36"/>
    </i>
    <i>
      <x v="40"/>
      <x v="15"/>
      <x v="19"/>
    </i>
    <i>
      <x v="199"/>
      <x v="8"/>
      <x v="35"/>
    </i>
    <i>
      <x v="344"/>
      <x v="33"/>
      <x v="37"/>
    </i>
    <i>
      <x v="364"/>
      <x v="25"/>
      <x v="47"/>
    </i>
    <i>
      <x v="565"/>
      <x v="30"/>
      <x v="4"/>
    </i>
    <i>
      <x v="285"/>
      <x v="34"/>
      <x v="6"/>
    </i>
    <i>
      <x v="298"/>
      <x v="50"/>
      <x v="39"/>
    </i>
    <i>
      <x v="287"/>
      <x v="20"/>
      <x v="23"/>
    </i>
    <i>
      <x v="550"/>
      <x v="25"/>
      <x v="1"/>
    </i>
    <i>
      <x v="350"/>
      <x v="7"/>
      <x v="47"/>
    </i>
    <i>
      <x v="48"/>
      <x v="6"/>
      <x v="29"/>
    </i>
    <i>
      <x v="84"/>
      <x v="37"/>
      <x v="9"/>
    </i>
    <i>
      <x v="536"/>
      <x v="47"/>
      <x v="16"/>
    </i>
    <i>
      <x v="423"/>
      <x v="38"/>
      <x v="21"/>
    </i>
    <i>
      <x v="397"/>
      <x v="41"/>
      <x v="28"/>
    </i>
    <i>
      <x v="8"/>
      <x v="8"/>
      <x v="7"/>
    </i>
    <i>
      <x v="104"/>
      <x v="41"/>
      <x v="14"/>
    </i>
    <i>
      <x v="300"/>
      <x v="35"/>
      <x v="23"/>
    </i>
    <i>
      <x v="392"/>
      <x v="10"/>
      <x v="38"/>
    </i>
    <i>
      <x v="247"/>
      <x v="33"/>
      <x v="10"/>
    </i>
    <i>
      <x v="36"/>
      <x v="26"/>
      <x v="25"/>
    </i>
    <i>
      <x v="78"/>
      <x v="35"/>
      <x v="37"/>
    </i>
    <i>
      <x v="368"/>
      <x v="40"/>
      <x v="34"/>
    </i>
    <i>
      <x v="425"/>
      <x v="31"/>
      <x v="5"/>
    </i>
    <i>
      <x v="116"/>
      <x v="36"/>
      <x v="1"/>
    </i>
    <i>
      <x v="559"/>
      <x v="9"/>
      <x v="21"/>
    </i>
    <i>
      <x v="567"/>
      <x v="40"/>
      <x v="39"/>
    </i>
    <i>
      <x v="208"/>
      <x v="11"/>
      <x v="37"/>
    </i>
    <i>
      <x v="157"/>
      <x v="18"/>
      <x v="17"/>
    </i>
    <i>
      <x v="406"/>
      <x v="7"/>
      <x v="31"/>
    </i>
    <i>
      <x v="373"/>
      <x v="13"/>
      <x v="8"/>
    </i>
    <i>
      <x v="405"/>
      <x v="50"/>
      <x v="38"/>
    </i>
    <i>
      <x v="146"/>
      <x v="5"/>
      <x v="46"/>
    </i>
    <i>
      <x v="568"/>
      <x v="47"/>
      <x v="14"/>
    </i>
    <i>
      <x v="275"/>
      <x v="27"/>
      <x v="3"/>
    </i>
    <i>
      <x v="142"/>
      <x v="6"/>
      <x v="7"/>
    </i>
    <i>
      <x v="80"/>
      <x v="9"/>
      <x v="38"/>
    </i>
    <i>
      <x v="209"/>
      <x v="13"/>
      <x v="14"/>
    </i>
    <i>
      <x v="7"/>
      <x v="7"/>
      <x v="6"/>
    </i>
    <i>
      <x v="289"/>
      <x v="14"/>
      <x v="33"/>
    </i>
    <i>
      <x v="511"/>
      <x v="7"/>
      <x v="7"/>
    </i>
    <i>
      <x v="1"/>
      <x v="1"/>
      <x v="1"/>
    </i>
    <i>
      <x v="457"/>
      <x v="12"/>
      <x v="49"/>
    </i>
    <i>
      <x v="381"/>
      <x v="41"/>
      <x v="21"/>
    </i>
    <i>
      <x v="502"/>
      <x v="32"/>
      <x v="17"/>
    </i>
    <i>
      <x v="524"/>
      <x v="12"/>
      <x/>
    </i>
    <i>
      <x v="581"/>
      <x v="33"/>
      <x v="37"/>
    </i>
    <i>
      <x v="217"/>
      <x v="11"/>
      <x v="25"/>
    </i>
    <i>
      <x v="443"/>
      <x v="27"/>
      <x v="39"/>
    </i>
    <i>
      <x v="504"/>
      <x v="36"/>
      <x v="4"/>
    </i>
    <i>
      <x v="591"/>
      <x v="15"/>
      <x v="31"/>
    </i>
    <i>
      <x v="605"/>
      <x v="49"/>
      <x v="36"/>
    </i>
    <i>
      <x v="76"/>
      <x v="6"/>
      <x v="19"/>
    </i>
    <i>
      <x v="62"/>
      <x v="12"/>
      <x v="26"/>
    </i>
    <i>
      <x v="590"/>
      <x v="15"/>
      <x v="27"/>
    </i>
    <i>
      <x v="314"/>
      <x v="18"/>
      <x v="3"/>
    </i>
    <i>
      <x v="191"/>
      <x v="47"/>
      <x v="10"/>
    </i>
    <i>
      <x v="96"/>
      <x v="27"/>
      <x v="42"/>
    </i>
    <i>
      <x v="39"/>
      <x v="27"/>
      <x v="27"/>
    </i>
    <i>
      <x v="491"/>
      <x v="45"/>
      <x/>
    </i>
    <i>
      <x v="372"/>
      <x v="16"/>
      <x v="35"/>
    </i>
    <i>
      <x v="93"/>
      <x v="40"/>
      <x v="41"/>
    </i>
    <i>
      <x v="14"/>
      <x v="13"/>
      <x v="10"/>
    </i>
    <i>
      <x v="253"/>
      <x v="9"/>
      <x v="8"/>
    </i>
    <i>
      <x v="177"/>
      <x/>
      <x v="36"/>
    </i>
    <i>
      <x v="187"/>
      <x v="24"/>
      <x v="6"/>
    </i>
    <i>
      <x v="427"/>
      <x v="24"/>
      <x v="12"/>
    </i>
    <i>
      <x v="374"/>
      <x v="12"/>
      <x v="20"/>
    </i>
    <i>
      <x v="507"/>
      <x v="23"/>
      <x v="37"/>
    </i>
    <i>
      <x v="455"/>
      <x v="45"/>
      <x v="48"/>
    </i>
    <i>
      <x v="101"/>
      <x v="37"/>
      <x v="36"/>
    </i>
    <i>
      <x v="266"/>
      <x v="26"/>
      <x v="23"/>
    </i>
    <i>
      <x v="52"/>
      <x v="30"/>
      <x v="27"/>
    </i>
    <i>
      <x v="106"/>
      <x v="16"/>
      <x v="42"/>
    </i>
    <i>
      <x v="497"/>
      <x v="43"/>
      <x v="46"/>
    </i>
    <i>
      <x v="108"/>
      <x v="38"/>
      <x v="12"/>
    </i>
    <i>
      <x v="89"/>
      <x v="27"/>
      <x v="23"/>
    </i>
    <i>
      <x v="579"/>
      <x v="19"/>
      <x v="24"/>
    </i>
    <i>
      <x v="339"/>
      <x v="18"/>
      <x v="3"/>
    </i>
    <i>
      <x v="400"/>
      <x v="22"/>
      <x v="22"/>
    </i>
    <i>
      <x v="597"/>
      <x v="22"/>
      <x v="13"/>
    </i>
    <i>
      <x v="421"/>
      <x v="17"/>
      <x v="17"/>
    </i>
    <i>
      <x v="482"/>
      <x v="28"/>
      <x v="38"/>
    </i>
    <i>
      <x v="34"/>
      <x v="5"/>
      <x v="4"/>
    </i>
    <i>
      <x v="213"/>
      <x v="36"/>
      <x v="36"/>
    </i>
    <i>
      <x v="242"/>
      <x v="15"/>
      <x v="8"/>
    </i>
    <i>
      <x v="301"/>
      <x v="4"/>
      <x v="48"/>
    </i>
    <i>
      <x v="117"/>
      <x v="33"/>
      <x v="42"/>
    </i>
    <i>
      <x v="37"/>
      <x v="20"/>
      <x v="26"/>
    </i>
    <i>
      <x v="31"/>
      <x v="24"/>
      <x v="22"/>
    </i>
    <i>
      <x v="580"/>
      <x v="12"/>
      <x v="35"/>
    </i>
    <i>
      <x v="542"/>
      <x v="42"/>
      <x v="9"/>
    </i>
    <i>
      <x v="528"/>
      <x v="47"/>
      <x v="46"/>
    </i>
    <i>
      <x v="382"/>
      <x v="15"/>
      <x v="30"/>
    </i>
    <i>
      <x v="569"/>
      <x v="47"/>
      <x v="3"/>
    </i>
    <i>
      <x v="317"/>
      <x v="50"/>
      <x v="11"/>
    </i>
    <i>
      <x v="356"/>
      <x v="40"/>
      <x v="21"/>
    </i>
    <i>
      <x v="503"/>
      <x v="9"/>
      <x v="22"/>
    </i>
    <i>
      <x v="269"/>
      <x v="14"/>
      <x v="46"/>
    </i>
    <i>
      <x v="563"/>
      <x v="37"/>
      <x/>
    </i>
    <i>
      <x v="490"/>
      <x v="28"/>
      <x v="18"/>
    </i>
    <i>
      <x v="272"/>
      <x v="38"/>
      <x v="49"/>
    </i>
    <i>
      <x v="284"/>
      <x v="36"/>
      <x v="46"/>
    </i>
    <i>
      <x v="124"/>
      <x v="44"/>
      <x v="41"/>
    </i>
    <i>
      <x v="582"/>
      <x v="25"/>
      <x v="6"/>
    </i>
    <i>
      <x v="531"/>
      <x v="38"/>
      <x v="13"/>
    </i>
    <i>
      <x v="558"/>
      <x v="28"/>
      <x v="44"/>
    </i>
    <i>
      <x v="495"/>
      <x v="37"/>
      <x v="39"/>
    </i>
    <i>
      <x v="335"/>
      <x v="3"/>
      <x v="40"/>
    </i>
    <i>
      <x v="588"/>
      <x v="22"/>
      <x v="27"/>
    </i>
    <i>
      <x v="508"/>
      <x v="35"/>
      <x v="30"/>
    </i>
    <i>
      <x v="367"/>
      <x v="14"/>
      <x v="16"/>
    </i>
    <i>
      <x v="255"/>
      <x v="2"/>
      <x v="4"/>
    </i>
    <i>
      <x v="185"/>
      <x v="1"/>
      <x v="40"/>
    </i>
    <i>
      <x v="219"/>
      <x v="33"/>
      <x v="6"/>
    </i>
    <i>
      <x v="238"/>
      <x v="43"/>
      <x v="8"/>
    </i>
    <i>
      <x v="9"/>
      <x v="9"/>
      <x v="8"/>
    </i>
    <i>
      <x v="144"/>
      <x v="11"/>
      <x v="45"/>
    </i>
    <i>
      <x v="148"/>
      <x v="10"/>
      <x v="1"/>
    </i>
    <i>
      <x v="363"/>
      <x v="29"/>
      <x v="33"/>
    </i>
    <i>
      <x v="414"/>
      <x v="7"/>
      <x v="17"/>
    </i>
    <i>
      <x v="45"/>
      <x v="28"/>
      <x v="21"/>
    </i>
    <i>
      <x v="58"/>
      <x v="6"/>
      <x v="26"/>
    </i>
    <i>
      <x v="192"/>
      <x v="34"/>
      <x v="31"/>
    </i>
    <i>
      <x v="343"/>
      <x v="12"/>
      <x v="17"/>
    </i>
    <i>
      <x v="369"/>
      <x v="47"/>
      <x v="47"/>
    </i>
    <i>
      <x v="379"/>
      <x v="3"/>
      <x v="28"/>
    </i>
    <i>
      <x v="449"/>
      <x v="10"/>
      <x v="3"/>
    </i>
    <i>
      <x v="305"/>
      <x v="10"/>
      <x v="22"/>
    </i>
    <i>
      <x v="470"/>
      <x v="22"/>
      <x v="23"/>
    </i>
    <i>
      <x v="415"/>
      <x v="17"/>
      <x v="7"/>
    </i>
    <i>
      <x v="328"/>
      <x v="2"/>
      <x v="38"/>
    </i>
    <i>
      <x v="176"/>
      <x v="46"/>
      <x v="43"/>
    </i>
    <i>
      <x v="99"/>
      <x/>
      <x v="19"/>
    </i>
    <i>
      <x v="235"/>
      <x v="21"/>
      <x v="16"/>
    </i>
    <i>
      <x v="282"/>
      <x v="46"/>
      <x v="4"/>
    </i>
    <i>
      <x v="240"/>
      <x v="24"/>
      <x v="32"/>
    </i>
    <i>
      <x v="286"/>
      <x v="52"/>
      <x v="17"/>
    </i>
    <i>
      <x v="230"/>
      <x v="33"/>
      <x v="15"/>
    </i>
    <i>
      <x v="292"/>
      <x v="29"/>
      <x v="17"/>
    </i>
    <i>
      <x v="299"/>
      <x v="46"/>
      <x v="2"/>
    </i>
    <i>
      <x v="197"/>
      <x v="50"/>
      <x v="4"/>
    </i>
    <i>
      <x v="514"/>
      <x v="3"/>
      <x v="17"/>
    </i>
    <i>
      <x v="338"/>
      <x v="2"/>
      <x v="31"/>
    </i>
    <i>
      <x v="159"/>
      <x v="35"/>
      <x v="42"/>
    </i>
    <i>
      <x v="134"/>
      <x v="3"/>
      <x v="31"/>
    </i>
    <i>
      <x v="42"/>
      <x v="18"/>
      <x v="15"/>
    </i>
    <i>
      <x v="593"/>
      <x v="8"/>
      <x v="35"/>
    </i>
    <i>
      <x v="447"/>
      <x v="47"/>
      <x v="17"/>
    </i>
    <i>
      <x v="595"/>
      <x v="32"/>
      <x v="44"/>
    </i>
    <i>
      <x v="529"/>
      <x v="29"/>
      <x v="32"/>
    </i>
    <i>
      <x v="458"/>
      <x v="27"/>
      <x v="48"/>
    </i>
    <i>
      <x v="341"/>
      <x v="36"/>
      <x v="27"/>
    </i>
    <i>
      <x v="545"/>
      <x v="4"/>
      <x v="13"/>
    </i>
    <i>
      <x v="308"/>
      <x v="28"/>
      <x v="20"/>
    </i>
    <i>
      <x v="23"/>
      <x v="13"/>
      <x v="18"/>
    </i>
    <i>
      <x v="227"/>
      <x v="12"/>
      <x v="49"/>
    </i>
    <i>
      <x v="290"/>
      <x v="45"/>
      <x/>
    </i>
    <i>
      <x v="296"/>
      <x v="14"/>
      <x v="11"/>
    </i>
    <i>
      <x v="109"/>
      <x v="25"/>
      <x v="7"/>
    </i>
    <i>
      <x v="125"/>
      <x v="41"/>
      <x v="45"/>
    </i>
    <i>
      <x v="263"/>
      <x v="30"/>
      <x v="30"/>
    </i>
    <i>
      <x v="194"/>
      <x v="19"/>
      <x v="11"/>
    </i>
    <i>
      <x v="329"/>
      <x v="19"/>
      <x v="39"/>
    </i>
    <i>
      <x v="596"/>
      <x v="29"/>
      <x v="38"/>
    </i>
    <i>
      <x v="340"/>
      <x v="50"/>
      <x v="20"/>
    </i>
    <i>
      <x v="333"/>
      <x v="12"/>
      <x v="16"/>
    </i>
    <i>
      <x v="452"/>
      <x v="16"/>
      <x v="17"/>
    </i>
    <i>
      <x v="451"/>
      <x v="31"/>
      <x v="24"/>
    </i>
    <i>
      <x v="544"/>
      <x v="20"/>
      <x v="21"/>
    </i>
    <i>
      <x v="583"/>
      <x v="21"/>
      <x v="45"/>
    </i>
    <i>
      <x v="532"/>
      <x v="36"/>
      <x v="28"/>
    </i>
    <i>
      <x v="420"/>
      <x v="6"/>
      <x v="25"/>
    </i>
    <i>
      <x v="444"/>
      <x v="35"/>
      <x v="1"/>
    </i>
    <i>
      <x v="462"/>
      <x v="32"/>
      <x v="14"/>
    </i>
    <i>
      <x v="409"/>
      <x v="29"/>
      <x v="5"/>
    </i>
    <i>
      <x v="564"/>
      <x v="26"/>
      <x v="34"/>
    </i>
    <i>
      <x v="383"/>
      <x v="36"/>
      <x v="13"/>
    </i>
    <i>
      <x v="472"/>
      <x v="17"/>
      <x v="11"/>
    </i>
    <i>
      <x v="10"/>
      <x v="10"/>
      <x v="9"/>
    </i>
    <i>
      <x v="276"/>
      <x v="10"/>
      <x v="37"/>
    </i>
    <i>
      <x v="243"/>
      <x v="32"/>
      <x v="38"/>
    </i>
    <i>
      <x v="175"/>
      <x v="19"/>
      <x v="9"/>
    </i>
    <i>
      <x v="70"/>
      <x v="3"/>
      <x v="32"/>
    </i>
    <i>
      <x v="2"/>
      <x v="2"/>
      <x v="2"/>
    </i>
    <i>
      <x v="241"/>
      <x v="10"/>
      <x v="38"/>
    </i>
    <i>
      <x v="113"/>
      <x v="18"/>
      <x v="13"/>
    </i>
    <i>
      <x v="64"/>
      <x v="33"/>
      <x v="16"/>
    </i>
    <i>
      <x v="207"/>
      <x v="11"/>
      <x v="14"/>
    </i>
    <i>
      <x v="215"/>
      <x v="12"/>
      <x v="25"/>
    </i>
    <i>
      <x v="114"/>
      <x v="25"/>
      <x v="28"/>
    </i>
    <i>
      <x v="387"/>
      <x v="32"/>
      <x v="5"/>
    </i>
    <i>
      <x v="347"/>
      <x v="6"/>
      <x v="2"/>
    </i>
    <i>
      <x v="437"/>
      <x v="38"/>
      <x v="36"/>
    </i>
    <i>
      <x v="598"/>
      <x/>
      <x v="6"/>
    </i>
    <i>
      <x v="63"/>
      <x v="16"/>
      <x v="18"/>
    </i>
    <i>
      <x v="233"/>
      <x v="38"/>
      <x v="18"/>
    </i>
    <i>
      <x v="352"/>
      <x v="21"/>
      <x v="4"/>
    </i>
    <i>
      <x v="422"/>
      <x v="20"/>
      <x v="43"/>
    </i>
    <i>
      <x v="376"/>
      <x v="46"/>
      <x v="33"/>
    </i>
    <i>
      <x v="402"/>
      <x v="13"/>
      <x v="32"/>
    </i>
    <i>
      <x v="436"/>
      <x v="40"/>
      <x v="25"/>
    </i>
    <i>
      <x v="438"/>
      <x v="3"/>
      <x v="9"/>
    </i>
    <i>
      <x v="513"/>
      <x v="29"/>
      <x v="29"/>
    </i>
    <i>
      <x v="304"/>
      <x v="11"/>
      <x v="32"/>
    </i>
    <i>
      <x v="348"/>
      <x v="32"/>
      <x v="39"/>
    </i>
    <i>
      <x v="398"/>
      <x v="2"/>
      <x v="38"/>
    </i>
    <i>
      <x v="594"/>
      <x v="13"/>
      <x v="38"/>
    </i>
    <i>
      <x v="355"/>
      <x v="39"/>
      <x v="4"/>
    </i>
    <i>
      <x v="500"/>
      <x v="2"/>
      <x v="20"/>
    </i>
    <i>
      <x v="346"/>
      <x v="13"/>
      <x v="28"/>
    </i>
    <i>
      <x v="493"/>
      <x v="39"/>
      <x v="1"/>
    </i>
    <i>
      <x v="131"/>
      <x v="21"/>
      <x v="10"/>
    </i>
    <i>
      <x v="260"/>
      <x v="11"/>
      <x v="36"/>
    </i>
    <i>
      <x v="254"/>
      <x v="36"/>
      <x v="40"/>
    </i>
    <i>
      <x v="184"/>
      <x/>
      <x v="15"/>
    </i>
    <i>
      <x v="200"/>
      <x v="11"/>
      <x v="47"/>
    </i>
    <i>
      <x v="22"/>
      <x v="5"/>
      <x v="1"/>
    </i>
    <i>
      <x v="123"/>
      <x v="29"/>
      <x v="23"/>
    </i>
    <i>
      <x v="212"/>
      <x v="19"/>
      <x v="10"/>
    </i>
    <i>
      <x v="548"/>
      <x v="49"/>
      <x v="13"/>
    </i>
    <i>
      <x v="459"/>
      <x v="26"/>
      <x v="7"/>
    </i>
    <i>
      <x v="226"/>
      <x v="40"/>
      <x v="45"/>
    </i>
    <i>
      <x v="97"/>
      <x v="28"/>
      <x v="21"/>
    </i>
    <i>
      <x v="98"/>
      <x v="15"/>
      <x v="39"/>
    </i>
    <i>
      <x v="323"/>
      <x v="38"/>
      <x v="39"/>
    </i>
    <i>
      <x v="478"/>
      <x v="17"/>
      <x v="42"/>
    </i>
    <i>
      <x v="307"/>
      <x v="43"/>
      <x v="3"/>
    </i>
    <i>
      <x v="416"/>
      <x v="8"/>
      <x v="51"/>
    </i>
    <i>
      <x v="481"/>
      <x v="28"/>
      <x v="1"/>
    </i>
    <i>
      <x v="327"/>
      <x v="39"/>
      <x v="27"/>
    </i>
    <i>
      <x v="603"/>
      <x v="18"/>
      <x v="29"/>
    </i>
    <i>
      <x v="546"/>
      <x v="15"/>
      <x v="49"/>
    </i>
    <i>
      <x v="324"/>
      <x v="3"/>
      <x v="42"/>
    </i>
    <i>
      <x v="450"/>
      <x v="15"/>
      <x v="36"/>
    </i>
    <i>
      <x v="557"/>
      <x v="16"/>
      <x v="8"/>
    </i>
    <i>
      <x v="312"/>
      <x v="50"/>
      <x v="35"/>
    </i>
    <i>
      <x v="574"/>
      <x v="22"/>
      <x v="3"/>
    </i>
    <i>
      <x v="519"/>
      <x v="4"/>
      <x v="19"/>
    </i>
    <i>
      <x v="446"/>
      <x v="22"/>
      <x v="5"/>
    </i>
    <i>
      <x v="419"/>
      <x v="26"/>
      <x v="19"/>
    </i>
    <i>
      <x v="600"/>
      <x v="10"/>
      <x v="19"/>
    </i>
    <i>
      <x v="474"/>
      <x v="9"/>
      <x v="18"/>
    </i>
    <i>
      <x v="380"/>
      <x v="13"/>
      <x v="27"/>
    </i>
    <i>
      <x v="310"/>
      <x/>
      <x v="9"/>
    </i>
    <i>
      <x v="38"/>
      <x v="26"/>
      <x v="3"/>
    </i>
    <i>
      <x v="95"/>
      <x v="2"/>
      <x v="19"/>
    </i>
    <i>
      <x v="174"/>
      <x v="43"/>
      <x v="15"/>
    </i>
    <i>
      <x v="193"/>
      <x v="43"/>
      <x v="10"/>
    </i>
    <i>
      <x v="166"/>
      <x v="21"/>
      <x v="5"/>
    </i>
    <i>
      <x v="41"/>
      <x/>
      <x v="26"/>
    </i>
    <i>
      <x v="126"/>
      <x v="12"/>
      <x v="27"/>
    </i>
    <i>
      <x v="252"/>
      <x v="28"/>
      <x v="15"/>
    </i>
    <i>
      <x v="267"/>
      <x v="48"/>
      <x v="48"/>
    </i>
    <i>
      <x v="6"/>
      <x v="6"/>
      <x v="5"/>
    </i>
    <i>
      <x v="110"/>
      <x v="10"/>
      <x v="3"/>
    </i>
    <i>
      <x v="163"/>
      <x v="6"/>
      <x v="27"/>
    </i>
    <i>
      <x v="18"/>
      <x v="16"/>
      <x v="15"/>
    </i>
    <i>
      <x v="288"/>
      <x v="2"/>
      <x v="6"/>
    </i>
    <i>
      <x v="55"/>
      <x v="31"/>
      <x v="21"/>
    </i>
    <i>
      <x v="74"/>
      <x v="33"/>
      <x v="35"/>
    </i>
    <i>
      <x v="246"/>
      <x v="6"/>
      <x v="25"/>
    </i>
    <i>
      <x v="155"/>
      <x v="8"/>
      <x v="13"/>
    </i>
    <i>
      <x v="120"/>
      <x v="23"/>
      <x v="44"/>
    </i>
    <i>
      <x v="236"/>
      <x v="23"/>
      <x v="10"/>
    </i>
    <i>
      <x v="188"/>
      <x v="18"/>
      <x v="29"/>
    </i>
    <i>
      <x v="441"/>
      <x v="50"/>
      <x v="15"/>
    </i>
    <i>
      <x v="426"/>
      <x v="30"/>
      <x v="33"/>
    </i>
    <i>
      <x v="499"/>
      <x v="26"/>
      <x v="15"/>
    </i>
    <i>
      <x v="403"/>
      <x v="8"/>
      <x v="39"/>
    </i>
    <i>
      <x v="303"/>
      <x v="35"/>
      <x v="40"/>
    </i>
    <i>
      <x v="234"/>
      <x v="9"/>
      <x v="33"/>
    </i>
    <i>
      <x v="448"/>
      <x v="23"/>
      <x v="49"/>
    </i>
    <i>
      <x v="442"/>
      <x v="23"/>
      <x v="34"/>
    </i>
    <i>
      <x v="530"/>
      <x v="18"/>
      <x v="7"/>
    </i>
    <i>
      <x v="342"/>
      <x v="2"/>
      <x v="18"/>
    </i>
    <i>
      <x v="501"/>
      <x v="46"/>
      <x v="8"/>
    </i>
    <i>
      <x v="541"/>
      <x v="18"/>
      <x v="13"/>
    </i>
    <i>
      <x v="412"/>
      <x v="17"/>
      <x v="31"/>
    </i>
    <i>
      <x v="586"/>
      <x v="37"/>
      <x v="48"/>
    </i>
    <i>
      <x v="469"/>
      <x v="20"/>
      <x v="26"/>
    </i>
    <i>
      <x v="604"/>
      <x v="31"/>
      <x v="21"/>
    </i>
    <i>
      <x v="489"/>
      <x v="16"/>
      <x v="45"/>
    </i>
    <i>
      <x v="498"/>
      <x v="36"/>
      <x v="19"/>
    </i>
    <i>
      <x v="4"/>
      <x v="4"/>
      <x v="3"/>
    </i>
    <i>
      <x v="94"/>
      <x v="41"/>
      <x v="23"/>
    </i>
    <i>
      <x v="161"/>
      <x v="35"/>
      <x v="47"/>
    </i>
    <i>
      <x v="172"/>
      <x v="33"/>
      <x v="6"/>
    </i>
    <i>
      <x v="220"/>
      <x v="8"/>
      <x v="4"/>
    </i>
    <i>
      <x v="173"/>
      <x v="4"/>
      <x v="3"/>
    </i>
    <i>
      <x v="271"/>
      <x v="1"/>
      <x v="18"/>
    </i>
    <i>
      <x v="186"/>
      <x v="21"/>
      <x v="46"/>
    </i>
    <i>
      <x v="256"/>
      <x v="15"/>
      <x v="8"/>
    </i>
    <i>
      <x v="203"/>
      <x v="37"/>
      <x v="14"/>
    </i>
    <i>
      <x v="264"/>
      <x v="36"/>
      <x v="23"/>
    </i>
    <i>
      <x v="484"/>
      <x v="20"/>
      <x v="46"/>
    </i>
    <i>
      <x v="537"/>
      <x v="11"/>
      <x v="18"/>
    </i>
    <i>
      <x v="82"/>
      <x v="20"/>
      <x v="9"/>
    </i>
    <i>
      <x v="198"/>
      <x v="8"/>
      <x v="34"/>
    </i>
    <i>
      <x v="463"/>
      <x v="5"/>
      <x v="47"/>
    </i>
    <i>
      <x v="385"/>
      <x v="31"/>
      <x v="8"/>
    </i>
    <i>
      <x v="492"/>
      <x v="36"/>
      <x/>
    </i>
    <i>
      <x v="494"/>
      <x v="2"/>
      <x v="15"/>
    </i>
    <i>
      <x v="549"/>
      <x v="49"/>
      <x v="8"/>
    </i>
    <i>
      <x v="464"/>
      <x v="37"/>
      <x v="28"/>
    </i>
    <i>
      <x v="393"/>
      <x v="50"/>
      <x v="17"/>
    </i>
    <i>
      <x v="359"/>
      <x v="10"/>
      <x v="3"/>
    </i>
    <i>
      <x v="428"/>
      <x v="1"/>
      <x v="35"/>
    </i>
    <i>
      <x v="471"/>
      <x v="43"/>
      <x v="49"/>
    </i>
    <i>
      <x v="538"/>
      <x v="48"/>
      <x v="7"/>
    </i>
    <i>
      <x v="505"/>
      <x v="16"/>
      <x v="18"/>
    </i>
    <i>
      <x v="432"/>
      <x v="49"/>
      <x v="42"/>
    </i>
    <i>
      <x v="477"/>
      <x v="35"/>
      <x v="48"/>
    </i>
    <i>
      <x v="554"/>
      <x v="4"/>
      <x v="36"/>
    </i>
    <i>
      <x v="322"/>
      <x v="47"/>
      <x v="7"/>
    </i>
    <i>
      <x v="388"/>
      <x v="37"/>
      <x v="1"/>
    </i>
    <i>
      <x v="320"/>
      <x v="6"/>
      <x v="21"/>
    </i>
    <i>
      <x v="485"/>
      <x v="17"/>
      <x v="7"/>
    </i>
    <i>
      <x v="377"/>
      <x v="22"/>
      <x v="22"/>
    </i>
    <i>
      <x v="354"/>
      <x v="14"/>
      <x v="33"/>
    </i>
    <i>
      <x v="522"/>
      <x v="26"/>
      <x v="16"/>
    </i>
    <i>
      <x v="139"/>
      <x v="9"/>
      <x v="19"/>
    </i>
    <i>
      <x v="135"/>
      <x v="33"/>
      <x v="43"/>
    </i>
    <i>
      <x v="59"/>
      <x v="20"/>
      <x v="15"/>
    </i>
    <i>
      <x v="47"/>
      <x v="3"/>
      <x v="2"/>
    </i>
    <i>
      <x v="13"/>
      <x v="12"/>
      <x v="12"/>
    </i>
    <i>
      <x v="189"/>
      <x v="39"/>
      <x v="40"/>
    </i>
    <i>
      <x v="258"/>
      <x v="1"/>
      <x v="25"/>
    </i>
    <i>
      <x v="265"/>
      <x v="9"/>
      <x v="4"/>
    </i>
    <i>
      <x v="204"/>
      <x v="32"/>
      <x v="15"/>
    </i>
    <i>
      <x v="115"/>
      <x v="37"/>
      <x v="31"/>
    </i>
    <i>
      <x v="248"/>
      <x v="33"/>
      <x v="18"/>
    </i>
    <i>
      <x v="281"/>
      <x v="24"/>
      <x v="31"/>
    </i>
    <i>
      <x v="137"/>
      <x v="47"/>
      <x v="22"/>
    </i>
    <i>
      <x/>
      <x/>
      <x/>
    </i>
    <i>
      <x v="91"/>
      <x v="27"/>
      <x v="31"/>
    </i>
    <i>
      <x v="179"/>
      <x v="29"/>
      <x v="48"/>
    </i>
    <i>
      <x v="181"/>
      <x v="8"/>
      <x v="27"/>
    </i>
    <i>
      <x v="294"/>
      <x v="24"/>
      <x v="13"/>
    </i>
    <i>
      <x v="228"/>
      <x v="38"/>
      <x v="27"/>
    </i>
    <i>
      <x v="147"/>
      <x v="32"/>
      <x v="9"/>
    </i>
    <i>
      <x v="29"/>
      <x v="23"/>
      <x v="20"/>
    </i>
    <i>
      <x v="67"/>
      <x v="5"/>
      <x v="12"/>
    </i>
    <i>
      <x v="127"/>
      <x v="32"/>
      <x v="26"/>
    </i>
    <i>
      <x v="68"/>
      <x v="34"/>
      <x v="4"/>
    </i>
    <i>
      <x v="107"/>
      <x v="10"/>
      <x v="23"/>
    </i>
    <i>
      <x v="32"/>
      <x v="23"/>
      <x v="23"/>
    </i>
    <i>
      <x v="130"/>
      <x v="7"/>
      <x v="26"/>
    </i>
    <i>
      <x v="165"/>
      <x v="31"/>
      <x v="9"/>
    </i>
    <i>
      <x v="25"/>
      <x v="19"/>
      <x v="19"/>
    </i>
    <i>
      <x v="576"/>
      <x v="39"/>
      <x v="43"/>
    </i>
    <i>
      <x v="606"/>
      <x v="10"/>
      <x v="38"/>
    </i>
    <i>
      <x v="439"/>
      <x v="46"/>
      <x v="47"/>
    </i>
    <i>
      <x v="520"/>
      <x v="43"/>
      <x v="7"/>
    </i>
    <i>
      <x v="88"/>
      <x v="38"/>
      <x v="40"/>
    </i>
    <i>
      <x v="231"/>
      <x v="22"/>
      <x v="24"/>
    </i>
    <i>
      <x v="250"/>
      <x v="34"/>
      <x/>
    </i>
    <i>
      <x v="268"/>
      <x v="37"/>
      <x v="34"/>
    </i>
    <i>
      <x v="19"/>
      <x v="17"/>
      <x v="16"/>
    </i>
    <i>
      <x v="313"/>
      <x v="14"/>
      <x v="10"/>
    </i>
    <i>
      <x v="533"/>
      <x v="27"/>
      <x v="46"/>
    </i>
    <i>
      <x v="386"/>
      <x v="37"/>
      <x v="30"/>
    </i>
    <i>
      <x v="411"/>
      <x v="12"/>
      <x v="23"/>
    </i>
    <i>
      <x v="325"/>
      <x v="6"/>
      <x v="40"/>
    </i>
    <i>
      <x v="525"/>
      <x v="28"/>
      <x v="12"/>
    </i>
    <i>
      <x v="562"/>
      <x v="28"/>
      <x v="13"/>
    </i>
    <i>
      <x v="330"/>
      <x v="32"/>
      <x v="43"/>
    </i>
    <i>
      <x v="399"/>
      <x/>
      <x v="47"/>
    </i>
    <i>
      <x v="556"/>
      <x v="29"/>
      <x v="42"/>
    </i>
    <i>
      <x v="112"/>
      <x v="43"/>
      <x v="31"/>
    </i>
    <i>
      <x v="60"/>
      <x v="20"/>
      <x v="29"/>
    </i>
    <i>
      <x v="259"/>
      <x v="26"/>
      <x v="16"/>
    </i>
    <i>
      <x v="26"/>
      <x v="20"/>
      <x v="12"/>
    </i>
    <i>
      <x v="72"/>
      <x v="8"/>
      <x v="28"/>
    </i>
    <i>
      <x v="129"/>
      <x v="4"/>
      <x v="21"/>
    </i>
    <i>
      <x v="43"/>
      <x v="18"/>
      <x v="28"/>
    </i>
    <i>
      <x v="69"/>
      <x v="14"/>
      <x/>
    </i>
    <i>
      <x v="132"/>
      <x v="45"/>
      <x v="10"/>
    </i>
    <i>
      <x v="483"/>
      <x v="4"/>
      <x v="36"/>
    </i>
    <i>
      <x v="390"/>
      <x v="42"/>
      <x v="13"/>
    </i>
    <i>
      <x v="539"/>
      <x v="43"/>
      <x v="21"/>
    </i>
    <i>
      <x v="424"/>
      <x v="40"/>
      <x v="46"/>
    </i>
    <i>
      <x v="316"/>
      <x v="32"/>
      <x v="35"/>
    </i>
    <i>
      <x v="466"/>
      <x v="18"/>
      <x v="47"/>
    </i>
    <i>
      <x v="75"/>
      <x v="9"/>
      <x v="24"/>
    </i>
    <i>
      <x v="293"/>
      <x v="19"/>
      <x v="24"/>
    </i>
    <i>
      <x v="244"/>
      <x v="30"/>
      <x v="3"/>
    </i>
    <i>
      <x v="77"/>
      <x v="11"/>
      <x v="36"/>
    </i>
    <i>
      <x v="239"/>
      <x v="3"/>
      <x v="17"/>
    </i>
    <i>
      <x v="572"/>
      <x v="29"/>
      <x v="7"/>
    </i>
    <i>
      <x v="351"/>
      <x/>
      <x v="7"/>
    </i>
    <i>
      <x v="319"/>
      <x v="30"/>
      <x v="23"/>
    </i>
    <i>
      <x v="487"/>
      <x v="20"/>
      <x v="42"/>
    </i>
    <i>
      <x v="512"/>
      <x v="14"/>
      <x v="13"/>
    </i>
    <i>
      <x v="516"/>
      <x v="39"/>
      <x v="23"/>
    </i>
    <i>
      <x v="435"/>
      <x v="36"/>
      <x v="30"/>
    </i>
    <i>
      <x v="585"/>
      <x v="37"/>
      <x v="19"/>
    </i>
    <i>
      <x v="521"/>
      <x v="43"/>
      <x v="14"/>
    </i>
    <i>
      <x v="394"/>
      <x v="42"/>
      <x v="27"/>
    </i>
    <i>
      <x v="326"/>
      <x v="9"/>
      <x v="41"/>
    </i>
    <i>
      <x v="315"/>
      <x v="14"/>
      <x v="21"/>
    </i>
    <i>
      <x v="602"/>
      <x v="40"/>
      <x v="9"/>
    </i>
    <i>
      <x v="365"/>
      <x v="38"/>
      <x v="13"/>
    </i>
    <i>
      <x v="353"/>
      <x v="40"/>
      <x v="42"/>
    </i>
    <i>
      <x v="332"/>
      <x v="12"/>
      <x v="4"/>
    </i>
    <i>
      <x v="543"/>
      <x v="34"/>
      <x v="29"/>
    </i>
    <i>
      <x v="468"/>
      <x v="19"/>
      <x v="9"/>
    </i>
    <i>
      <x v="431"/>
      <x v="13"/>
      <x v="13"/>
    </i>
    <i>
      <x v="570"/>
      <x v="21"/>
      <x v="27"/>
    </i>
    <i>
      <x v="433"/>
      <x v="41"/>
      <x v="2"/>
    </i>
    <i>
      <x v="517"/>
      <x v="5"/>
      <x v="3"/>
    </i>
    <i>
      <x v="170"/>
      <x v="39"/>
      <x v="30"/>
    </i>
    <i>
      <x v="206"/>
      <x v="29"/>
      <x v="39"/>
    </i>
    <i>
      <x v="11"/>
      <x v="6"/>
      <x v="10"/>
    </i>
    <i>
      <x v="56"/>
      <x v="17"/>
      <x v="6"/>
    </i>
    <i>
      <x v="121"/>
      <x v="17"/>
      <x v="24"/>
    </i>
    <i>
      <x v="273"/>
      <x v="23"/>
      <x v="10"/>
    </i>
    <i>
      <x v="183"/>
      <x v="41"/>
      <x v="17"/>
    </i>
    <i>
      <x v="57"/>
      <x v="32"/>
      <x v="30"/>
    </i>
    <i>
      <x v="205"/>
      <x v="6"/>
      <x v="40"/>
    </i>
    <i>
      <x v="278"/>
      <x v="38"/>
      <x v="10"/>
    </i>
    <i>
      <x v="27"/>
      <x v="21"/>
      <x v="20"/>
    </i>
    <i>
      <x v="171"/>
      <x v="5"/>
      <x v="45"/>
    </i>
    <i>
      <x v="295"/>
      <x v="17"/>
      <x v="24"/>
    </i>
    <i>
      <x v="141"/>
      <x v="16"/>
      <x v="46"/>
    </i>
    <i>
      <x v="251"/>
      <x v="20"/>
      <x v="6"/>
    </i>
    <i>
      <x v="225"/>
      <x v="27"/>
      <x v="3"/>
    </i>
    <i>
      <x v="128"/>
      <x v="29"/>
      <x v="39"/>
    </i>
    <i>
      <x v="401"/>
      <x v="34"/>
      <x v="26"/>
    </i>
    <i>
      <x v="573"/>
      <x v="23"/>
      <x v="12"/>
    </i>
    <i>
      <x v="318"/>
      <x v="26"/>
      <x v="19"/>
    </i>
    <i>
      <x v="540"/>
      <x v="2"/>
      <x v="6"/>
    </i>
    <i>
      <x v="375"/>
      <x v="24"/>
      <x v="40"/>
    </i>
    <i>
      <x v="349"/>
      <x v="41"/>
      <x v="8"/>
    </i>
    <i>
      <x v="361"/>
      <x v="43"/>
      <x v="11"/>
    </i>
    <i>
      <x v="413"/>
      <x v="15"/>
      <x v="2"/>
    </i>
    <i>
      <x v="475"/>
      <x v="32"/>
      <x v="9"/>
    </i>
    <i>
      <x v="553"/>
      <x v="46"/>
      <x v="27"/>
    </i>
    <i>
      <x v="461"/>
      <x v="11"/>
      <x v="43"/>
    </i>
    <i>
      <x v="473"/>
      <x v="24"/>
      <x v="31"/>
    </i>
    <i>
      <x v="526"/>
      <x v="27"/>
      <x v="18"/>
    </i>
    <i>
      <x v="506"/>
      <x v="41"/>
      <x v="32"/>
    </i>
    <i>
      <x v="384"/>
      <x v="33"/>
      <x v="43"/>
    </i>
    <i>
      <x v="279"/>
      <x v="10"/>
      <x v="27"/>
    </i>
    <i>
      <x v="119"/>
      <x v="24"/>
      <x v="43"/>
    </i>
    <i>
      <x v="229"/>
      <x v="48"/>
      <x v="49"/>
    </i>
    <i>
      <x v="182"/>
      <x v="9"/>
      <x v="1"/>
    </i>
    <i>
      <x v="257"/>
      <x v="25"/>
      <x v="17"/>
    </i>
    <i>
      <x v="65"/>
      <x v="3"/>
      <x v="21"/>
    </i>
    <i>
      <x v="180"/>
      <x v="7"/>
      <x v="39"/>
    </i>
    <i>
      <x v="224"/>
      <x v="33"/>
      <x/>
    </i>
    <i>
      <x v="111"/>
      <x v="17"/>
      <x v="1"/>
    </i>
    <i>
      <x v="201"/>
      <x v="38"/>
      <x v="34"/>
    </i>
    <i>
      <x v="53"/>
      <x v="13"/>
      <x v="1"/>
    </i>
    <i>
      <x v="12"/>
      <x v="11"/>
      <x v="11"/>
    </i>
    <i>
      <x v="73"/>
      <x v="10"/>
      <x v="34"/>
    </i>
    <i>
      <x v="277"/>
      <x v="21"/>
      <x v="1"/>
    </i>
    <i>
      <x v="196"/>
      <x v="1"/>
      <x v="49"/>
    </i>
    <i>
      <x v="486"/>
      <x v="34"/>
      <x v="35"/>
    </i>
    <i>
      <x v="418"/>
      <x v="34"/>
      <x v="16"/>
    </i>
    <i>
      <x v="90"/>
      <x v="13"/>
      <x v="16"/>
    </i>
    <i>
      <x v="46"/>
      <x v="29"/>
      <x v="22"/>
    </i>
    <i>
      <x v="454"/>
      <x v="6"/>
      <x v="15"/>
    </i>
    <i>
      <x v="391"/>
      <x v="12"/>
      <x v="43"/>
    </i>
    <i>
      <x v="378"/>
      <x v="34"/>
      <x v="2"/>
    </i>
    <i>
      <x v="445"/>
      <x v="22"/>
      <x v="46"/>
    </i>
    <i>
      <x v="370"/>
      <x v="9"/>
      <x v="22"/>
    </i>
    <i>
      <x v="453"/>
      <x v="24"/>
      <x v="38"/>
    </i>
    <i>
      <x v="552"/>
      <x v="2"/>
      <x v="35"/>
    </i>
    <i>
      <x v="334"/>
      <x v="15"/>
      <x v="36"/>
    </i>
    <i>
      <x v="440"/>
      <x v="50"/>
      <x v="30"/>
    </i>
    <i>
      <x v="456"/>
      <x v="42"/>
      <x v="28"/>
    </i>
    <i>
      <x v="547"/>
      <x v="27"/>
      <x v="41"/>
    </i>
    <i>
      <x v="417"/>
      <x v="22"/>
      <x v="10"/>
    </i>
    <i>
      <x v="311"/>
      <x v="31"/>
      <x/>
    </i>
    <i>
      <x v="509"/>
      <x v="30"/>
      <x v="28"/>
    </i>
    <i>
      <x v="566"/>
      <x v="10"/>
      <x v="48"/>
    </i>
    <i>
      <x v="85"/>
      <x v="37"/>
      <x v="38"/>
    </i>
    <i>
      <x v="83"/>
      <x v="37"/>
      <x v="33"/>
    </i>
    <i>
      <x v="169"/>
      <x v="47"/>
      <x v="40"/>
    </i>
    <i>
      <x v="102"/>
      <x v="23"/>
      <x v="7"/>
    </i>
    <i>
      <x v="105"/>
      <x v="41"/>
      <x v="7"/>
    </i>
    <i>
      <x v="168"/>
      <x v="34"/>
      <x v="8"/>
    </i>
    <i>
      <x v="66"/>
      <x v="27"/>
      <x v="14"/>
    </i>
    <i>
      <x v="232"/>
      <x v="10"/>
      <x v="44"/>
    </i>
    <i>
      <x v="54"/>
      <x v="30"/>
      <x v="26"/>
    </i>
    <i>
      <x v="280"/>
      <x v="41"/>
      <x v="2"/>
    </i>
    <i>
      <x v="50"/>
      <x v="2"/>
      <x v="18"/>
    </i>
    <i>
      <x v="164"/>
      <x v="5"/>
      <x v="14"/>
    </i>
    <i>
      <x v="87"/>
      <x v="39"/>
      <x v="39"/>
    </i>
    <i>
      <x v="16"/>
      <x v="11"/>
      <x v="14"/>
    </i>
    <i>
      <x v="51"/>
      <x v="3"/>
      <x v="1"/>
    </i>
    <i>
      <x v="149"/>
      <x v="48"/>
      <x v="21"/>
    </i>
    <i>
      <x v="589"/>
      <x v="1"/>
      <x v="26"/>
    </i>
    <i>
      <x v="160"/>
      <x v="28"/>
      <x v="1"/>
    </i>
    <i>
      <x v="178"/>
      <x v="19"/>
      <x v="41"/>
    </i>
    <i>
      <x v="28"/>
      <x v="22"/>
      <x v="21"/>
    </i>
    <i>
      <x v="151"/>
      <x v="41"/>
      <x v="41"/>
    </i>
    <i>
      <x v="534"/>
      <x v="7"/>
      <x v="6"/>
    </i>
    <i>
      <x v="592"/>
      <x v="38"/>
      <x v="11"/>
    </i>
    <i>
      <x v="366"/>
      <x v="5"/>
      <x v="2"/>
    </i>
    <i>
      <x v="496"/>
      <x v="13"/>
      <x v="31"/>
    </i>
    <i>
      <x v="577"/>
      <x v="16"/>
      <x v="20"/>
    </i>
    <i>
      <x v="407"/>
      <x v="26"/>
      <x v="19"/>
    </i>
    <i>
      <x v="309"/>
      <x v="49"/>
      <x v="42"/>
    </i>
    <i>
      <x v="410"/>
      <x v="4"/>
      <x v="16"/>
    </i>
    <i>
      <x v="24"/>
      <x v="18"/>
      <x v="11"/>
    </i>
    <i>
      <x v="81"/>
      <x v="36"/>
      <x v="11"/>
    </i>
    <i>
      <x v="143"/>
      <x v="45"/>
      <x v="26"/>
    </i>
    <i>
      <x v="35"/>
      <x v="5"/>
      <x v="15"/>
    </i>
    <i>
      <x v="150"/>
      <x v="40"/>
      <x v="11"/>
    </i>
    <i>
      <x v="15"/>
      <x v="14"/>
      <x v="13"/>
    </i>
    <i>
      <x v="44"/>
      <x v="17"/>
      <x v="12"/>
    </i>
    <i>
      <x v="61"/>
      <x v="27"/>
      <x v="31"/>
    </i>
    <i>
      <x v="30"/>
      <x v="16"/>
      <x v="17"/>
    </i>
    <i>
      <x v="211"/>
      <x v="32"/>
      <x v="23"/>
    </i>
    <i>
      <x v="100"/>
      <x v="42"/>
      <x v="14"/>
    </i>
    <i>
      <x v="216"/>
      <x v="51"/>
      <x v="9"/>
    </i>
    <i>
      <x v="237"/>
      <x v="26"/>
      <x v="45"/>
    </i>
    <i>
      <x v="86"/>
      <x v="38"/>
      <x v="29"/>
    </i>
    <i>
      <x v="195"/>
      <x v="29"/>
      <x v="37"/>
    </i>
    <i>
      <x v="274"/>
      <x v="40"/>
      <x v="48"/>
    </i>
    <i>
      <x v="245"/>
      <x v="2"/>
      <x v="20"/>
    </i>
    <i>
      <x v="223"/>
      <x v="48"/>
      <x v="12"/>
    </i>
    <i>
      <x v="5"/>
      <x v="5"/>
      <x v="4"/>
    </i>
    <i>
      <x v="336"/>
      <x v="25"/>
      <x v="11"/>
    </i>
    <i>
      <x v="3"/>
      <x v="3"/>
      <x/>
    </i>
    <i>
      <x v="190"/>
      <x v="34"/>
      <x v="2"/>
    </i>
    <i>
      <x v="262"/>
      <x v="42"/>
      <x v="41"/>
    </i>
    <i>
      <x v="306"/>
      <x v="17"/>
      <x v="28"/>
    </i>
    <i>
      <x v="345"/>
      <x v="37"/>
      <x v="46"/>
    </i>
    <i>
      <x v="362"/>
      <x v="9"/>
      <x v="20"/>
    </i>
    <i>
      <x v="408"/>
      <x v="13"/>
      <x v="6"/>
    </i>
    <i>
      <x v="357"/>
      <x v="45"/>
      <x v="32"/>
    </i>
    <i>
      <x v="404"/>
      <x v="6"/>
      <x v="3"/>
    </i>
    <i>
      <x v="479"/>
      <x v="10"/>
      <x v="7"/>
    </i>
    <i>
      <x v="331"/>
      <x v="34"/>
      <x v="25"/>
    </i>
    <i>
      <x v="515"/>
      <x v="3"/>
      <x v="40"/>
    </i>
    <i>
      <x v="360"/>
      <x v="38"/>
      <x v="12"/>
    </i>
    <i>
      <x v="578"/>
      <x v="37"/>
      <x v="8"/>
    </i>
    <i>
      <x v="561"/>
      <x v="23"/>
      <x v="49"/>
    </i>
    <i>
      <x v="476"/>
      <x v="4"/>
      <x v="27"/>
    </i>
    <i>
      <x v="460"/>
      <x v="11"/>
      <x v="33"/>
    </i>
    <i>
      <x v="571"/>
      <x v="50"/>
      <x v="9"/>
    </i>
    <i>
      <x v="321"/>
      <x v="13"/>
      <x v="42"/>
    </i>
    <i>
      <x v="523"/>
      <x v="50"/>
      <x v="39"/>
    </i>
    <i>
      <x v="20"/>
      <x v="3"/>
      <x v="14"/>
    </i>
    <i>
      <x v="33"/>
      <x v="25"/>
      <x v="24"/>
    </i>
    <i>
      <x v="49"/>
      <x v="23"/>
      <x v="13"/>
    </i>
    <i>
      <x v="145"/>
      <x v="5"/>
      <x v="45"/>
    </i>
    <i>
      <x v="154"/>
      <x v="8"/>
      <x v="29"/>
    </i>
    <i>
      <x v="71"/>
      <x v="10"/>
      <x v="33"/>
    </i>
    <i>
      <x v="291"/>
      <x v="3"/>
      <x v="39"/>
    </i>
    <i>
      <x v="261"/>
      <x v="40"/>
      <x v="37"/>
    </i>
    <i>
      <x v="214"/>
      <x v="37"/>
      <x v="26"/>
    </i>
    <i>
      <x v="249"/>
      <x v="36"/>
      <x v="49"/>
    </i>
    <i>
      <x v="118"/>
      <x v="4"/>
      <x v="13"/>
    </i>
    <i>
      <x v="140"/>
      <x v="34"/>
      <x v="1"/>
    </i>
    <i>
      <x v="17"/>
      <x v="15"/>
      <x v="15"/>
    </i>
    <i>
      <x v="599"/>
      <x v="6"/>
      <x v="10"/>
    </i>
    <i>
      <x v="371"/>
      <x v="43"/>
      <x v="45"/>
    </i>
    <i>
      <x v="395"/>
      <x v="32"/>
      <x v="7"/>
    </i>
    <i>
      <x v="551"/>
      <x v="1"/>
      <x v="31"/>
    </i>
    <i>
      <x v="575"/>
      <x v="9"/>
      <x v="19"/>
    </i>
    <i>
      <x v="434"/>
      <x v="45"/>
      <x v="38"/>
    </i>
    <i>
      <x v="389"/>
      <x v="38"/>
      <x v="3"/>
    </i>
    <i>
      <x v="467"/>
      <x v="46"/>
      <x v="33"/>
    </i>
    <i>
      <x v="555"/>
      <x/>
      <x v="34"/>
    </i>
    <i>
      <x v="138"/>
      <x v="29"/>
      <x v="22"/>
    </i>
    <i>
      <x v="21"/>
      <x v="5"/>
      <x v="17"/>
    </i>
    <i>
      <x v="202"/>
      <x v="22"/>
      <x v="9"/>
    </i>
    <i>
      <x v="103"/>
      <x v="26"/>
      <x v="38"/>
    </i>
    <i>
      <x v="92"/>
      <x v="9"/>
      <x v="31"/>
    </i>
    <i>
      <x v="297"/>
      <x v="34"/>
      <x v="25"/>
    </i>
    <i>
      <x v="133"/>
      <x v="23"/>
      <x v="10"/>
    </i>
    <i>
      <x v="222"/>
      <x v="45"/>
      <x v="36"/>
    </i>
    <i>
      <x v="430"/>
      <x v="23"/>
      <x v="13"/>
    </i>
    <i>
      <x v="535"/>
      <x v="24"/>
      <x v="5"/>
    </i>
    <i>
      <x v="510"/>
      <x v="41"/>
      <x v="5"/>
    </i>
    <i>
      <x v="587"/>
      <x v="48"/>
      <x v="3"/>
    </i>
    <i>
      <x v="465"/>
      <x v="37"/>
      <x v="27"/>
    </i>
    <i>
      <x v="518"/>
      <x v="8"/>
      <x v="11"/>
    </i>
    <i>
      <x v="560"/>
      <x v="2"/>
      <x v="12"/>
    </i>
    <i>
      <x v="358"/>
      <x v="21"/>
      <x v="25"/>
    </i>
    <i>
      <x v="337"/>
      <x v="25"/>
      <x v="34"/>
    </i>
    <i>
      <x v="584"/>
      <x v="9"/>
      <x v="17"/>
    </i>
    <i>
      <x v="480"/>
      <x v="42"/>
      <x v="2"/>
    </i>
    <i>
      <x v="488"/>
      <x v="21"/>
      <x v="41"/>
    </i>
    <i>
      <x v="218"/>
      <x v="9"/>
      <x v="50"/>
    </i>
    <i>
      <x v="302"/>
      <x v="36"/>
      <x v="33"/>
    </i>
    <i>
      <x v="152"/>
      <x v="37"/>
      <x v="9"/>
    </i>
    <i>
      <x v="221"/>
      <x v="10"/>
      <x v="8"/>
    </i>
    <i>
      <x v="122"/>
      <x v="28"/>
      <x v="28"/>
    </i>
    <i>
      <x v="167"/>
      <x v="47"/>
      <x v="33"/>
    </i>
    <i>
      <x v="270"/>
      <x v="4"/>
      <x v="11"/>
    </i>
    <i>
      <x v="162"/>
      <x v="2"/>
      <x v="35"/>
    </i>
    <i>
      <x v="153"/>
      <x v="1"/>
      <x v="25"/>
    </i>
    <i>
      <x v="156"/>
      <x/>
      <x v="6"/>
    </i>
    <i>
      <x v="283"/>
      <x v="39"/>
      <x v="31"/>
    </i>
    <i>
      <x v="79"/>
      <x v="34"/>
      <x v="37"/>
    </i>
    <i>
      <x v="429"/>
      <x v="2"/>
      <x v="44"/>
    </i>
    <i>
      <x v="396"/>
      <x v="29"/>
      <x v="46"/>
    </i>
    <i>
      <x v="527"/>
      <x v="43"/>
      <x v="34"/>
    </i>
    <i>
      <x v="601"/>
      <x v="30"/>
      <x v="13"/>
    </i>
    <i>
      <x v="210"/>
      <x v="14"/>
      <x v="33"/>
    </i>
    <i>
      <x v="158"/>
      <x v="49"/>
      <x v="37"/>
    </i>
    <i t="grand">
      <x/>
    </i>
  </rowItems>
  <colItems count="1">
    <i/>
  </colItems>
  <dataFields count="1">
    <dataField name="Cumulative Hours" fld="1" baseField="0" baseItem="0"/>
  </dataFields>
  <formats count="1221">
    <format dxfId="8547">
      <pivotArea type="all" dataOnly="0" outline="0" fieldPosition="0"/>
    </format>
    <format dxfId="8546">
      <pivotArea outline="0" collapsedLevelsAreSubtotals="1" fieldPosition="0"/>
    </format>
    <format dxfId="8545">
      <pivotArea field="0" type="button" dataOnly="0" labelOnly="1" outline="0" axis="axisRow" fieldPosition="0"/>
    </format>
    <format dxfId="8544">
      <pivotArea field="2" type="button" dataOnly="0" labelOnly="1" outline="0" axis="axisRow" fieldPosition="1"/>
    </format>
    <format dxfId="8543">
      <pivotArea field="3" type="button" dataOnly="0" labelOnly="1" outline="0" axis="axisRow" fieldPosition="2"/>
    </format>
    <format dxfId="8542">
      <pivotArea dataOnly="0" labelOnly="1" outline="0" fieldPosition="0">
        <references count="1">
          <reference field="0" count="50">
            <x v="1"/>
            <x v="7"/>
            <x v="8"/>
            <x v="36"/>
            <x v="40"/>
            <x v="48"/>
            <x v="78"/>
            <x v="80"/>
            <x v="84"/>
            <x v="104"/>
            <x v="116"/>
            <x v="136"/>
            <x v="142"/>
            <x v="146"/>
            <x v="157"/>
            <x v="199"/>
            <x v="208"/>
            <x v="209"/>
            <x v="217"/>
            <x v="247"/>
            <x v="275"/>
            <x v="285"/>
            <x v="287"/>
            <x v="289"/>
            <x v="298"/>
            <x v="300"/>
            <x v="344"/>
            <x v="350"/>
            <x v="364"/>
            <x v="368"/>
            <x v="373"/>
            <x v="381"/>
            <x v="392"/>
            <x v="397"/>
            <x v="405"/>
            <x v="406"/>
            <x v="423"/>
            <x v="425"/>
            <x v="443"/>
            <x v="457"/>
            <x v="502"/>
            <x v="511"/>
            <x v="524"/>
            <x v="536"/>
            <x v="550"/>
            <x v="559"/>
            <x v="565"/>
            <x v="567"/>
            <x v="568"/>
            <x v="581"/>
          </reference>
        </references>
      </pivotArea>
    </format>
    <format dxfId="8541">
      <pivotArea dataOnly="0" labelOnly="1" outline="0" fieldPosition="0">
        <references count="1">
          <reference field="0" count="50">
            <x v="14"/>
            <x v="31"/>
            <x v="34"/>
            <x v="37"/>
            <x v="39"/>
            <x v="52"/>
            <x v="62"/>
            <x v="76"/>
            <x v="89"/>
            <x v="93"/>
            <x v="96"/>
            <x v="101"/>
            <x v="106"/>
            <x v="108"/>
            <x v="117"/>
            <x v="177"/>
            <x v="187"/>
            <x v="191"/>
            <x v="213"/>
            <x v="242"/>
            <x v="253"/>
            <x v="266"/>
            <x v="269"/>
            <x v="301"/>
            <x v="314"/>
            <x v="317"/>
            <x v="339"/>
            <x v="356"/>
            <x v="372"/>
            <x v="374"/>
            <x v="382"/>
            <x v="400"/>
            <x v="421"/>
            <x v="427"/>
            <x v="455"/>
            <x v="482"/>
            <x v="491"/>
            <x v="497"/>
            <x v="503"/>
            <x v="504"/>
            <x v="507"/>
            <x v="528"/>
            <x v="542"/>
            <x v="569"/>
            <x v="579"/>
            <x v="580"/>
            <x v="590"/>
            <x v="591"/>
            <x v="597"/>
            <x v="605"/>
          </reference>
        </references>
      </pivotArea>
    </format>
    <format dxfId="8540">
      <pivotArea dataOnly="0" labelOnly="1" outline="0" fieldPosition="0">
        <references count="1">
          <reference field="0" count="50">
            <x v="9"/>
            <x v="42"/>
            <x v="45"/>
            <x v="58"/>
            <x v="99"/>
            <x v="124"/>
            <x v="134"/>
            <x v="144"/>
            <x v="148"/>
            <x v="159"/>
            <x v="176"/>
            <x v="185"/>
            <x v="192"/>
            <x v="197"/>
            <x v="219"/>
            <x v="230"/>
            <x v="235"/>
            <x v="238"/>
            <x v="240"/>
            <x v="255"/>
            <x v="272"/>
            <x v="282"/>
            <x v="284"/>
            <x v="286"/>
            <x v="292"/>
            <x v="299"/>
            <x v="305"/>
            <x v="328"/>
            <x v="335"/>
            <x v="338"/>
            <x v="343"/>
            <x v="363"/>
            <x v="367"/>
            <x v="369"/>
            <x v="379"/>
            <x v="414"/>
            <x v="415"/>
            <x v="447"/>
            <x v="449"/>
            <x v="470"/>
            <x v="490"/>
            <x v="495"/>
            <x v="508"/>
            <x v="514"/>
            <x v="531"/>
            <x v="558"/>
            <x v="563"/>
            <x v="582"/>
            <x v="588"/>
            <x v="593"/>
          </reference>
        </references>
      </pivotArea>
    </format>
    <format dxfId="8539">
      <pivotArea dataOnly="0" labelOnly="1" outline="0" fieldPosition="0">
        <references count="1">
          <reference field="0" count="50">
            <x v="2"/>
            <x v="10"/>
            <x v="23"/>
            <x v="63"/>
            <x v="64"/>
            <x v="70"/>
            <x v="109"/>
            <x v="113"/>
            <x v="114"/>
            <x v="125"/>
            <x v="175"/>
            <x v="194"/>
            <x v="207"/>
            <x v="215"/>
            <x v="227"/>
            <x v="233"/>
            <x v="241"/>
            <x v="243"/>
            <x v="263"/>
            <x v="276"/>
            <x v="290"/>
            <x v="296"/>
            <x v="308"/>
            <x v="329"/>
            <x v="333"/>
            <x v="340"/>
            <x v="341"/>
            <x v="347"/>
            <x v="352"/>
            <x v="383"/>
            <x v="387"/>
            <x v="409"/>
            <x v="420"/>
            <x v="422"/>
            <x v="437"/>
            <x v="444"/>
            <x v="451"/>
            <x v="452"/>
            <x v="458"/>
            <x v="462"/>
            <x v="472"/>
            <x v="529"/>
            <x v="532"/>
            <x v="544"/>
            <x v="545"/>
            <x v="564"/>
            <x v="583"/>
            <x v="595"/>
            <x v="596"/>
            <x v="598"/>
          </reference>
        </references>
      </pivotArea>
    </format>
    <format dxfId="8538">
      <pivotArea dataOnly="0" labelOnly="1" outline="0" fieldPosition="0">
        <references count="1">
          <reference field="0" count="50">
            <x v="22"/>
            <x v="38"/>
            <x v="95"/>
            <x v="97"/>
            <x v="98"/>
            <x v="123"/>
            <x v="131"/>
            <x v="174"/>
            <x v="184"/>
            <x v="193"/>
            <x v="200"/>
            <x v="212"/>
            <x v="226"/>
            <x v="254"/>
            <x v="260"/>
            <x v="304"/>
            <x v="307"/>
            <x v="310"/>
            <x v="312"/>
            <x v="323"/>
            <x v="324"/>
            <x v="327"/>
            <x v="346"/>
            <x v="348"/>
            <x v="355"/>
            <x v="376"/>
            <x v="380"/>
            <x v="398"/>
            <x v="402"/>
            <x v="416"/>
            <x v="419"/>
            <x v="436"/>
            <x v="438"/>
            <x v="446"/>
            <x v="450"/>
            <x v="459"/>
            <x v="474"/>
            <x v="478"/>
            <x v="481"/>
            <x v="493"/>
            <x v="500"/>
            <x v="513"/>
            <x v="519"/>
            <x v="546"/>
            <x v="548"/>
            <x v="557"/>
            <x v="574"/>
            <x v="594"/>
            <x v="600"/>
            <x v="603"/>
          </reference>
        </references>
      </pivotArea>
    </format>
    <format dxfId="8537">
      <pivotArea dataOnly="0" labelOnly="1" outline="0" fieldPosition="0">
        <references count="1">
          <reference field="0" count="50">
            <x v="4"/>
            <x v="6"/>
            <x v="18"/>
            <x v="41"/>
            <x v="55"/>
            <x v="74"/>
            <x v="82"/>
            <x v="94"/>
            <x v="110"/>
            <x v="120"/>
            <x v="126"/>
            <x v="155"/>
            <x v="161"/>
            <x v="163"/>
            <x v="166"/>
            <x v="172"/>
            <x v="173"/>
            <x v="186"/>
            <x v="188"/>
            <x v="198"/>
            <x v="203"/>
            <x v="220"/>
            <x v="234"/>
            <x v="236"/>
            <x v="246"/>
            <x v="252"/>
            <x v="256"/>
            <x v="264"/>
            <x v="267"/>
            <x v="271"/>
            <x v="288"/>
            <x v="303"/>
            <x v="342"/>
            <x v="403"/>
            <x v="412"/>
            <x v="426"/>
            <x v="441"/>
            <x v="442"/>
            <x v="448"/>
            <x v="469"/>
            <x v="484"/>
            <x v="489"/>
            <x v="498"/>
            <x v="499"/>
            <x v="501"/>
            <x v="530"/>
            <x v="537"/>
            <x v="541"/>
            <x v="586"/>
            <x v="604"/>
          </reference>
        </references>
      </pivotArea>
    </format>
    <format dxfId="8536">
      <pivotArea dataOnly="0" labelOnly="1" outline="0" fieldPosition="0">
        <references count="1">
          <reference field="0" count="50">
            <x v="0"/>
            <x v="13"/>
            <x v="29"/>
            <x v="32"/>
            <x v="47"/>
            <x v="59"/>
            <x v="67"/>
            <x v="68"/>
            <x v="91"/>
            <x v="107"/>
            <x v="115"/>
            <x v="127"/>
            <x v="130"/>
            <x v="135"/>
            <x v="137"/>
            <x v="139"/>
            <x v="147"/>
            <x v="165"/>
            <x v="179"/>
            <x v="181"/>
            <x v="189"/>
            <x v="204"/>
            <x v="228"/>
            <x v="248"/>
            <x v="258"/>
            <x v="265"/>
            <x v="281"/>
            <x v="294"/>
            <x v="320"/>
            <x v="322"/>
            <x v="354"/>
            <x v="359"/>
            <x v="377"/>
            <x v="385"/>
            <x v="388"/>
            <x v="393"/>
            <x v="428"/>
            <x v="432"/>
            <x v="463"/>
            <x v="464"/>
            <x v="471"/>
            <x v="477"/>
            <x v="485"/>
            <x v="492"/>
            <x v="494"/>
            <x v="505"/>
            <x v="522"/>
            <x v="538"/>
            <x v="549"/>
            <x v="554"/>
          </reference>
        </references>
      </pivotArea>
    </format>
    <format dxfId="8535">
      <pivotArea dataOnly="0" labelOnly="1" outline="0" fieldPosition="0">
        <references count="1">
          <reference field="0" count="50">
            <x v="19"/>
            <x v="25"/>
            <x v="26"/>
            <x v="43"/>
            <x v="60"/>
            <x v="69"/>
            <x v="72"/>
            <x v="75"/>
            <x v="77"/>
            <x v="88"/>
            <x v="112"/>
            <x v="129"/>
            <x v="132"/>
            <x v="231"/>
            <x v="239"/>
            <x v="244"/>
            <x v="250"/>
            <x v="259"/>
            <x v="268"/>
            <x v="293"/>
            <x v="313"/>
            <x v="316"/>
            <x v="319"/>
            <x v="325"/>
            <x v="330"/>
            <x v="351"/>
            <x v="386"/>
            <x v="390"/>
            <x v="394"/>
            <x v="399"/>
            <x v="411"/>
            <x v="424"/>
            <x v="435"/>
            <x v="439"/>
            <x v="466"/>
            <x v="483"/>
            <x v="487"/>
            <x v="512"/>
            <x v="516"/>
            <x v="520"/>
            <x v="521"/>
            <x v="525"/>
            <x v="533"/>
            <x v="539"/>
            <x v="556"/>
            <x v="562"/>
            <x v="572"/>
            <x v="576"/>
            <x v="585"/>
            <x v="606"/>
          </reference>
        </references>
      </pivotArea>
    </format>
    <format dxfId="8534">
      <pivotArea dataOnly="0" labelOnly="1" outline="0" fieldPosition="0">
        <references count="1">
          <reference field="0" count="50">
            <x v="11"/>
            <x v="27"/>
            <x v="56"/>
            <x v="57"/>
            <x v="65"/>
            <x v="119"/>
            <x v="121"/>
            <x v="128"/>
            <x v="141"/>
            <x v="170"/>
            <x v="171"/>
            <x v="182"/>
            <x v="183"/>
            <x v="205"/>
            <x v="206"/>
            <x v="225"/>
            <x v="229"/>
            <x v="251"/>
            <x v="257"/>
            <x v="273"/>
            <x v="278"/>
            <x v="279"/>
            <x v="295"/>
            <x v="315"/>
            <x v="318"/>
            <x v="326"/>
            <x v="332"/>
            <x v="349"/>
            <x v="353"/>
            <x v="361"/>
            <x v="365"/>
            <x v="375"/>
            <x v="384"/>
            <x v="401"/>
            <x v="413"/>
            <x v="431"/>
            <x v="433"/>
            <x v="461"/>
            <x v="468"/>
            <x v="473"/>
            <x v="475"/>
            <x v="506"/>
            <x v="517"/>
            <x v="526"/>
            <x v="540"/>
            <x v="543"/>
            <x v="553"/>
            <x v="570"/>
            <x v="573"/>
            <x v="602"/>
          </reference>
        </references>
      </pivotArea>
    </format>
    <format dxfId="8533">
      <pivotArea dataOnly="0" labelOnly="1" outline="0" fieldPosition="0">
        <references count="1">
          <reference field="0" count="50">
            <x v="12"/>
            <x v="16"/>
            <x v="28"/>
            <x v="46"/>
            <x v="50"/>
            <x v="51"/>
            <x v="53"/>
            <x v="54"/>
            <x v="66"/>
            <x v="73"/>
            <x v="83"/>
            <x v="85"/>
            <x v="87"/>
            <x v="90"/>
            <x v="102"/>
            <x v="105"/>
            <x v="111"/>
            <x v="149"/>
            <x v="151"/>
            <x v="160"/>
            <x v="164"/>
            <x v="168"/>
            <x v="169"/>
            <x v="178"/>
            <x v="180"/>
            <x v="196"/>
            <x v="201"/>
            <x v="224"/>
            <x v="232"/>
            <x v="277"/>
            <x v="280"/>
            <x v="311"/>
            <x v="334"/>
            <x v="370"/>
            <x v="378"/>
            <x v="391"/>
            <x v="417"/>
            <x v="418"/>
            <x v="440"/>
            <x v="445"/>
            <x v="453"/>
            <x v="454"/>
            <x v="456"/>
            <x v="486"/>
            <x v="509"/>
            <x v="534"/>
            <x v="547"/>
            <x v="552"/>
            <x v="566"/>
            <x v="589"/>
          </reference>
        </references>
      </pivotArea>
    </format>
    <format dxfId="8532">
      <pivotArea dataOnly="0" labelOnly="1" outline="0" fieldPosition="0">
        <references count="1">
          <reference field="0" count="50">
            <x v="3"/>
            <x v="5"/>
            <x v="15"/>
            <x v="20"/>
            <x v="24"/>
            <x v="30"/>
            <x v="33"/>
            <x v="35"/>
            <x v="44"/>
            <x v="49"/>
            <x v="61"/>
            <x v="81"/>
            <x v="86"/>
            <x v="100"/>
            <x v="143"/>
            <x v="150"/>
            <x v="190"/>
            <x v="195"/>
            <x v="211"/>
            <x v="216"/>
            <x v="223"/>
            <x v="237"/>
            <x v="245"/>
            <x v="262"/>
            <x v="274"/>
            <x v="306"/>
            <x v="309"/>
            <x v="321"/>
            <x v="331"/>
            <x v="336"/>
            <x v="345"/>
            <x v="357"/>
            <x v="360"/>
            <x v="362"/>
            <x v="366"/>
            <x v="404"/>
            <x v="407"/>
            <x v="408"/>
            <x v="410"/>
            <x v="460"/>
            <x v="476"/>
            <x v="479"/>
            <x v="496"/>
            <x v="515"/>
            <x v="523"/>
            <x v="561"/>
            <x v="571"/>
            <x v="577"/>
            <x v="578"/>
            <x v="592"/>
          </reference>
        </references>
      </pivotArea>
    </format>
    <format dxfId="8531">
      <pivotArea dataOnly="0" labelOnly="1" outline="0" fieldPosition="0">
        <references count="1">
          <reference field="0" count="50">
            <x v="17"/>
            <x v="21"/>
            <x v="71"/>
            <x v="92"/>
            <x v="103"/>
            <x v="118"/>
            <x v="122"/>
            <x v="133"/>
            <x v="138"/>
            <x v="140"/>
            <x v="145"/>
            <x v="152"/>
            <x v="153"/>
            <x v="154"/>
            <x v="156"/>
            <x v="162"/>
            <x v="167"/>
            <x v="202"/>
            <x v="214"/>
            <x v="218"/>
            <x v="221"/>
            <x v="222"/>
            <x v="249"/>
            <x v="261"/>
            <x v="270"/>
            <x v="283"/>
            <x v="291"/>
            <x v="297"/>
            <x v="302"/>
            <x v="337"/>
            <x v="358"/>
            <x v="371"/>
            <x v="389"/>
            <x v="395"/>
            <x v="430"/>
            <x v="434"/>
            <x v="465"/>
            <x v="467"/>
            <x v="480"/>
            <x v="488"/>
            <x v="510"/>
            <x v="518"/>
            <x v="535"/>
            <x v="551"/>
            <x v="555"/>
            <x v="560"/>
            <x v="575"/>
            <x v="584"/>
            <x v="587"/>
            <x v="599"/>
          </reference>
        </references>
      </pivotArea>
    </format>
    <format dxfId="8530">
      <pivotArea dataOnly="0" labelOnly="1" outline="0" fieldPosition="0">
        <references count="1">
          <reference field="0" count="7">
            <x v="79"/>
            <x v="158"/>
            <x v="210"/>
            <x v="396"/>
            <x v="429"/>
            <x v="527"/>
            <x v="601"/>
          </reference>
        </references>
      </pivotArea>
    </format>
    <format dxfId="8529">
      <pivotArea dataOnly="0" labelOnly="1" grandRow="1" outline="0" fieldPosition="0"/>
    </format>
    <format dxfId="8528">
      <pivotArea dataOnly="0" labelOnly="1" outline="0" fieldPosition="0">
        <references count="2">
          <reference field="0" count="1" selected="0">
            <x v="136"/>
          </reference>
          <reference field="2" count="1">
            <x v="46"/>
          </reference>
        </references>
      </pivotArea>
    </format>
    <format dxfId="8527">
      <pivotArea dataOnly="0" labelOnly="1" outline="0" fieldPosition="0">
        <references count="2">
          <reference field="0" count="1" selected="0">
            <x v="40"/>
          </reference>
          <reference field="2" count="1">
            <x v="15"/>
          </reference>
        </references>
      </pivotArea>
    </format>
    <format dxfId="8526">
      <pivotArea dataOnly="0" labelOnly="1" outline="0" fieldPosition="0">
        <references count="2">
          <reference field="0" count="1" selected="0">
            <x v="199"/>
          </reference>
          <reference field="2" count="1">
            <x v="8"/>
          </reference>
        </references>
      </pivotArea>
    </format>
    <format dxfId="8525">
      <pivotArea dataOnly="0" labelOnly="1" outline="0" fieldPosition="0">
        <references count="2">
          <reference field="0" count="1" selected="0">
            <x v="344"/>
          </reference>
          <reference field="2" count="1">
            <x v="33"/>
          </reference>
        </references>
      </pivotArea>
    </format>
    <format dxfId="8524">
      <pivotArea dataOnly="0" labelOnly="1" outline="0" fieldPosition="0">
        <references count="2">
          <reference field="0" count="1" selected="0">
            <x v="364"/>
          </reference>
          <reference field="2" count="1">
            <x v="25"/>
          </reference>
        </references>
      </pivotArea>
    </format>
    <format dxfId="8523">
      <pivotArea dataOnly="0" labelOnly="1" outline="0" fieldPosition="0">
        <references count="2">
          <reference field="0" count="1" selected="0">
            <x v="565"/>
          </reference>
          <reference field="2" count="1">
            <x v="30"/>
          </reference>
        </references>
      </pivotArea>
    </format>
    <format dxfId="8522">
      <pivotArea dataOnly="0" labelOnly="1" outline="0" fieldPosition="0">
        <references count="2">
          <reference field="0" count="1" selected="0">
            <x v="285"/>
          </reference>
          <reference field="2" count="1">
            <x v="34"/>
          </reference>
        </references>
      </pivotArea>
    </format>
    <format dxfId="8521">
      <pivotArea dataOnly="0" labelOnly="1" outline="0" fieldPosition="0">
        <references count="2">
          <reference field="0" count="1" selected="0">
            <x v="298"/>
          </reference>
          <reference field="2" count="1">
            <x v="50"/>
          </reference>
        </references>
      </pivotArea>
    </format>
    <format dxfId="8520">
      <pivotArea dataOnly="0" labelOnly="1" outline="0" fieldPosition="0">
        <references count="2">
          <reference field="0" count="1" selected="0">
            <x v="287"/>
          </reference>
          <reference field="2" count="1">
            <x v="20"/>
          </reference>
        </references>
      </pivotArea>
    </format>
    <format dxfId="8519">
      <pivotArea dataOnly="0" labelOnly="1" outline="0" fieldPosition="0">
        <references count="2">
          <reference field="0" count="1" selected="0">
            <x v="550"/>
          </reference>
          <reference field="2" count="1">
            <x v="25"/>
          </reference>
        </references>
      </pivotArea>
    </format>
    <format dxfId="8518">
      <pivotArea dataOnly="0" labelOnly="1" outline="0" fieldPosition="0">
        <references count="2">
          <reference field="0" count="1" selected="0">
            <x v="350"/>
          </reference>
          <reference field="2" count="1">
            <x v="7"/>
          </reference>
        </references>
      </pivotArea>
    </format>
    <format dxfId="8517">
      <pivotArea dataOnly="0" labelOnly="1" outline="0" fieldPosition="0">
        <references count="2">
          <reference field="0" count="1" selected="0">
            <x v="48"/>
          </reference>
          <reference field="2" count="1">
            <x v="6"/>
          </reference>
        </references>
      </pivotArea>
    </format>
    <format dxfId="8516">
      <pivotArea dataOnly="0" labelOnly="1" outline="0" fieldPosition="0">
        <references count="2">
          <reference field="0" count="1" selected="0">
            <x v="84"/>
          </reference>
          <reference field="2" count="1">
            <x v="37"/>
          </reference>
        </references>
      </pivotArea>
    </format>
    <format dxfId="8515">
      <pivotArea dataOnly="0" labelOnly="1" outline="0" fieldPosition="0">
        <references count="2">
          <reference field="0" count="1" selected="0">
            <x v="536"/>
          </reference>
          <reference field="2" count="1">
            <x v="47"/>
          </reference>
        </references>
      </pivotArea>
    </format>
    <format dxfId="8514">
      <pivotArea dataOnly="0" labelOnly="1" outline="0" fieldPosition="0">
        <references count="2">
          <reference field="0" count="1" selected="0">
            <x v="423"/>
          </reference>
          <reference field="2" count="1">
            <x v="38"/>
          </reference>
        </references>
      </pivotArea>
    </format>
    <format dxfId="8513">
      <pivotArea dataOnly="0" labelOnly="1" outline="0" fieldPosition="0">
        <references count="2">
          <reference field="0" count="1" selected="0">
            <x v="397"/>
          </reference>
          <reference field="2" count="1">
            <x v="41"/>
          </reference>
        </references>
      </pivotArea>
    </format>
    <format dxfId="8512">
      <pivotArea dataOnly="0" labelOnly="1" outline="0" fieldPosition="0">
        <references count="2">
          <reference field="0" count="1" selected="0">
            <x v="8"/>
          </reference>
          <reference field="2" count="1">
            <x v="8"/>
          </reference>
        </references>
      </pivotArea>
    </format>
    <format dxfId="8511">
      <pivotArea dataOnly="0" labelOnly="1" outline="0" fieldPosition="0">
        <references count="2">
          <reference field="0" count="1" selected="0">
            <x v="104"/>
          </reference>
          <reference field="2" count="1">
            <x v="41"/>
          </reference>
        </references>
      </pivotArea>
    </format>
    <format dxfId="8510">
      <pivotArea dataOnly="0" labelOnly="1" outline="0" fieldPosition="0">
        <references count="2">
          <reference field="0" count="1" selected="0">
            <x v="300"/>
          </reference>
          <reference field="2" count="1">
            <x v="35"/>
          </reference>
        </references>
      </pivotArea>
    </format>
    <format dxfId="8509">
      <pivotArea dataOnly="0" labelOnly="1" outline="0" fieldPosition="0">
        <references count="2">
          <reference field="0" count="1" selected="0">
            <x v="392"/>
          </reference>
          <reference field="2" count="1">
            <x v="10"/>
          </reference>
        </references>
      </pivotArea>
    </format>
    <format dxfId="8508">
      <pivotArea dataOnly="0" labelOnly="1" outline="0" fieldPosition="0">
        <references count="2">
          <reference field="0" count="1" selected="0">
            <x v="247"/>
          </reference>
          <reference field="2" count="1">
            <x v="33"/>
          </reference>
        </references>
      </pivotArea>
    </format>
    <format dxfId="8507">
      <pivotArea dataOnly="0" labelOnly="1" outline="0" fieldPosition="0">
        <references count="2">
          <reference field="0" count="1" selected="0">
            <x v="36"/>
          </reference>
          <reference field="2" count="1">
            <x v="26"/>
          </reference>
        </references>
      </pivotArea>
    </format>
    <format dxfId="8506">
      <pivotArea dataOnly="0" labelOnly="1" outline="0" fieldPosition="0">
        <references count="2">
          <reference field="0" count="1" selected="0">
            <x v="78"/>
          </reference>
          <reference field="2" count="1">
            <x v="35"/>
          </reference>
        </references>
      </pivotArea>
    </format>
    <format dxfId="8505">
      <pivotArea dataOnly="0" labelOnly="1" outline="0" fieldPosition="0">
        <references count="2">
          <reference field="0" count="1" selected="0">
            <x v="368"/>
          </reference>
          <reference field="2" count="1">
            <x v="40"/>
          </reference>
        </references>
      </pivotArea>
    </format>
    <format dxfId="8504">
      <pivotArea dataOnly="0" labelOnly="1" outline="0" fieldPosition="0">
        <references count="2">
          <reference field="0" count="1" selected="0">
            <x v="425"/>
          </reference>
          <reference field="2" count="1">
            <x v="31"/>
          </reference>
        </references>
      </pivotArea>
    </format>
    <format dxfId="8503">
      <pivotArea dataOnly="0" labelOnly="1" outline="0" fieldPosition="0">
        <references count="2">
          <reference field="0" count="1" selected="0">
            <x v="116"/>
          </reference>
          <reference field="2" count="1">
            <x v="36"/>
          </reference>
        </references>
      </pivotArea>
    </format>
    <format dxfId="8502">
      <pivotArea dataOnly="0" labelOnly="1" outline="0" fieldPosition="0">
        <references count="2">
          <reference field="0" count="1" selected="0">
            <x v="559"/>
          </reference>
          <reference field="2" count="1">
            <x v="9"/>
          </reference>
        </references>
      </pivotArea>
    </format>
    <format dxfId="8501">
      <pivotArea dataOnly="0" labelOnly="1" outline="0" fieldPosition="0">
        <references count="2">
          <reference field="0" count="1" selected="0">
            <x v="567"/>
          </reference>
          <reference field="2" count="1">
            <x v="40"/>
          </reference>
        </references>
      </pivotArea>
    </format>
    <format dxfId="8500">
      <pivotArea dataOnly="0" labelOnly="1" outline="0" fieldPosition="0">
        <references count="2">
          <reference field="0" count="1" selected="0">
            <x v="208"/>
          </reference>
          <reference field="2" count="1">
            <x v="11"/>
          </reference>
        </references>
      </pivotArea>
    </format>
    <format dxfId="8499">
      <pivotArea dataOnly="0" labelOnly="1" outline="0" fieldPosition="0">
        <references count="2">
          <reference field="0" count="1" selected="0">
            <x v="157"/>
          </reference>
          <reference field="2" count="1">
            <x v="18"/>
          </reference>
        </references>
      </pivotArea>
    </format>
    <format dxfId="8498">
      <pivotArea dataOnly="0" labelOnly="1" outline="0" fieldPosition="0">
        <references count="2">
          <reference field="0" count="1" selected="0">
            <x v="406"/>
          </reference>
          <reference field="2" count="1">
            <x v="7"/>
          </reference>
        </references>
      </pivotArea>
    </format>
    <format dxfId="8497">
      <pivotArea dataOnly="0" labelOnly="1" outline="0" fieldPosition="0">
        <references count="2">
          <reference field="0" count="1" selected="0">
            <x v="373"/>
          </reference>
          <reference field="2" count="1">
            <x v="13"/>
          </reference>
        </references>
      </pivotArea>
    </format>
    <format dxfId="8496">
      <pivotArea dataOnly="0" labelOnly="1" outline="0" fieldPosition="0">
        <references count="2">
          <reference field="0" count="1" selected="0">
            <x v="405"/>
          </reference>
          <reference field="2" count="1">
            <x v="50"/>
          </reference>
        </references>
      </pivotArea>
    </format>
    <format dxfId="8495">
      <pivotArea dataOnly="0" labelOnly="1" outline="0" fieldPosition="0">
        <references count="2">
          <reference field="0" count="1" selected="0">
            <x v="146"/>
          </reference>
          <reference field="2" count="1">
            <x v="5"/>
          </reference>
        </references>
      </pivotArea>
    </format>
    <format dxfId="8494">
      <pivotArea dataOnly="0" labelOnly="1" outline="0" fieldPosition="0">
        <references count="2">
          <reference field="0" count="1" selected="0">
            <x v="568"/>
          </reference>
          <reference field="2" count="1">
            <x v="47"/>
          </reference>
        </references>
      </pivotArea>
    </format>
    <format dxfId="8493">
      <pivotArea dataOnly="0" labelOnly="1" outline="0" fieldPosition="0">
        <references count="2">
          <reference field="0" count="1" selected="0">
            <x v="275"/>
          </reference>
          <reference field="2" count="1">
            <x v="27"/>
          </reference>
        </references>
      </pivotArea>
    </format>
    <format dxfId="8492">
      <pivotArea dataOnly="0" labelOnly="1" outline="0" fieldPosition="0">
        <references count="2">
          <reference field="0" count="1" selected="0">
            <x v="142"/>
          </reference>
          <reference field="2" count="1">
            <x v="6"/>
          </reference>
        </references>
      </pivotArea>
    </format>
    <format dxfId="8491">
      <pivotArea dataOnly="0" labelOnly="1" outline="0" fieldPosition="0">
        <references count="2">
          <reference field="0" count="1" selected="0">
            <x v="80"/>
          </reference>
          <reference field="2" count="1">
            <x v="9"/>
          </reference>
        </references>
      </pivotArea>
    </format>
    <format dxfId="8490">
      <pivotArea dataOnly="0" labelOnly="1" outline="0" fieldPosition="0">
        <references count="2">
          <reference field="0" count="1" selected="0">
            <x v="209"/>
          </reference>
          <reference field="2" count="1">
            <x v="13"/>
          </reference>
        </references>
      </pivotArea>
    </format>
    <format dxfId="8489">
      <pivotArea dataOnly="0" labelOnly="1" outline="0" fieldPosition="0">
        <references count="2">
          <reference field="0" count="1" selected="0">
            <x v="7"/>
          </reference>
          <reference field="2" count="1">
            <x v="7"/>
          </reference>
        </references>
      </pivotArea>
    </format>
    <format dxfId="8488">
      <pivotArea dataOnly="0" labelOnly="1" outline="0" fieldPosition="0">
        <references count="2">
          <reference field="0" count="1" selected="0">
            <x v="289"/>
          </reference>
          <reference field="2" count="1">
            <x v="14"/>
          </reference>
        </references>
      </pivotArea>
    </format>
    <format dxfId="8487">
      <pivotArea dataOnly="0" labelOnly="1" outline="0" fieldPosition="0">
        <references count="2">
          <reference field="0" count="1" selected="0">
            <x v="511"/>
          </reference>
          <reference field="2" count="1">
            <x v="7"/>
          </reference>
        </references>
      </pivotArea>
    </format>
    <format dxfId="8486">
      <pivotArea dataOnly="0" labelOnly="1" outline="0" fieldPosition="0">
        <references count="2">
          <reference field="0" count="1" selected="0">
            <x v="1"/>
          </reference>
          <reference field="2" count="1">
            <x v="1"/>
          </reference>
        </references>
      </pivotArea>
    </format>
    <format dxfId="8485">
      <pivotArea dataOnly="0" labelOnly="1" outline="0" fieldPosition="0">
        <references count="2">
          <reference field="0" count="1" selected="0">
            <x v="457"/>
          </reference>
          <reference field="2" count="1">
            <x v="12"/>
          </reference>
        </references>
      </pivotArea>
    </format>
    <format dxfId="8484">
      <pivotArea dataOnly="0" labelOnly="1" outline="0" fieldPosition="0">
        <references count="2">
          <reference field="0" count="1" selected="0">
            <x v="381"/>
          </reference>
          <reference field="2" count="1">
            <x v="41"/>
          </reference>
        </references>
      </pivotArea>
    </format>
    <format dxfId="8483">
      <pivotArea dataOnly="0" labelOnly="1" outline="0" fieldPosition="0">
        <references count="2">
          <reference field="0" count="1" selected="0">
            <x v="502"/>
          </reference>
          <reference field="2" count="1">
            <x v="32"/>
          </reference>
        </references>
      </pivotArea>
    </format>
    <format dxfId="8482">
      <pivotArea dataOnly="0" labelOnly="1" outline="0" fieldPosition="0">
        <references count="2">
          <reference field="0" count="1" selected="0">
            <x v="524"/>
          </reference>
          <reference field="2" count="1">
            <x v="12"/>
          </reference>
        </references>
      </pivotArea>
    </format>
    <format dxfId="8481">
      <pivotArea dataOnly="0" labelOnly="1" outline="0" fieldPosition="0">
        <references count="2">
          <reference field="0" count="1" selected="0">
            <x v="581"/>
          </reference>
          <reference field="2" count="1">
            <x v="33"/>
          </reference>
        </references>
      </pivotArea>
    </format>
    <format dxfId="8480">
      <pivotArea dataOnly="0" labelOnly="1" outline="0" fieldPosition="0">
        <references count="2">
          <reference field="0" count="1" selected="0">
            <x v="217"/>
          </reference>
          <reference field="2" count="1">
            <x v="11"/>
          </reference>
        </references>
      </pivotArea>
    </format>
    <format dxfId="8479">
      <pivotArea dataOnly="0" labelOnly="1" outline="0" fieldPosition="0">
        <references count="2">
          <reference field="0" count="1" selected="0">
            <x v="443"/>
          </reference>
          <reference field="2" count="1">
            <x v="27"/>
          </reference>
        </references>
      </pivotArea>
    </format>
    <format dxfId="8478">
      <pivotArea dataOnly="0" labelOnly="1" outline="0" fieldPosition="0">
        <references count="2">
          <reference field="0" count="1" selected="0">
            <x v="504"/>
          </reference>
          <reference field="2" count="1">
            <x v="36"/>
          </reference>
        </references>
      </pivotArea>
    </format>
    <format dxfId="8477">
      <pivotArea dataOnly="0" labelOnly="1" outline="0" fieldPosition="0">
        <references count="2">
          <reference field="0" count="1" selected="0">
            <x v="591"/>
          </reference>
          <reference field="2" count="1">
            <x v="15"/>
          </reference>
        </references>
      </pivotArea>
    </format>
    <format dxfId="8476">
      <pivotArea dataOnly="0" labelOnly="1" outline="0" fieldPosition="0">
        <references count="2">
          <reference field="0" count="1" selected="0">
            <x v="605"/>
          </reference>
          <reference field="2" count="1">
            <x v="49"/>
          </reference>
        </references>
      </pivotArea>
    </format>
    <format dxfId="8475">
      <pivotArea dataOnly="0" labelOnly="1" outline="0" fieldPosition="0">
        <references count="2">
          <reference field="0" count="1" selected="0">
            <x v="76"/>
          </reference>
          <reference field="2" count="1">
            <x v="6"/>
          </reference>
        </references>
      </pivotArea>
    </format>
    <format dxfId="8474">
      <pivotArea dataOnly="0" labelOnly="1" outline="0" fieldPosition="0">
        <references count="2">
          <reference field="0" count="1" selected="0">
            <x v="62"/>
          </reference>
          <reference field="2" count="1">
            <x v="12"/>
          </reference>
        </references>
      </pivotArea>
    </format>
    <format dxfId="8473">
      <pivotArea dataOnly="0" labelOnly="1" outline="0" fieldPosition="0">
        <references count="2">
          <reference field="0" count="1" selected="0">
            <x v="590"/>
          </reference>
          <reference field="2" count="1">
            <x v="15"/>
          </reference>
        </references>
      </pivotArea>
    </format>
    <format dxfId="8472">
      <pivotArea dataOnly="0" labelOnly="1" outline="0" fieldPosition="0">
        <references count="2">
          <reference field="0" count="1" selected="0">
            <x v="314"/>
          </reference>
          <reference field="2" count="1">
            <x v="18"/>
          </reference>
        </references>
      </pivotArea>
    </format>
    <format dxfId="8471">
      <pivotArea dataOnly="0" labelOnly="1" outline="0" fieldPosition="0">
        <references count="2">
          <reference field="0" count="1" selected="0">
            <x v="191"/>
          </reference>
          <reference field="2" count="1">
            <x v="47"/>
          </reference>
        </references>
      </pivotArea>
    </format>
    <format dxfId="8470">
      <pivotArea dataOnly="0" labelOnly="1" outline="0" fieldPosition="0">
        <references count="2">
          <reference field="0" count="1" selected="0">
            <x v="96"/>
          </reference>
          <reference field="2" count="1">
            <x v="27"/>
          </reference>
        </references>
      </pivotArea>
    </format>
    <format dxfId="8469">
      <pivotArea dataOnly="0" labelOnly="1" outline="0" fieldPosition="0">
        <references count="2">
          <reference field="0" count="1" selected="0">
            <x v="491"/>
          </reference>
          <reference field="2" count="1">
            <x v="45"/>
          </reference>
        </references>
      </pivotArea>
    </format>
    <format dxfId="8468">
      <pivotArea dataOnly="0" labelOnly="1" outline="0" fieldPosition="0">
        <references count="2">
          <reference field="0" count="1" selected="0">
            <x v="372"/>
          </reference>
          <reference field="2" count="1">
            <x v="16"/>
          </reference>
        </references>
      </pivotArea>
    </format>
    <format dxfId="8467">
      <pivotArea dataOnly="0" labelOnly="1" outline="0" fieldPosition="0">
        <references count="2">
          <reference field="0" count="1" selected="0">
            <x v="93"/>
          </reference>
          <reference field="2" count="1">
            <x v="40"/>
          </reference>
        </references>
      </pivotArea>
    </format>
    <format dxfId="8466">
      <pivotArea dataOnly="0" labelOnly="1" outline="0" fieldPosition="0">
        <references count="2">
          <reference field="0" count="1" selected="0">
            <x v="14"/>
          </reference>
          <reference field="2" count="1">
            <x v="13"/>
          </reference>
        </references>
      </pivotArea>
    </format>
    <format dxfId="8465">
      <pivotArea dataOnly="0" labelOnly="1" outline="0" fieldPosition="0">
        <references count="2">
          <reference field="0" count="1" selected="0">
            <x v="253"/>
          </reference>
          <reference field="2" count="1">
            <x v="9"/>
          </reference>
        </references>
      </pivotArea>
    </format>
    <format dxfId="8464">
      <pivotArea dataOnly="0" labelOnly="1" outline="0" fieldPosition="0">
        <references count="2">
          <reference field="0" count="1" selected="0">
            <x v="177"/>
          </reference>
          <reference field="2" count="1">
            <x v="0"/>
          </reference>
        </references>
      </pivotArea>
    </format>
    <format dxfId="8463">
      <pivotArea dataOnly="0" labelOnly="1" outline="0" fieldPosition="0">
        <references count="2">
          <reference field="0" count="1" selected="0">
            <x v="187"/>
          </reference>
          <reference field="2" count="1">
            <x v="24"/>
          </reference>
        </references>
      </pivotArea>
    </format>
    <format dxfId="8462">
      <pivotArea dataOnly="0" labelOnly="1" outline="0" fieldPosition="0">
        <references count="2">
          <reference field="0" count="1" selected="0">
            <x v="374"/>
          </reference>
          <reference field="2" count="1">
            <x v="12"/>
          </reference>
        </references>
      </pivotArea>
    </format>
    <format dxfId="8461">
      <pivotArea dataOnly="0" labelOnly="1" outline="0" fieldPosition="0">
        <references count="2">
          <reference field="0" count="1" selected="0">
            <x v="507"/>
          </reference>
          <reference field="2" count="1">
            <x v="23"/>
          </reference>
        </references>
      </pivotArea>
    </format>
    <format dxfId="8460">
      <pivotArea dataOnly="0" labelOnly="1" outline="0" fieldPosition="0">
        <references count="2">
          <reference field="0" count="1" selected="0">
            <x v="455"/>
          </reference>
          <reference field="2" count="1">
            <x v="45"/>
          </reference>
        </references>
      </pivotArea>
    </format>
    <format dxfId="8459">
      <pivotArea dataOnly="0" labelOnly="1" outline="0" fieldPosition="0">
        <references count="2">
          <reference field="0" count="1" selected="0">
            <x v="101"/>
          </reference>
          <reference field="2" count="1">
            <x v="37"/>
          </reference>
        </references>
      </pivotArea>
    </format>
    <format dxfId="8458">
      <pivotArea dataOnly="0" labelOnly="1" outline="0" fieldPosition="0">
        <references count="2">
          <reference field="0" count="1" selected="0">
            <x v="266"/>
          </reference>
          <reference field="2" count="1">
            <x v="26"/>
          </reference>
        </references>
      </pivotArea>
    </format>
    <format dxfId="8457">
      <pivotArea dataOnly="0" labelOnly="1" outline="0" fieldPosition="0">
        <references count="2">
          <reference field="0" count="1" selected="0">
            <x v="52"/>
          </reference>
          <reference field="2" count="1">
            <x v="30"/>
          </reference>
        </references>
      </pivotArea>
    </format>
    <format dxfId="8456">
      <pivotArea dataOnly="0" labelOnly="1" outline="0" fieldPosition="0">
        <references count="2">
          <reference field="0" count="1" selected="0">
            <x v="106"/>
          </reference>
          <reference field="2" count="1">
            <x v="16"/>
          </reference>
        </references>
      </pivotArea>
    </format>
    <format dxfId="8455">
      <pivotArea dataOnly="0" labelOnly="1" outline="0" fieldPosition="0">
        <references count="2">
          <reference field="0" count="1" selected="0">
            <x v="497"/>
          </reference>
          <reference field="2" count="1">
            <x v="43"/>
          </reference>
        </references>
      </pivotArea>
    </format>
    <format dxfId="8454">
      <pivotArea dataOnly="0" labelOnly="1" outline="0" fieldPosition="0">
        <references count="2">
          <reference field="0" count="1" selected="0">
            <x v="108"/>
          </reference>
          <reference field="2" count="1">
            <x v="38"/>
          </reference>
        </references>
      </pivotArea>
    </format>
    <format dxfId="8453">
      <pivotArea dataOnly="0" labelOnly="1" outline="0" fieldPosition="0">
        <references count="2">
          <reference field="0" count="1" selected="0">
            <x v="89"/>
          </reference>
          <reference field="2" count="1">
            <x v="27"/>
          </reference>
        </references>
      </pivotArea>
    </format>
    <format dxfId="8452">
      <pivotArea dataOnly="0" labelOnly="1" outline="0" fieldPosition="0">
        <references count="2">
          <reference field="0" count="1" selected="0">
            <x v="579"/>
          </reference>
          <reference field="2" count="1">
            <x v="19"/>
          </reference>
        </references>
      </pivotArea>
    </format>
    <format dxfId="8451">
      <pivotArea dataOnly="0" labelOnly="1" outline="0" fieldPosition="0">
        <references count="2">
          <reference field="0" count="1" selected="0">
            <x v="339"/>
          </reference>
          <reference field="2" count="1">
            <x v="18"/>
          </reference>
        </references>
      </pivotArea>
    </format>
    <format dxfId="8450">
      <pivotArea dataOnly="0" labelOnly="1" outline="0" fieldPosition="0">
        <references count="2">
          <reference field="0" count="1" selected="0">
            <x v="400"/>
          </reference>
          <reference field="2" count="1">
            <x v="22"/>
          </reference>
        </references>
      </pivotArea>
    </format>
    <format dxfId="8449">
      <pivotArea dataOnly="0" labelOnly="1" outline="0" fieldPosition="0">
        <references count="2">
          <reference field="0" count="1" selected="0">
            <x v="421"/>
          </reference>
          <reference field="2" count="1">
            <x v="17"/>
          </reference>
        </references>
      </pivotArea>
    </format>
    <format dxfId="8448">
      <pivotArea dataOnly="0" labelOnly="1" outline="0" fieldPosition="0">
        <references count="2">
          <reference field="0" count="1" selected="0">
            <x v="482"/>
          </reference>
          <reference field="2" count="1">
            <x v="28"/>
          </reference>
        </references>
      </pivotArea>
    </format>
    <format dxfId="8447">
      <pivotArea dataOnly="0" labelOnly="1" outline="0" fieldPosition="0">
        <references count="2">
          <reference field="0" count="1" selected="0">
            <x v="34"/>
          </reference>
          <reference field="2" count="1">
            <x v="5"/>
          </reference>
        </references>
      </pivotArea>
    </format>
    <format dxfId="8446">
      <pivotArea dataOnly="0" labelOnly="1" outline="0" fieldPosition="0">
        <references count="2">
          <reference field="0" count="1" selected="0">
            <x v="213"/>
          </reference>
          <reference field="2" count="1">
            <x v="36"/>
          </reference>
        </references>
      </pivotArea>
    </format>
    <format dxfId="8445">
      <pivotArea dataOnly="0" labelOnly="1" outline="0" fieldPosition="0">
        <references count="2">
          <reference field="0" count="1" selected="0">
            <x v="242"/>
          </reference>
          <reference field="2" count="1">
            <x v="15"/>
          </reference>
        </references>
      </pivotArea>
    </format>
    <format dxfId="8444">
      <pivotArea dataOnly="0" labelOnly="1" outline="0" fieldPosition="0">
        <references count="2">
          <reference field="0" count="1" selected="0">
            <x v="301"/>
          </reference>
          <reference field="2" count="1">
            <x v="4"/>
          </reference>
        </references>
      </pivotArea>
    </format>
    <format dxfId="8443">
      <pivotArea dataOnly="0" labelOnly="1" outline="0" fieldPosition="0">
        <references count="2">
          <reference field="0" count="1" selected="0">
            <x v="117"/>
          </reference>
          <reference field="2" count="1">
            <x v="33"/>
          </reference>
        </references>
      </pivotArea>
    </format>
    <format dxfId="8442">
      <pivotArea dataOnly="0" labelOnly="1" outline="0" fieldPosition="0">
        <references count="2">
          <reference field="0" count="1" selected="0">
            <x v="37"/>
          </reference>
          <reference field="2" count="1">
            <x v="20"/>
          </reference>
        </references>
      </pivotArea>
    </format>
    <format dxfId="8441">
      <pivotArea dataOnly="0" labelOnly="1" outline="0" fieldPosition="0">
        <references count="2">
          <reference field="0" count="1" selected="0">
            <x v="31"/>
          </reference>
          <reference field="2" count="1">
            <x v="24"/>
          </reference>
        </references>
      </pivotArea>
    </format>
    <format dxfId="8440">
      <pivotArea dataOnly="0" labelOnly="1" outline="0" fieldPosition="0">
        <references count="2">
          <reference field="0" count="1" selected="0">
            <x v="580"/>
          </reference>
          <reference field="2" count="1">
            <x v="12"/>
          </reference>
        </references>
      </pivotArea>
    </format>
    <format dxfId="8439">
      <pivotArea dataOnly="0" labelOnly="1" outline="0" fieldPosition="0">
        <references count="2">
          <reference field="0" count="1" selected="0">
            <x v="542"/>
          </reference>
          <reference field="2" count="1">
            <x v="42"/>
          </reference>
        </references>
      </pivotArea>
    </format>
    <format dxfId="8438">
      <pivotArea dataOnly="0" labelOnly="1" outline="0" fieldPosition="0">
        <references count="2">
          <reference field="0" count="1" selected="0">
            <x v="528"/>
          </reference>
          <reference field="2" count="1">
            <x v="47"/>
          </reference>
        </references>
      </pivotArea>
    </format>
    <format dxfId="8437">
      <pivotArea dataOnly="0" labelOnly="1" outline="0" fieldPosition="0">
        <references count="2">
          <reference field="0" count="1" selected="0">
            <x v="382"/>
          </reference>
          <reference field="2" count="1">
            <x v="15"/>
          </reference>
        </references>
      </pivotArea>
    </format>
    <format dxfId="8436">
      <pivotArea dataOnly="0" labelOnly="1" outline="0" fieldPosition="0">
        <references count="2">
          <reference field="0" count="1" selected="0">
            <x v="569"/>
          </reference>
          <reference field="2" count="1">
            <x v="47"/>
          </reference>
        </references>
      </pivotArea>
    </format>
    <format dxfId="8435">
      <pivotArea dataOnly="0" labelOnly="1" outline="0" fieldPosition="0">
        <references count="2">
          <reference field="0" count="1" selected="0">
            <x v="317"/>
          </reference>
          <reference field="2" count="1">
            <x v="50"/>
          </reference>
        </references>
      </pivotArea>
    </format>
    <format dxfId="8434">
      <pivotArea dataOnly="0" labelOnly="1" outline="0" fieldPosition="0">
        <references count="2">
          <reference field="0" count="1" selected="0">
            <x v="356"/>
          </reference>
          <reference field="2" count="1">
            <x v="40"/>
          </reference>
        </references>
      </pivotArea>
    </format>
    <format dxfId="8433">
      <pivotArea dataOnly="0" labelOnly="1" outline="0" fieldPosition="0">
        <references count="2">
          <reference field="0" count="1" selected="0">
            <x v="503"/>
          </reference>
          <reference field="2" count="1">
            <x v="9"/>
          </reference>
        </references>
      </pivotArea>
    </format>
    <format dxfId="8432">
      <pivotArea dataOnly="0" labelOnly="1" outline="0" fieldPosition="0">
        <references count="2">
          <reference field="0" count="1" selected="0">
            <x v="269"/>
          </reference>
          <reference field="2" count="1">
            <x v="14"/>
          </reference>
        </references>
      </pivotArea>
    </format>
    <format dxfId="8431">
      <pivotArea dataOnly="0" labelOnly="1" outline="0" fieldPosition="0">
        <references count="2">
          <reference field="0" count="1" selected="0">
            <x v="563"/>
          </reference>
          <reference field="2" count="1">
            <x v="37"/>
          </reference>
        </references>
      </pivotArea>
    </format>
    <format dxfId="8430">
      <pivotArea dataOnly="0" labelOnly="1" outline="0" fieldPosition="0">
        <references count="2">
          <reference field="0" count="1" selected="0">
            <x v="490"/>
          </reference>
          <reference field="2" count="1">
            <x v="28"/>
          </reference>
        </references>
      </pivotArea>
    </format>
    <format dxfId="8429">
      <pivotArea dataOnly="0" labelOnly="1" outline="0" fieldPosition="0">
        <references count="2">
          <reference field="0" count="1" selected="0">
            <x v="272"/>
          </reference>
          <reference field="2" count="1">
            <x v="38"/>
          </reference>
        </references>
      </pivotArea>
    </format>
    <format dxfId="8428">
      <pivotArea dataOnly="0" labelOnly="1" outline="0" fieldPosition="0">
        <references count="2">
          <reference field="0" count="1" selected="0">
            <x v="284"/>
          </reference>
          <reference field="2" count="1">
            <x v="36"/>
          </reference>
        </references>
      </pivotArea>
    </format>
    <format dxfId="8427">
      <pivotArea dataOnly="0" labelOnly="1" outline="0" fieldPosition="0">
        <references count="2">
          <reference field="0" count="1" selected="0">
            <x v="124"/>
          </reference>
          <reference field="2" count="1">
            <x v="44"/>
          </reference>
        </references>
      </pivotArea>
    </format>
    <format dxfId="8426">
      <pivotArea dataOnly="0" labelOnly="1" outline="0" fieldPosition="0">
        <references count="2">
          <reference field="0" count="1" selected="0">
            <x v="582"/>
          </reference>
          <reference field="2" count="1">
            <x v="25"/>
          </reference>
        </references>
      </pivotArea>
    </format>
    <format dxfId="8425">
      <pivotArea dataOnly="0" labelOnly="1" outline="0" fieldPosition="0">
        <references count="2">
          <reference field="0" count="1" selected="0">
            <x v="531"/>
          </reference>
          <reference field="2" count="1">
            <x v="38"/>
          </reference>
        </references>
      </pivotArea>
    </format>
    <format dxfId="8424">
      <pivotArea dataOnly="0" labelOnly="1" outline="0" fieldPosition="0">
        <references count="2">
          <reference field="0" count="1" selected="0">
            <x v="558"/>
          </reference>
          <reference field="2" count="1">
            <x v="28"/>
          </reference>
        </references>
      </pivotArea>
    </format>
    <format dxfId="8423">
      <pivotArea dataOnly="0" labelOnly="1" outline="0" fieldPosition="0">
        <references count="2">
          <reference field="0" count="1" selected="0">
            <x v="495"/>
          </reference>
          <reference field="2" count="1">
            <x v="37"/>
          </reference>
        </references>
      </pivotArea>
    </format>
    <format dxfId="8422">
      <pivotArea dataOnly="0" labelOnly="1" outline="0" fieldPosition="0">
        <references count="2">
          <reference field="0" count="1" selected="0">
            <x v="335"/>
          </reference>
          <reference field="2" count="1">
            <x v="3"/>
          </reference>
        </references>
      </pivotArea>
    </format>
    <format dxfId="8421">
      <pivotArea dataOnly="0" labelOnly="1" outline="0" fieldPosition="0">
        <references count="2">
          <reference field="0" count="1" selected="0">
            <x v="588"/>
          </reference>
          <reference field="2" count="1">
            <x v="22"/>
          </reference>
        </references>
      </pivotArea>
    </format>
    <format dxfId="8420">
      <pivotArea dataOnly="0" labelOnly="1" outline="0" fieldPosition="0">
        <references count="2">
          <reference field="0" count="1" selected="0">
            <x v="508"/>
          </reference>
          <reference field="2" count="1">
            <x v="35"/>
          </reference>
        </references>
      </pivotArea>
    </format>
    <format dxfId="8419">
      <pivotArea dataOnly="0" labelOnly="1" outline="0" fieldPosition="0">
        <references count="2">
          <reference field="0" count="1" selected="0">
            <x v="367"/>
          </reference>
          <reference field="2" count="1">
            <x v="14"/>
          </reference>
        </references>
      </pivotArea>
    </format>
    <format dxfId="8418">
      <pivotArea dataOnly="0" labelOnly="1" outline="0" fieldPosition="0">
        <references count="2">
          <reference field="0" count="1" selected="0">
            <x v="255"/>
          </reference>
          <reference field="2" count="1">
            <x v="2"/>
          </reference>
        </references>
      </pivotArea>
    </format>
    <format dxfId="8417">
      <pivotArea dataOnly="0" labelOnly="1" outline="0" fieldPosition="0">
        <references count="2">
          <reference field="0" count="1" selected="0">
            <x v="185"/>
          </reference>
          <reference field="2" count="1">
            <x v="1"/>
          </reference>
        </references>
      </pivotArea>
    </format>
    <format dxfId="8416">
      <pivotArea dataOnly="0" labelOnly="1" outline="0" fieldPosition="0">
        <references count="2">
          <reference field="0" count="1" selected="0">
            <x v="219"/>
          </reference>
          <reference field="2" count="1">
            <x v="33"/>
          </reference>
        </references>
      </pivotArea>
    </format>
    <format dxfId="8415">
      <pivotArea dataOnly="0" labelOnly="1" outline="0" fieldPosition="0">
        <references count="2">
          <reference field="0" count="1" selected="0">
            <x v="238"/>
          </reference>
          <reference field="2" count="1">
            <x v="43"/>
          </reference>
        </references>
      </pivotArea>
    </format>
    <format dxfId="8414">
      <pivotArea dataOnly="0" labelOnly="1" outline="0" fieldPosition="0">
        <references count="2">
          <reference field="0" count="1" selected="0">
            <x v="9"/>
          </reference>
          <reference field="2" count="1">
            <x v="9"/>
          </reference>
        </references>
      </pivotArea>
    </format>
    <format dxfId="8413">
      <pivotArea dataOnly="0" labelOnly="1" outline="0" fieldPosition="0">
        <references count="2">
          <reference field="0" count="1" selected="0">
            <x v="144"/>
          </reference>
          <reference field="2" count="1">
            <x v="11"/>
          </reference>
        </references>
      </pivotArea>
    </format>
    <format dxfId="8412">
      <pivotArea dataOnly="0" labelOnly="1" outline="0" fieldPosition="0">
        <references count="2">
          <reference field="0" count="1" selected="0">
            <x v="148"/>
          </reference>
          <reference field="2" count="1">
            <x v="10"/>
          </reference>
        </references>
      </pivotArea>
    </format>
    <format dxfId="8411">
      <pivotArea dataOnly="0" labelOnly="1" outline="0" fieldPosition="0">
        <references count="2">
          <reference field="0" count="1" selected="0">
            <x v="363"/>
          </reference>
          <reference field="2" count="1">
            <x v="29"/>
          </reference>
        </references>
      </pivotArea>
    </format>
    <format dxfId="8410">
      <pivotArea dataOnly="0" labelOnly="1" outline="0" fieldPosition="0">
        <references count="2">
          <reference field="0" count="1" selected="0">
            <x v="414"/>
          </reference>
          <reference field="2" count="1">
            <x v="7"/>
          </reference>
        </references>
      </pivotArea>
    </format>
    <format dxfId="8409">
      <pivotArea dataOnly="0" labelOnly="1" outline="0" fieldPosition="0">
        <references count="2">
          <reference field="0" count="1" selected="0">
            <x v="45"/>
          </reference>
          <reference field="2" count="1">
            <x v="28"/>
          </reference>
        </references>
      </pivotArea>
    </format>
    <format dxfId="8408">
      <pivotArea dataOnly="0" labelOnly="1" outline="0" fieldPosition="0">
        <references count="2">
          <reference field="0" count="1" selected="0">
            <x v="58"/>
          </reference>
          <reference field="2" count="1">
            <x v="6"/>
          </reference>
        </references>
      </pivotArea>
    </format>
    <format dxfId="8407">
      <pivotArea dataOnly="0" labelOnly="1" outline="0" fieldPosition="0">
        <references count="2">
          <reference field="0" count="1" selected="0">
            <x v="192"/>
          </reference>
          <reference field="2" count="1">
            <x v="34"/>
          </reference>
        </references>
      </pivotArea>
    </format>
    <format dxfId="8406">
      <pivotArea dataOnly="0" labelOnly="1" outline="0" fieldPosition="0">
        <references count="2">
          <reference field="0" count="1" selected="0">
            <x v="343"/>
          </reference>
          <reference field="2" count="1">
            <x v="12"/>
          </reference>
        </references>
      </pivotArea>
    </format>
    <format dxfId="8405">
      <pivotArea dataOnly="0" labelOnly="1" outline="0" fieldPosition="0">
        <references count="2">
          <reference field="0" count="1" selected="0">
            <x v="369"/>
          </reference>
          <reference field="2" count="1">
            <x v="47"/>
          </reference>
        </references>
      </pivotArea>
    </format>
    <format dxfId="8404">
      <pivotArea dataOnly="0" labelOnly="1" outline="0" fieldPosition="0">
        <references count="2">
          <reference field="0" count="1" selected="0">
            <x v="379"/>
          </reference>
          <reference field="2" count="1">
            <x v="3"/>
          </reference>
        </references>
      </pivotArea>
    </format>
    <format dxfId="8403">
      <pivotArea dataOnly="0" labelOnly="1" outline="0" fieldPosition="0">
        <references count="2">
          <reference field="0" count="1" selected="0">
            <x v="449"/>
          </reference>
          <reference field="2" count="1">
            <x v="10"/>
          </reference>
        </references>
      </pivotArea>
    </format>
    <format dxfId="8402">
      <pivotArea dataOnly="0" labelOnly="1" outline="0" fieldPosition="0">
        <references count="2">
          <reference field="0" count="1" selected="0">
            <x v="470"/>
          </reference>
          <reference field="2" count="1">
            <x v="22"/>
          </reference>
        </references>
      </pivotArea>
    </format>
    <format dxfId="8401">
      <pivotArea dataOnly="0" labelOnly="1" outline="0" fieldPosition="0">
        <references count="2">
          <reference field="0" count="1" selected="0">
            <x v="415"/>
          </reference>
          <reference field="2" count="1">
            <x v="17"/>
          </reference>
        </references>
      </pivotArea>
    </format>
    <format dxfId="8400">
      <pivotArea dataOnly="0" labelOnly="1" outline="0" fieldPosition="0">
        <references count="2">
          <reference field="0" count="1" selected="0">
            <x v="328"/>
          </reference>
          <reference field="2" count="1">
            <x v="2"/>
          </reference>
        </references>
      </pivotArea>
    </format>
    <format dxfId="8399">
      <pivotArea dataOnly="0" labelOnly="1" outline="0" fieldPosition="0">
        <references count="2">
          <reference field="0" count="1" selected="0">
            <x v="176"/>
          </reference>
          <reference field="2" count="1">
            <x v="46"/>
          </reference>
        </references>
      </pivotArea>
    </format>
    <format dxfId="8398">
      <pivotArea dataOnly="0" labelOnly="1" outline="0" fieldPosition="0">
        <references count="2">
          <reference field="0" count="1" selected="0">
            <x v="99"/>
          </reference>
          <reference field="2" count="1">
            <x v="0"/>
          </reference>
        </references>
      </pivotArea>
    </format>
    <format dxfId="8397">
      <pivotArea dataOnly="0" labelOnly="1" outline="0" fieldPosition="0">
        <references count="2">
          <reference field="0" count="1" selected="0">
            <x v="235"/>
          </reference>
          <reference field="2" count="1">
            <x v="21"/>
          </reference>
        </references>
      </pivotArea>
    </format>
    <format dxfId="8396">
      <pivotArea dataOnly="0" labelOnly="1" outline="0" fieldPosition="0">
        <references count="2">
          <reference field="0" count="1" selected="0">
            <x v="282"/>
          </reference>
          <reference field="2" count="1">
            <x v="46"/>
          </reference>
        </references>
      </pivotArea>
    </format>
    <format dxfId="8395">
      <pivotArea dataOnly="0" labelOnly="1" outline="0" fieldPosition="0">
        <references count="2">
          <reference field="0" count="1" selected="0">
            <x v="240"/>
          </reference>
          <reference field="2" count="1">
            <x v="24"/>
          </reference>
        </references>
      </pivotArea>
    </format>
    <format dxfId="8394">
      <pivotArea dataOnly="0" labelOnly="1" outline="0" fieldPosition="0">
        <references count="2">
          <reference field="0" count="1" selected="0">
            <x v="286"/>
          </reference>
          <reference field="2" count="1">
            <x v="52"/>
          </reference>
        </references>
      </pivotArea>
    </format>
    <format dxfId="8393">
      <pivotArea dataOnly="0" labelOnly="1" outline="0" fieldPosition="0">
        <references count="2">
          <reference field="0" count="1" selected="0">
            <x v="230"/>
          </reference>
          <reference field="2" count="1">
            <x v="33"/>
          </reference>
        </references>
      </pivotArea>
    </format>
    <format dxfId="8392">
      <pivotArea dataOnly="0" labelOnly="1" outline="0" fieldPosition="0">
        <references count="2">
          <reference field="0" count="1" selected="0">
            <x v="292"/>
          </reference>
          <reference field="2" count="1">
            <x v="29"/>
          </reference>
        </references>
      </pivotArea>
    </format>
    <format dxfId="8391">
      <pivotArea dataOnly="0" labelOnly="1" outline="0" fieldPosition="0">
        <references count="2">
          <reference field="0" count="1" selected="0">
            <x v="299"/>
          </reference>
          <reference field="2" count="1">
            <x v="46"/>
          </reference>
        </references>
      </pivotArea>
    </format>
    <format dxfId="8390">
      <pivotArea dataOnly="0" labelOnly="1" outline="0" fieldPosition="0">
        <references count="2">
          <reference field="0" count="1" selected="0">
            <x v="197"/>
          </reference>
          <reference field="2" count="1">
            <x v="50"/>
          </reference>
        </references>
      </pivotArea>
    </format>
    <format dxfId="8389">
      <pivotArea dataOnly="0" labelOnly="1" outline="0" fieldPosition="0">
        <references count="2">
          <reference field="0" count="1" selected="0">
            <x v="514"/>
          </reference>
          <reference field="2" count="1">
            <x v="3"/>
          </reference>
        </references>
      </pivotArea>
    </format>
    <format dxfId="8388">
      <pivotArea dataOnly="0" labelOnly="1" outline="0" fieldPosition="0">
        <references count="2">
          <reference field="0" count="1" selected="0">
            <x v="338"/>
          </reference>
          <reference field="2" count="1">
            <x v="2"/>
          </reference>
        </references>
      </pivotArea>
    </format>
    <format dxfId="8387">
      <pivotArea dataOnly="0" labelOnly="1" outline="0" fieldPosition="0">
        <references count="2">
          <reference field="0" count="1" selected="0">
            <x v="159"/>
          </reference>
          <reference field="2" count="1">
            <x v="35"/>
          </reference>
        </references>
      </pivotArea>
    </format>
    <format dxfId="8386">
      <pivotArea dataOnly="0" labelOnly="1" outline="0" fieldPosition="0">
        <references count="2">
          <reference field="0" count="1" selected="0">
            <x v="134"/>
          </reference>
          <reference field="2" count="1">
            <x v="3"/>
          </reference>
        </references>
      </pivotArea>
    </format>
    <format dxfId="8385">
      <pivotArea dataOnly="0" labelOnly="1" outline="0" fieldPosition="0">
        <references count="2">
          <reference field="0" count="1" selected="0">
            <x v="42"/>
          </reference>
          <reference field="2" count="1">
            <x v="18"/>
          </reference>
        </references>
      </pivotArea>
    </format>
    <format dxfId="8384">
      <pivotArea dataOnly="0" labelOnly="1" outline="0" fieldPosition="0">
        <references count="2">
          <reference field="0" count="1" selected="0">
            <x v="593"/>
          </reference>
          <reference field="2" count="1">
            <x v="8"/>
          </reference>
        </references>
      </pivotArea>
    </format>
    <format dxfId="8383">
      <pivotArea dataOnly="0" labelOnly="1" outline="0" fieldPosition="0">
        <references count="2">
          <reference field="0" count="1" selected="0">
            <x v="447"/>
          </reference>
          <reference field="2" count="1">
            <x v="47"/>
          </reference>
        </references>
      </pivotArea>
    </format>
    <format dxfId="8382">
      <pivotArea dataOnly="0" labelOnly="1" outline="0" fieldPosition="0">
        <references count="2">
          <reference field="0" count="1" selected="0">
            <x v="595"/>
          </reference>
          <reference field="2" count="1">
            <x v="32"/>
          </reference>
        </references>
      </pivotArea>
    </format>
    <format dxfId="8381">
      <pivotArea dataOnly="0" labelOnly="1" outline="0" fieldPosition="0">
        <references count="2">
          <reference field="0" count="1" selected="0">
            <x v="529"/>
          </reference>
          <reference field="2" count="1">
            <x v="29"/>
          </reference>
        </references>
      </pivotArea>
    </format>
    <format dxfId="8380">
      <pivotArea dataOnly="0" labelOnly="1" outline="0" fieldPosition="0">
        <references count="2">
          <reference field="0" count="1" selected="0">
            <x v="458"/>
          </reference>
          <reference field="2" count="1">
            <x v="27"/>
          </reference>
        </references>
      </pivotArea>
    </format>
    <format dxfId="8379">
      <pivotArea dataOnly="0" labelOnly="1" outline="0" fieldPosition="0">
        <references count="2">
          <reference field="0" count="1" selected="0">
            <x v="341"/>
          </reference>
          <reference field="2" count="1">
            <x v="36"/>
          </reference>
        </references>
      </pivotArea>
    </format>
    <format dxfId="8378">
      <pivotArea dataOnly="0" labelOnly="1" outline="0" fieldPosition="0">
        <references count="2">
          <reference field="0" count="1" selected="0">
            <x v="545"/>
          </reference>
          <reference field="2" count="1">
            <x v="4"/>
          </reference>
        </references>
      </pivotArea>
    </format>
    <format dxfId="8377">
      <pivotArea dataOnly="0" labelOnly="1" outline="0" fieldPosition="0">
        <references count="2">
          <reference field="0" count="1" selected="0">
            <x v="308"/>
          </reference>
          <reference field="2" count="1">
            <x v="28"/>
          </reference>
        </references>
      </pivotArea>
    </format>
    <format dxfId="8376">
      <pivotArea dataOnly="0" labelOnly="1" outline="0" fieldPosition="0">
        <references count="2">
          <reference field="0" count="1" selected="0">
            <x v="23"/>
          </reference>
          <reference field="2" count="1">
            <x v="13"/>
          </reference>
        </references>
      </pivotArea>
    </format>
    <format dxfId="8375">
      <pivotArea dataOnly="0" labelOnly="1" outline="0" fieldPosition="0">
        <references count="2">
          <reference field="0" count="1" selected="0">
            <x v="227"/>
          </reference>
          <reference field="2" count="1">
            <x v="12"/>
          </reference>
        </references>
      </pivotArea>
    </format>
    <format dxfId="8374">
      <pivotArea dataOnly="0" labelOnly="1" outline="0" fieldPosition="0">
        <references count="2">
          <reference field="0" count="1" selected="0">
            <x v="290"/>
          </reference>
          <reference field="2" count="1">
            <x v="45"/>
          </reference>
        </references>
      </pivotArea>
    </format>
    <format dxfId="8373">
      <pivotArea dataOnly="0" labelOnly="1" outline="0" fieldPosition="0">
        <references count="2">
          <reference field="0" count="1" selected="0">
            <x v="296"/>
          </reference>
          <reference field="2" count="1">
            <x v="14"/>
          </reference>
        </references>
      </pivotArea>
    </format>
    <format dxfId="8372">
      <pivotArea dataOnly="0" labelOnly="1" outline="0" fieldPosition="0">
        <references count="2">
          <reference field="0" count="1" selected="0">
            <x v="109"/>
          </reference>
          <reference field="2" count="1">
            <x v="25"/>
          </reference>
        </references>
      </pivotArea>
    </format>
    <format dxfId="8371">
      <pivotArea dataOnly="0" labelOnly="1" outline="0" fieldPosition="0">
        <references count="2">
          <reference field="0" count="1" selected="0">
            <x v="125"/>
          </reference>
          <reference field="2" count="1">
            <x v="41"/>
          </reference>
        </references>
      </pivotArea>
    </format>
    <format dxfId="8370">
      <pivotArea dataOnly="0" labelOnly="1" outline="0" fieldPosition="0">
        <references count="2">
          <reference field="0" count="1" selected="0">
            <x v="263"/>
          </reference>
          <reference field="2" count="1">
            <x v="30"/>
          </reference>
        </references>
      </pivotArea>
    </format>
    <format dxfId="8369">
      <pivotArea dataOnly="0" labelOnly="1" outline="0" fieldPosition="0">
        <references count="2">
          <reference field="0" count="1" selected="0">
            <x v="194"/>
          </reference>
          <reference field="2" count="1">
            <x v="19"/>
          </reference>
        </references>
      </pivotArea>
    </format>
    <format dxfId="8368">
      <pivotArea dataOnly="0" labelOnly="1" outline="0" fieldPosition="0">
        <references count="2">
          <reference field="0" count="1" selected="0">
            <x v="596"/>
          </reference>
          <reference field="2" count="1">
            <x v="29"/>
          </reference>
        </references>
      </pivotArea>
    </format>
    <format dxfId="8367">
      <pivotArea dataOnly="0" labelOnly="1" outline="0" fieldPosition="0">
        <references count="2">
          <reference field="0" count="1" selected="0">
            <x v="340"/>
          </reference>
          <reference field="2" count="1">
            <x v="50"/>
          </reference>
        </references>
      </pivotArea>
    </format>
    <format dxfId="8366">
      <pivotArea dataOnly="0" labelOnly="1" outline="0" fieldPosition="0">
        <references count="2">
          <reference field="0" count="1" selected="0">
            <x v="333"/>
          </reference>
          <reference field="2" count="1">
            <x v="12"/>
          </reference>
        </references>
      </pivotArea>
    </format>
    <format dxfId="8365">
      <pivotArea dataOnly="0" labelOnly="1" outline="0" fieldPosition="0">
        <references count="2">
          <reference field="0" count="1" selected="0">
            <x v="452"/>
          </reference>
          <reference field="2" count="1">
            <x v="16"/>
          </reference>
        </references>
      </pivotArea>
    </format>
    <format dxfId="8364">
      <pivotArea dataOnly="0" labelOnly="1" outline="0" fieldPosition="0">
        <references count="2">
          <reference field="0" count="1" selected="0">
            <x v="451"/>
          </reference>
          <reference field="2" count="1">
            <x v="31"/>
          </reference>
        </references>
      </pivotArea>
    </format>
    <format dxfId="8363">
      <pivotArea dataOnly="0" labelOnly="1" outline="0" fieldPosition="0">
        <references count="2">
          <reference field="0" count="1" selected="0">
            <x v="544"/>
          </reference>
          <reference field="2" count="1">
            <x v="20"/>
          </reference>
        </references>
      </pivotArea>
    </format>
    <format dxfId="8362">
      <pivotArea dataOnly="0" labelOnly="1" outline="0" fieldPosition="0">
        <references count="2">
          <reference field="0" count="1" selected="0">
            <x v="583"/>
          </reference>
          <reference field="2" count="1">
            <x v="21"/>
          </reference>
        </references>
      </pivotArea>
    </format>
    <format dxfId="8361">
      <pivotArea dataOnly="0" labelOnly="1" outline="0" fieldPosition="0">
        <references count="2">
          <reference field="0" count="1" selected="0">
            <x v="532"/>
          </reference>
          <reference field="2" count="1">
            <x v="36"/>
          </reference>
        </references>
      </pivotArea>
    </format>
    <format dxfId="8360">
      <pivotArea dataOnly="0" labelOnly="1" outline="0" fieldPosition="0">
        <references count="2">
          <reference field="0" count="1" selected="0">
            <x v="420"/>
          </reference>
          <reference field="2" count="1">
            <x v="6"/>
          </reference>
        </references>
      </pivotArea>
    </format>
    <format dxfId="8359">
      <pivotArea dataOnly="0" labelOnly="1" outline="0" fieldPosition="0">
        <references count="2">
          <reference field="0" count="1" selected="0">
            <x v="444"/>
          </reference>
          <reference field="2" count="1">
            <x v="35"/>
          </reference>
        </references>
      </pivotArea>
    </format>
    <format dxfId="8358">
      <pivotArea dataOnly="0" labelOnly="1" outline="0" fieldPosition="0">
        <references count="2">
          <reference field="0" count="1" selected="0">
            <x v="462"/>
          </reference>
          <reference field="2" count="1">
            <x v="32"/>
          </reference>
        </references>
      </pivotArea>
    </format>
    <format dxfId="8357">
      <pivotArea dataOnly="0" labelOnly="1" outline="0" fieldPosition="0">
        <references count="2">
          <reference field="0" count="1" selected="0">
            <x v="409"/>
          </reference>
          <reference field="2" count="1">
            <x v="29"/>
          </reference>
        </references>
      </pivotArea>
    </format>
    <format dxfId="8356">
      <pivotArea dataOnly="0" labelOnly="1" outline="0" fieldPosition="0">
        <references count="2">
          <reference field="0" count="1" selected="0">
            <x v="564"/>
          </reference>
          <reference field="2" count="1">
            <x v="26"/>
          </reference>
        </references>
      </pivotArea>
    </format>
    <format dxfId="8355">
      <pivotArea dataOnly="0" labelOnly="1" outline="0" fieldPosition="0">
        <references count="2">
          <reference field="0" count="1" selected="0">
            <x v="383"/>
          </reference>
          <reference field="2" count="1">
            <x v="36"/>
          </reference>
        </references>
      </pivotArea>
    </format>
    <format dxfId="8354">
      <pivotArea dataOnly="0" labelOnly="1" outline="0" fieldPosition="0">
        <references count="2">
          <reference field="0" count="1" selected="0">
            <x v="472"/>
          </reference>
          <reference field="2" count="1">
            <x v="17"/>
          </reference>
        </references>
      </pivotArea>
    </format>
    <format dxfId="8353">
      <pivotArea dataOnly="0" labelOnly="1" outline="0" fieldPosition="0">
        <references count="2">
          <reference field="0" count="1" selected="0">
            <x v="10"/>
          </reference>
          <reference field="2" count="1">
            <x v="10"/>
          </reference>
        </references>
      </pivotArea>
    </format>
    <format dxfId="8352">
      <pivotArea dataOnly="0" labelOnly="1" outline="0" fieldPosition="0">
        <references count="2">
          <reference field="0" count="1" selected="0">
            <x v="243"/>
          </reference>
          <reference field="2" count="1">
            <x v="32"/>
          </reference>
        </references>
      </pivotArea>
    </format>
    <format dxfId="8351">
      <pivotArea dataOnly="0" labelOnly="1" outline="0" fieldPosition="0">
        <references count="2">
          <reference field="0" count="1" selected="0">
            <x v="175"/>
          </reference>
          <reference field="2" count="1">
            <x v="19"/>
          </reference>
        </references>
      </pivotArea>
    </format>
    <format dxfId="8350">
      <pivotArea dataOnly="0" labelOnly="1" outline="0" fieldPosition="0">
        <references count="2">
          <reference field="0" count="1" selected="0">
            <x v="70"/>
          </reference>
          <reference field="2" count="1">
            <x v="3"/>
          </reference>
        </references>
      </pivotArea>
    </format>
    <format dxfId="8349">
      <pivotArea dataOnly="0" labelOnly="1" outline="0" fieldPosition="0">
        <references count="2">
          <reference field="0" count="1" selected="0">
            <x v="2"/>
          </reference>
          <reference field="2" count="1">
            <x v="2"/>
          </reference>
        </references>
      </pivotArea>
    </format>
    <format dxfId="8348">
      <pivotArea dataOnly="0" labelOnly="1" outline="0" fieldPosition="0">
        <references count="2">
          <reference field="0" count="1" selected="0">
            <x v="241"/>
          </reference>
          <reference field="2" count="1">
            <x v="10"/>
          </reference>
        </references>
      </pivotArea>
    </format>
    <format dxfId="8347">
      <pivotArea dataOnly="0" labelOnly="1" outline="0" fieldPosition="0">
        <references count="2">
          <reference field="0" count="1" selected="0">
            <x v="113"/>
          </reference>
          <reference field="2" count="1">
            <x v="18"/>
          </reference>
        </references>
      </pivotArea>
    </format>
    <format dxfId="8346">
      <pivotArea dataOnly="0" labelOnly="1" outline="0" fieldPosition="0">
        <references count="2">
          <reference field="0" count="1" selected="0">
            <x v="64"/>
          </reference>
          <reference field="2" count="1">
            <x v="33"/>
          </reference>
        </references>
      </pivotArea>
    </format>
    <format dxfId="8345">
      <pivotArea dataOnly="0" labelOnly="1" outline="0" fieldPosition="0">
        <references count="2">
          <reference field="0" count="1" selected="0">
            <x v="207"/>
          </reference>
          <reference field="2" count="1">
            <x v="11"/>
          </reference>
        </references>
      </pivotArea>
    </format>
    <format dxfId="8344">
      <pivotArea dataOnly="0" labelOnly="1" outline="0" fieldPosition="0">
        <references count="2">
          <reference field="0" count="1" selected="0">
            <x v="215"/>
          </reference>
          <reference field="2" count="1">
            <x v="12"/>
          </reference>
        </references>
      </pivotArea>
    </format>
    <format dxfId="8343">
      <pivotArea dataOnly="0" labelOnly="1" outline="0" fieldPosition="0">
        <references count="2">
          <reference field="0" count="1" selected="0">
            <x v="114"/>
          </reference>
          <reference field="2" count="1">
            <x v="25"/>
          </reference>
        </references>
      </pivotArea>
    </format>
    <format dxfId="8342">
      <pivotArea dataOnly="0" labelOnly="1" outline="0" fieldPosition="0">
        <references count="2">
          <reference field="0" count="1" selected="0">
            <x v="387"/>
          </reference>
          <reference field="2" count="1">
            <x v="32"/>
          </reference>
        </references>
      </pivotArea>
    </format>
    <format dxfId="8341">
      <pivotArea dataOnly="0" labelOnly="1" outline="0" fieldPosition="0">
        <references count="2">
          <reference field="0" count="1" selected="0">
            <x v="347"/>
          </reference>
          <reference field="2" count="1">
            <x v="6"/>
          </reference>
        </references>
      </pivotArea>
    </format>
    <format dxfId="8340">
      <pivotArea dataOnly="0" labelOnly="1" outline="0" fieldPosition="0">
        <references count="2">
          <reference field="0" count="1" selected="0">
            <x v="437"/>
          </reference>
          <reference field="2" count="1">
            <x v="38"/>
          </reference>
        </references>
      </pivotArea>
    </format>
    <format dxfId="8339">
      <pivotArea dataOnly="0" labelOnly="1" outline="0" fieldPosition="0">
        <references count="2">
          <reference field="0" count="1" selected="0">
            <x v="598"/>
          </reference>
          <reference field="2" count="1">
            <x v="0"/>
          </reference>
        </references>
      </pivotArea>
    </format>
    <format dxfId="8338">
      <pivotArea dataOnly="0" labelOnly="1" outline="0" fieldPosition="0">
        <references count="2">
          <reference field="0" count="1" selected="0">
            <x v="63"/>
          </reference>
          <reference field="2" count="1">
            <x v="16"/>
          </reference>
        </references>
      </pivotArea>
    </format>
    <format dxfId="8337">
      <pivotArea dataOnly="0" labelOnly="1" outline="0" fieldPosition="0">
        <references count="2">
          <reference field="0" count="1" selected="0">
            <x v="233"/>
          </reference>
          <reference field="2" count="1">
            <x v="38"/>
          </reference>
        </references>
      </pivotArea>
    </format>
    <format dxfId="8336">
      <pivotArea dataOnly="0" labelOnly="1" outline="0" fieldPosition="0">
        <references count="2">
          <reference field="0" count="1" selected="0">
            <x v="352"/>
          </reference>
          <reference field="2" count="1">
            <x v="21"/>
          </reference>
        </references>
      </pivotArea>
    </format>
    <format dxfId="8335">
      <pivotArea dataOnly="0" labelOnly="1" outline="0" fieldPosition="0">
        <references count="2">
          <reference field="0" count="1" selected="0">
            <x v="422"/>
          </reference>
          <reference field="2" count="1">
            <x v="20"/>
          </reference>
        </references>
      </pivotArea>
    </format>
    <format dxfId="8334">
      <pivotArea dataOnly="0" labelOnly="1" outline="0" fieldPosition="0">
        <references count="2">
          <reference field="0" count="1" selected="0">
            <x v="376"/>
          </reference>
          <reference field="2" count="1">
            <x v="46"/>
          </reference>
        </references>
      </pivotArea>
    </format>
    <format dxfId="8333">
      <pivotArea dataOnly="0" labelOnly="1" outline="0" fieldPosition="0">
        <references count="2">
          <reference field="0" count="1" selected="0">
            <x v="402"/>
          </reference>
          <reference field="2" count="1">
            <x v="13"/>
          </reference>
        </references>
      </pivotArea>
    </format>
    <format dxfId="8332">
      <pivotArea dataOnly="0" labelOnly="1" outline="0" fieldPosition="0">
        <references count="2">
          <reference field="0" count="1" selected="0">
            <x v="436"/>
          </reference>
          <reference field="2" count="1">
            <x v="40"/>
          </reference>
        </references>
      </pivotArea>
    </format>
    <format dxfId="8331">
      <pivotArea dataOnly="0" labelOnly="1" outline="0" fieldPosition="0">
        <references count="2">
          <reference field="0" count="1" selected="0">
            <x v="438"/>
          </reference>
          <reference field="2" count="1">
            <x v="3"/>
          </reference>
        </references>
      </pivotArea>
    </format>
    <format dxfId="8330">
      <pivotArea dataOnly="0" labelOnly="1" outline="0" fieldPosition="0">
        <references count="2">
          <reference field="0" count="1" selected="0">
            <x v="513"/>
          </reference>
          <reference field="2" count="1">
            <x v="29"/>
          </reference>
        </references>
      </pivotArea>
    </format>
    <format dxfId="8329">
      <pivotArea dataOnly="0" labelOnly="1" outline="0" fieldPosition="0">
        <references count="2">
          <reference field="0" count="1" selected="0">
            <x v="304"/>
          </reference>
          <reference field="2" count="1">
            <x v="11"/>
          </reference>
        </references>
      </pivotArea>
    </format>
    <format dxfId="8328">
      <pivotArea dataOnly="0" labelOnly="1" outline="0" fieldPosition="0">
        <references count="2">
          <reference field="0" count="1" selected="0">
            <x v="348"/>
          </reference>
          <reference field="2" count="1">
            <x v="32"/>
          </reference>
        </references>
      </pivotArea>
    </format>
    <format dxfId="8327">
      <pivotArea dataOnly="0" labelOnly="1" outline="0" fieldPosition="0">
        <references count="2">
          <reference field="0" count="1" selected="0">
            <x v="398"/>
          </reference>
          <reference field="2" count="1">
            <x v="2"/>
          </reference>
        </references>
      </pivotArea>
    </format>
    <format dxfId="8326">
      <pivotArea dataOnly="0" labelOnly="1" outline="0" fieldPosition="0">
        <references count="2">
          <reference field="0" count="1" selected="0">
            <x v="594"/>
          </reference>
          <reference field="2" count="1">
            <x v="13"/>
          </reference>
        </references>
      </pivotArea>
    </format>
    <format dxfId="8325">
      <pivotArea dataOnly="0" labelOnly="1" outline="0" fieldPosition="0">
        <references count="2">
          <reference field="0" count="1" selected="0">
            <x v="355"/>
          </reference>
          <reference field="2" count="1">
            <x v="39"/>
          </reference>
        </references>
      </pivotArea>
    </format>
    <format dxfId="8324">
      <pivotArea dataOnly="0" labelOnly="1" outline="0" fieldPosition="0">
        <references count="2">
          <reference field="0" count="1" selected="0">
            <x v="500"/>
          </reference>
          <reference field="2" count="1">
            <x v="2"/>
          </reference>
        </references>
      </pivotArea>
    </format>
    <format dxfId="8323">
      <pivotArea dataOnly="0" labelOnly="1" outline="0" fieldPosition="0">
        <references count="2">
          <reference field="0" count="1" selected="0">
            <x v="346"/>
          </reference>
          <reference field="2" count="1">
            <x v="13"/>
          </reference>
        </references>
      </pivotArea>
    </format>
    <format dxfId="8322">
      <pivotArea dataOnly="0" labelOnly="1" outline="0" fieldPosition="0">
        <references count="2">
          <reference field="0" count="1" selected="0">
            <x v="493"/>
          </reference>
          <reference field="2" count="1">
            <x v="39"/>
          </reference>
        </references>
      </pivotArea>
    </format>
    <format dxfId="8321">
      <pivotArea dataOnly="0" labelOnly="1" outline="0" fieldPosition="0">
        <references count="2">
          <reference field="0" count="1" selected="0">
            <x v="131"/>
          </reference>
          <reference field="2" count="1">
            <x v="21"/>
          </reference>
        </references>
      </pivotArea>
    </format>
    <format dxfId="8320">
      <pivotArea dataOnly="0" labelOnly="1" outline="0" fieldPosition="0">
        <references count="2">
          <reference field="0" count="1" selected="0">
            <x v="260"/>
          </reference>
          <reference field="2" count="1">
            <x v="11"/>
          </reference>
        </references>
      </pivotArea>
    </format>
    <format dxfId="8319">
      <pivotArea dataOnly="0" labelOnly="1" outline="0" fieldPosition="0">
        <references count="2">
          <reference field="0" count="1" selected="0">
            <x v="254"/>
          </reference>
          <reference field="2" count="1">
            <x v="36"/>
          </reference>
        </references>
      </pivotArea>
    </format>
    <format dxfId="8318">
      <pivotArea dataOnly="0" labelOnly="1" outline="0" fieldPosition="0">
        <references count="2">
          <reference field="0" count="1" selected="0">
            <x v="184"/>
          </reference>
          <reference field="2" count="1">
            <x v="0"/>
          </reference>
        </references>
      </pivotArea>
    </format>
    <format dxfId="8317">
      <pivotArea dataOnly="0" labelOnly="1" outline="0" fieldPosition="0">
        <references count="2">
          <reference field="0" count="1" selected="0">
            <x v="200"/>
          </reference>
          <reference field="2" count="1">
            <x v="11"/>
          </reference>
        </references>
      </pivotArea>
    </format>
    <format dxfId="8316">
      <pivotArea dataOnly="0" labelOnly="1" outline="0" fieldPosition="0">
        <references count="2">
          <reference field="0" count="1" selected="0">
            <x v="22"/>
          </reference>
          <reference field="2" count="1">
            <x v="5"/>
          </reference>
        </references>
      </pivotArea>
    </format>
    <format dxfId="8315">
      <pivotArea dataOnly="0" labelOnly="1" outline="0" fieldPosition="0">
        <references count="2">
          <reference field="0" count="1" selected="0">
            <x v="123"/>
          </reference>
          <reference field="2" count="1">
            <x v="29"/>
          </reference>
        </references>
      </pivotArea>
    </format>
    <format dxfId="8314">
      <pivotArea dataOnly="0" labelOnly="1" outline="0" fieldPosition="0">
        <references count="2">
          <reference field="0" count="1" selected="0">
            <x v="212"/>
          </reference>
          <reference field="2" count="1">
            <x v="19"/>
          </reference>
        </references>
      </pivotArea>
    </format>
    <format dxfId="8313">
      <pivotArea dataOnly="0" labelOnly="1" outline="0" fieldPosition="0">
        <references count="2">
          <reference field="0" count="1" selected="0">
            <x v="548"/>
          </reference>
          <reference field="2" count="1">
            <x v="49"/>
          </reference>
        </references>
      </pivotArea>
    </format>
    <format dxfId="8312">
      <pivotArea dataOnly="0" labelOnly="1" outline="0" fieldPosition="0">
        <references count="2">
          <reference field="0" count="1" selected="0">
            <x v="459"/>
          </reference>
          <reference field="2" count="1">
            <x v="26"/>
          </reference>
        </references>
      </pivotArea>
    </format>
    <format dxfId="8311">
      <pivotArea dataOnly="0" labelOnly="1" outline="0" fieldPosition="0">
        <references count="2">
          <reference field="0" count="1" selected="0">
            <x v="226"/>
          </reference>
          <reference field="2" count="1">
            <x v="40"/>
          </reference>
        </references>
      </pivotArea>
    </format>
    <format dxfId="8310">
      <pivotArea dataOnly="0" labelOnly="1" outline="0" fieldPosition="0">
        <references count="2">
          <reference field="0" count="1" selected="0">
            <x v="97"/>
          </reference>
          <reference field="2" count="1">
            <x v="28"/>
          </reference>
        </references>
      </pivotArea>
    </format>
    <format dxfId="8309">
      <pivotArea dataOnly="0" labelOnly="1" outline="0" fieldPosition="0">
        <references count="2">
          <reference field="0" count="1" selected="0">
            <x v="98"/>
          </reference>
          <reference field="2" count="1">
            <x v="15"/>
          </reference>
        </references>
      </pivotArea>
    </format>
    <format dxfId="8308">
      <pivotArea dataOnly="0" labelOnly="1" outline="0" fieldPosition="0">
        <references count="2">
          <reference field="0" count="1" selected="0">
            <x v="323"/>
          </reference>
          <reference field="2" count="1">
            <x v="38"/>
          </reference>
        </references>
      </pivotArea>
    </format>
    <format dxfId="8307">
      <pivotArea dataOnly="0" labelOnly="1" outline="0" fieldPosition="0">
        <references count="2">
          <reference field="0" count="1" selected="0">
            <x v="478"/>
          </reference>
          <reference field="2" count="1">
            <x v="17"/>
          </reference>
        </references>
      </pivotArea>
    </format>
    <format dxfId="8306">
      <pivotArea dataOnly="0" labelOnly="1" outline="0" fieldPosition="0">
        <references count="2">
          <reference field="0" count="1" selected="0">
            <x v="307"/>
          </reference>
          <reference field="2" count="1">
            <x v="43"/>
          </reference>
        </references>
      </pivotArea>
    </format>
    <format dxfId="8305">
      <pivotArea dataOnly="0" labelOnly="1" outline="0" fieldPosition="0">
        <references count="2">
          <reference field="0" count="1" selected="0">
            <x v="416"/>
          </reference>
          <reference field="2" count="1">
            <x v="8"/>
          </reference>
        </references>
      </pivotArea>
    </format>
    <format dxfId="8304">
      <pivotArea dataOnly="0" labelOnly="1" outline="0" fieldPosition="0">
        <references count="2">
          <reference field="0" count="1" selected="0">
            <x v="481"/>
          </reference>
          <reference field="2" count="1">
            <x v="28"/>
          </reference>
        </references>
      </pivotArea>
    </format>
    <format dxfId="8303">
      <pivotArea dataOnly="0" labelOnly="1" outline="0" fieldPosition="0">
        <references count="2">
          <reference field="0" count="1" selected="0">
            <x v="327"/>
          </reference>
          <reference field="2" count="1">
            <x v="39"/>
          </reference>
        </references>
      </pivotArea>
    </format>
    <format dxfId="8302">
      <pivotArea dataOnly="0" labelOnly="1" outline="0" fieldPosition="0">
        <references count="2">
          <reference field="0" count="1" selected="0">
            <x v="603"/>
          </reference>
          <reference field="2" count="1">
            <x v="18"/>
          </reference>
        </references>
      </pivotArea>
    </format>
    <format dxfId="8301">
      <pivotArea dataOnly="0" labelOnly="1" outline="0" fieldPosition="0">
        <references count="2">
          <reference field="0" count="1" selected="0">
            <x v="546"/>
          </reference>
          <reference field="2" count="1">
            <x v="15"/>
          </reference>
        </references>
      </pivotArea>
    </format>
    <format dxfId="8300">
      <pivotArea dataOnly="0" labelOnly="1" outline="0" fieldPosition="0">
        <references count="2">
          <reference field="0" count="1" selected="0">
            <x v="324"/>
          </reference>
          <reference field="2" count="1">
            <x v="3"/>
          </reference>
        </references>
      </pivotArea>
    </format>
    <format dxfId="8299">
      <pivotArea dataOnly="0" labelOnly="1" outline="0" fieldPosition="0">
        <references count="2">
          <reference field="0" count="1" selected="0">
            <x v="450"/>
          </reference>
          <reference field="2" count="1">
            <x v="15"/>
          </reference>
        </references>
      </pivotArea>
    </format>
    <format dxfId="8298">
      <pivotArea dataOnly="0" labelOnly="1" outline="0" fieldPosition="0">
        <references count="2">
          <reference field="0" count="1" selected="0">
            <x v="557"/>
          </reference>
          <reference field="2" count="1">
            <x v="16"/>
          </reference>
        </references>
      </pivotArea>
    </format>
    <format dxfId="8297">
      <pivotArea dataOnly="0" labelOnly="1" outline="0" fieldPosition="0">
        <references count="2">
          <reference field="0" count="1" selected="0">
            <x v="312"/>
          </reference>
          <reference field="2" count="1">
            <x v="50"/>
          </reference>
        </references>
      </pivotArea>
    </format>
    <format dxfId="8296">
      <pivotArea dataOnly="0" labelOnly="1" outline="0" fieldPosition="0">
        <references count="2">
          <reference field="0" count="1" selected="0">
            <x v="574"/>
          </reference>
          <reference field="2" count="1">
            <x v="22"/>
          </reference>
        </references>
      </pivotArea>
    </format>
    <format dxfId="8295">
      <pivotArea dataOnly="0" labelOnly="1" outline="0" fieldPosition="0">
        <references count="2">
          <reference field="0" count="1" selected="0">
            <x v="519"/>
          </reference>
          <reference field="2" count="1">
            <x v="4"/>
          </reference>
        </references>
      </pivotArea>
    </format>
    <format dxfId="8294">
      <pivotArea dataOnly="0" labelOnly="1" outline="0" fieldPosition="0">
        <references count="2">
          <reference field="0" count="1" selected="0">
            <x v="446"/>
          </reference>
          <reference field="2" count="1">
            <x v="22"/>
          </reference>
        </references>
      </pivotArea>
    </format>
    <format dxfId="8293">
      <pivotArea dataOnly="0" labelOnly="1" outline="0" fieldPosition="0">
        <references count="2">
          <reference field="0" count="1" selected="0">
            <x v="419"/>
          </reference>
          <reference field="2" count="1">
            <x v="26"/>
          </reference>
        </references>
      </pivotArea>
    </format>
    <format dxfId="8292">
      <pivotArea dataOnly="0" labelOnly="1" outline="0" fieldPosition="0">
        <references count="2">
          <reference field="0" count="1" selected="0">
            <x v="600"/>
          </reference>
          <reference field="2" count="1">
            <x v="10"/>
          </reference>
        </references>
      </pivotArea>
    </format>
    <format dxfId="8291">
      <pivotArea dataOnly="0" labelOnly="1" outline="0" fieldPosition="0">
        <references count="2">
          <reference field="0" count="1" selected="0">
            <x v="474"/>
          </reference>
          <reference field="2" count="1">
            <x v="9"/>
          </reference>
        </references>
      </pivotArea>
    </format>
    <format dxfId="8290">
      <pivotArea dataOnly="0" labelOnly="1" outline="0" fieldPosition="0">
        <references count="2">
          <reference field="0" count="1" selected="0">
            <x v="380"/>
          </reference>
          <reference field="2" count="1">
            <x v="13"/>
          </reference>
        </references>
      </pivotArea>
    </format>
    <format dxfId="8289">
      <pivotArea dataOnly="0" labelOnly="1" outline="0" fieldPosition="0">
        <references count="2">
          <reference field="0" count="1" selected="0">
            <x v="310"/>
          </reference>
          <reference field="2" count="1">
            <x v="0"/>
          </reference>
        </references>
      </pivotArea>
    </format>
    <format dxfId="8288">
      <pivotArea dataOnly="0" labelOnly="1" outline="0" fieldPosition="0">
        <references count="2">
          <reference field="0" count="1" selected="0">
            <x v="38"/>
          </reference>
          <reference field="2" count="1">
            <x v="26"/>
          </reference>
        </references>
      </pivotArea>
    </format>
    <format dxfId="8287">
      <pivotArea dataOnly="0" labelOnly="1" outline="0" fieldPosition="0">
        <references count="2">
          <reference field="0" count="1" selected="0">
            <x v="95"/>
          </reference>
          <reference field="2" count="1">
            <x v="2"/>
          </reference>
        </references>
      </pivotArea>
    </format>
    <format dxfId="8286">
      <pivotArea dataOnly="0" labelOnly="1" outline="0" fieldPosition="0">
        <references count="2">
          <reference field="0" count="1" selected="0">
            <x v="174"/>
          </reference>
          <reference field="2" count="1">
            <x v="43"/>
          </reference>
        </references>
      </pivotArea>
    </format>
    <format dxfId="8285">
      <pivotArea dataOnly="0" labelOnly="1" outline="0" fieldPosition="0">
        <references count="2">
          <reference field="0" count="1" selected="0">
            <x v="166"/>
          </reference>
          <reference field="2" count="1">
            <x v="21"/>
          </reference>
        </references>
      </pivotArea>
    </format>
    <format dxfId="8284">
      <pivotArea dataOnly="0" labelOnly="1" outline="0" fieldPosition="0">
        <references count="2">
          <reference field="0" count="1" selected="0">
            <x v="41"/>
          </reference>
          <reference field="2" count="1">
            <x v="0"/>
          </reference>
        </references>
      </pivotArea>
    </format>
    <format dxfId="8283">
      <pivotArea dataOnly="0" labelOnly="1" outline="0" fieldPosition="0">
        <references count="2">
          <reference field="0" count="1" selected="0">
            <x v="126"/>
          </reference>
          <reference field="2" count="1">
            <x v="12"/>
          </reference>
        </references>
      </pivotArea>
    </format>
    <format dxfId="8282">
      <pivotArea dataOnly="0" labelOnly="1" outline="0" fieldPosition="0">
        <references count="2">
          <reference field="0" count="1" selected="0">
            <x v="252"/>
          </reference>
          <reference field="2" count="1">
            <x v="28"/>
          </reference>
        </references>
      </pivotArea>
    </format>
    <format dxfId="8281">
      <pivotArea dataOnly="0" labelOnly="1" outline="0" fieldPosition="0">
        <references count="2">
          <reference field="0" count="1" selected="0">
            <x v="267"/>
          </reference>
          <reference field="2" count="1">
            <x v="48"/>
          </reference>
        </references>
      </pivotArea>
    </format>
    <format dxfId="8280">
      <pivotArea dataOnly="0" labelOnly="1" outline="0" fieldPosition="0">
        <references count="2">
          <reference field="0" count="1" selected="0">
            <x v="6"/>
          </reference>
          <reference field="2" count="1">
            <x v="6"/>
          </reference>
        </references>
      </pivotArea>
    </format>
    <format dxfId="8279">
      <pivotArea dataOnly="0" labelOnly="1" outline="0" fieldPosition="0">
        <references count="2">
          <reference field="0" count="1" selected="0">
            <x v="110"/>
          </reference>
          <reference field="2" count="1">
            <x v="10"/>
          </reference>
        </references>
      </pivotArea>
    </format>
    <format dxfId="8278">
      <pivotArea dataOnly="0" labelOnly="1" outline="0" fieldPosition="0">
        <references count="2">
          <reference field="0" count="1" selected="0">
            <x v="163"/>
          </reference>
          <reference field="2" count="1">
            <x v="6"/>
          </reference>
        </references>
      </pivotArea>
    </format>
    <format dxfId="8277">
      <pivotArea dataOnly="0" labelOnly="1" outline="0" fieldPosition="0">
        <references count="2">
          <reference field="0" count="1" selected="0">
            <x v="18"/>
          </reference>
          <reference field="2" count="1">
            <x v="16"/>
          </reference>
        </references>
      </pivotArea>
    </format>
    <format dxfId="8276">
      <pivotArea dataOnly="0" labelOnly="1" outline="0" fieldPosition="0">
        <references count="2">
          <reference field="0" count="1" selected="0">
            <x v="288"/>
          </reference>
          <reference field="2" count="1">
            <x v="2"/>
          </reference>
        </references>
      </pivotArea>
    </format>
    <format dxfId="8275">
      <pivotArea dataOnly="0" labelOnly="1" outline="0" fieldPosition="0">
        <references count="2">
          <reference field="0" count="1" selected="0">
            <x v="55"/>
          </reference>
          <reference field="2" count="1">
            <x v="31"/>
          </reference>
        </references>
      </pivotArea>
    </format>
    <format dxfId="8274">
      <pivotArea dataOnly="0" labelOnly="1" outline="0" fieldPosition="0">
        <references count="2">
          <reference field="0" count="1" selected="0">
            <x v="74"/>
          </reference>
          <reference field="2" count="1">
            <x v="33"/>
          </reference>
        </references>
      </pivotArea>
    </format>
    <format dxfId="8273">
      <pivotArea dataOnly="0" labelOnly="1" outline="0" fieldPosition="0">
        <references count="2">
          <reference field="0" count="1" selected="0">
            <x v="246"/>
          </reference>
          <reference field="2" count="1">
            <x v="6"/>
          </reference>
        </references>
      </pivotArea>
    </format>
    <format dxfId="8272">
      <pivotArea dataOnly="0" labelOnly="1" outline="0" fieldPosition="0">
        <references count="2">
          <reference field="0" count="1" selected="0">
            <x v="155"/>
          </reference>
          <reference field="2" count="1">
            <x v="8"/>
          </reference>
        </references>
      </pivotArea>
    </format>
    <format dxfId="8271">
      <pivotArea dataOnly="0" labelOnly="1" outline="0" fieldPosition="0">
        <references count="2">
          <reference field="0" count="1" selected="0">
            <x v="120"/>
          </reference>
          <reference field="2" count="1">
            <x v="23"/>
          </reference>
        </references>
      </pivotArea>
    </format>
    <format dxfId="8270">
      <pivotArea dataOnly="0" labelOnly="1" outline="0" fieldPosition="0">
        <references count="2">
          <reference field="0" count="1" selected="0">
            <x v="188"/>
          </reference>
          <reference field="2" count="1">
            <x v="18"/>
          </reference>
        </references>
      </pivotArea>
    </format>
    <format dxfId="8269">
      <pivotArea dataOnly="0" labelOnly="1" outline="0" fieldPosition="0">
        <references count="2">
          <reference field="0" count="1" selected="0">
            <x v="441"/>
          </reference>
          <reference field="2" count="1">
            <x v="50"/>
          </reference>
        </references>
      </pivotArea>
    </format>
    <format dxfId="8268">
      <pivotArea dataOnly="0" labelOnly="1" outline="0" fieldPosition="0">
        <references count="2">
          <reference field="0" count="1" selected="0">
            <x v="426"/>
          </reference>
          <reference field="2" count="1">
            <x v="30"/>
          </reference>
        </references>
      </pivotArea>
    </format>
    <format dxfId="8267">
      <pivotArea dataOnly="0" labelOnly="1" outline="0" fieldPosition="0">
        <references count="2">
          <reference field="0" count="1" selected="0">
            <x v="499"/>
          </reference>
          <reference field="2" count="1">
            <x v="26"/>
          </reference>
        </references>
      </pivotArea>
    </format>
    <format dxfId="8266">
      <pivotArea dataOnly="0" labelOnly="1" outline="0" fieldPosition="0">
        <references count="2">
          <reference field="0" count="1" selected="0">
            <x v="403"/>
          </reference>
          <reference field="2" count="1">
            <x v="8"/>
          </reference>
        </references>
      </pivotArea>
    </format>
    <format dxfId="8265">
      <pivotArea dataOnly="0" labelOnly="1" outline="0" fieldPosition="0">
        <references count="2">
          <reference field="0" count="1" selected="0">
            <x v="303"/>
          </reference>
          <reference field="2" count="1">
            <x v="35"/>
          </reference>
        </references>
      </pivotArea>
    </format>
    <format dxfId="8264">
      <pivotArea dataOnly="0" labelOnly="1" outline="0" fieldPosition="0">
        <references count="2">
          <reference field="0" count="1" selected="0">
            <x v="234"/>
          </reference>
          <reference field="2" count="1">
            <x v="9"/>
          </reference>
        </references>
      </pivotArea>
    </format>
    <format dxfId="8263">
      <pivotArea dataOnly="0" labelOnly="1" outline="0" fieldPosition="0">
        <references count="2">
          <reference field="0" count="1" selected="0">
            <x v="448"/>
          </reference>
          <reference field="2" count="1">
            <x v="23"/>
          </reference>
        </references>
      </pivotArea>
    </format>
    <format dxfId="8262">
      <pivotArea dataOnly="0" labelOnly="1" outline="0" fieldPosition="0">
        <references count="2">
          <reference field="0" count="1" selected="0">
            <x v="530"/>
          </reference>
          <reference field="2" count="1">
            <x v="18"/>
          </reference>
        </references>
      </pivotArea>
    </format>
    <format dxfId="8261">
      <pivotArea dataOnly="0" labelOnly="1" outline="0" fieldPosition="0">
        <references count="2">
          <reference field="0" count="1" selected="0">
            <x v="342"/>
          </reference>
          <reference field="2" count="1">
            <x v="2"/>
          </reference>
        </references>
      </pivotArea>
    </format>
    <format dxfId="8260">
      <pivotArea dataOnly="0" labelOnly="1" outline="0" fieldPosition="0">
        <references count="2">
          <reference field="0" count="1" selected="0">
            <x v="501"/>
          </reference>
          <reference field="2" count="1">
            <x v="46"/>
          </reference>
        </references>
      </pivotArea>
    </format>
    <format dxfId="8259">
      <pivotArea dataOnly="0" labelOnly="1" outline="0" fieldPosition="0">
        <references count="2">
          <reference field="0" count="1" selected="0">
            <x v="541"/>
          </reference>
          <reference field="2" count="1">
            <x v="18"/>
          </reference>
        </references>
      </pivotArea>
    </format>
    <format dxfId="8258">
      <pivotArea dataOnly="0" labelOnly="1" outline="0" fieldPosition="0">
        <references count="2">
          <reference field="0" count="1" selected="0">
            <x v="412"/>
          </reference>
          <reference field="2" count="1">
            <x v="17"/>
          </reference>
        </references>
      </pivotArea>
    </format>
    <format dxfId="8257">
      <pivotArea dataOnly="0" labelOnly="1" outline="0" fieldPosition="0">
        <references count="2">
          <reference field="0" count="1" selected="0">
            <x v="586"/>
          </reference>
          <reference field="2" count="1">
            <x v="37"/>
          </reference>
        </references>
      </pivotArea>
    </format>
    <format dxfId="8256">
      <pivotArea dataOnly="0" labelOnly="1" outline="0" fieldPosition="0">
        <references count="2">
          <reference field="0" count="1" selected="0">
            <x v="469"/>
          </reference>
          <reference field="2" count="1">
            <x v="20"/>
          </reference>
        </references>
      </pivotArea>
    </format>
    <format dxfId="8255">
      <pivotArea dataOnly="0" labelOnly="1" outline="0" fieldPosition="0">
        <references count="2">
          <reference field="0" count="1" selected="0">
            <x v="604"/>
          </reference>
          <reference field="2" count="1">
            <x v="31"/>
          </reference>
        </references>
      </pivotArea>
    </format>
    <format dxfId="8254">
      <pivotArea dataOnly="0" labelOnly="1" outline="0" fieldPosition="0">
        <references count="2">
          <reference field="0" count="1" selected="0">
            <x v="489"/>
          </reference>
          <reference field="2" count="1">
            <x v="16"/>
          </reference>
        </references>
      </pivotArea>
    </format>
    <format dxfId="8253">
      <pivotArea dataOnly="0" labelOnly="1" outline="0" fieldPosition="0">
        <references count="2">
          <reference field="0" count="1" selected="0">
            <x v="498"/>
          </reference>
          <reference field="2" count="1">
            <x v="36"/>
          </reference>
        </references>
      </pivotArea>
    </format>
    <format dxfId="8252">
      <pivotArea dataOnly="0" labelOnly="1" outline="0" fieldPosition="0">
        <references count="2">
          <reference field="0" count="1" selected="0">
            <x v="4"/>
          </reference>
          <reference field="2" count="1">
            <x v="4"/>
          </reference>
        </references>
      </pivotArea>
    </format>
    <format dxfId="8251">
      <pivotArea dataOnly="0" labelOnly="1" outline="0" fieldPosition="0">
        <references count="2">
          <reference field="0" count="1" selected="0">
            <x v="94"/>
          </reference>
          <reference field="2" count="1">
            <x v="41"/>
          </reference>
        </references>
      </pivotArea>
    </format>
    <format dxfId="8250">
      <pivotArea dataOnly="0" labelOnly="1" outline="0" fieldPosition="0">
        <references count="2">
          <reference field="0" count="1" selected="0">
            <x v="161"/>
          </reference>
          <reference field="2" count="1">
            <x v="35"/>
          </reference>
        </references>
      </pivotArea>
    </format>
    <format dxfId="8249">
      <pivotArea dataOnly="0" labelOnly="1" outline="0" fieldPosition="0">
        <references count="2">
          <reference field="0" count="1" selected="0">
            <x v="172"/>
          </reference>
          <reference field="2" count="1">
            <x v="33"/>
          </reference>
        </references>
      </pivotArea>
    </format>
    <format dxfId="8248">
      <pivotArea dataOnly="0" labelOnly="1" outline="0" fieldPosition="0">
        <references count="2">
          <reference field="0" count="1" selected="0">
            <x v="220"/>
          </reference>
          <reference field="2" count="1">
            <x v="8"/>
          </reference>
        </references>
      </pivotArea>
    </format>
    <format dxfId="8247">
      <pivotArea dataOnly="0" labelOnly="1" outline="0" fieldPosition="0">
        <references count="2">
          <reference field="0" count="1" selected="0">
            <x v="173"/>
          </reference>
          <reference field="2" count="1">
            <x v="4"/>
          </reference>
        </references>
      </pivotArea>
    </format>
    <format dxfId="8246">
      <pivotArea dataOnly="0" labelOnly="1" outline="0" fieldPosition="0">
        <references count="2">
          <reference field="0" count="1" selected="0">
            <x v="271"/>
          </reference>
          <reference field="2" count="1">
            <x v="1"/>
          </reference>
        </references>
      </pivotArea>
    </format>
    <format dxfId="8245">
      <pivotArea dataOnly="0" labelOnly="1" outline="0" fieldPosition="0">
        <references count="2">
          <reference field="0" count="1" selected="0">
            <x v="186"/>
          </reference>
          <reference field="2" count="1">
            <x v="21"/>
          </reference>
        </references>
      </pivotArea>
    </format>
    <format dxfId="8244">
      <pivotArea dataOnly="0" labelOnly="1" outline="0" fieldPosition="0">
        <references count="2">
          <reference field="0" count="1" selected="0">
            <x v="256"/>
          </reference>
          <reference field="2" count="1">
            <x v="15"/>
          </reference>
        </references>
      </pivotArea>
    </format>
    <format dxfId="8243">
      <pivotArea dataOnly="0" labelOnly="1" outline="0" fieldPosition="0">
        <references count="2">
          <reference field="0" count="1" selected="0">
            <x v="203"/>
          </reference>
          <reference field="2" count="1">
            <x v="37"/>
          </reference>
        </references>
      </pivotArea>
    </format>
    <format dxfId="8242">
      <pivotArea dataOnly="0" labelOnly="1" outline="0" fieldPosition="0">
        <references count="2">
          <reference field="0" count="1" selected="0">
            <x v="264"/>
          </reference>
          <reference field="2" count="1">
            <x v="36"/>
          </reference>
        </references>
      </pivotArea>
    </format>
    <format dxfId="8241">
      <pivotArea dataOnly="0" labelOnly="1" outline="0" fieldPosition="0">
        <references count="2">
          <reference field="0" count="1" selected="0">
            <x v="484"/>
          </reference>
          <reference field="2" count="1">
            <x v="20"/>
          </reference>
        </references>
      </pivotArea>
    </format>
    <format dxfId="8240">
      <pivotArea dataOnly="0" labelOnly="1" outline="0" fieldPosition="0">
        <references count="2">
          <reference field="0" count="1" selected="0">
            <x v="537"/>
          </reference>
          <reference field="2" count="1">
            <x v="11"/>
          </reference>
        </references>
      </pivotArea>
    </format>
    <format dxfId="8239">
      <pivotArea dataOnly="0" labelOnly="1" outline="0" fieldPosition="0">
        <references count="2">
          <reference field="0" count="1" selected="0">
            <x v="82"/>
          </reference>
          <reference field="2" count="1">
            <x v="20"/>
          </reference>
        </references>
      </pivotArea>
    </format>
    <format dxfId="8238">
      <pivotArea dataOnly="0" labelOnly="1" outline="0" fieldPosition="0">
        <references count="2">
          <reference field="0" count="1" selected="0">
            <x v="198"/>
          </reference>
          <reference field="2" count="1">
            <x v="8"/>
          </reference>
        </references>
      </pivotArea>
    </format>
    <format dxfId="8237">
      <pivotArea dataOnly="0" labelOnly="1" outline="0" fieldPosition="0">
        <references count="2">
          <reference field="0" count="1" selected="0">
            <x v="463"/>
          </reference>
          <reference field="2" count="1">
            <x v="5"/>
          </reference>
        </references>
      </pivotArea>
    </format>
    <format dxfId="8236">
      <pivotArea dataOnly="0" labelOnly="1" outline="0" fieldPosition="0">
        <references count="2">
          <reference field="0" count="1" selected="0">
            <x v="385"/>
          </reference>
          <reference field="2" count="1">
            <x v="31"/>
          </reference>
        </references>
      </pivotArea>
    </format>
    <format dxfId="8235">
      <pivotArea dataOnly="0" labelOnly="1" outline="0" fieldPosition="0">
        <references count="2">
          <reference field="0" count="1" selected="0">
            <x v="492"/>
          </reference>
          <reference field="2" count="1">
            <x v="36"/>
          </reference>
        </references>
      </pivotArea>
    </format>
    <format dxfId="8234">
      <pivotArea dataOnly="0" labelOnly="1" outline="0" fieldPosition="0">
        <references count="2">
          <reference field="0" count="1" selected="0">
            <x v="494"/>
          </reference>
          <reference field="2" count="1">
            <x v="2"/>
          </reference>
        </references>
      </pivotArea>
    </format>
    <format dxfId="8233">
      <pivotArea dataOnly="0" labelOnly="1" outline="0" fieldPosition="0">
        <references count="2">
          <reference field="0" count="1" selected="0">
            <x v="549"/>
          </reference>
          <reference field="2" count="1">
            <x v="49"/>
          </reference>
        </references>
      </pivotArea>
    </format>
    <format dxfId="8232">
      <pivotArea dataOnly="0" labelOnly="1" outline="0" fieldPosition="0">
        <references count="2">
          <reference field="0" count="1" selected="0">
            <x v="464"/>
          </reference>
          <reference field="2" count="1">
            <x v="37"/>
          </reference>
        </references>
      </pivotArea>
    </format>
    <format dxfId="8231">
      <pivotArea dataOnly="0" labelOnly="1" outline="0" fieldPosition="0">
        <references count="2">
          <reference field="0" count="1" selected="0">
            <x v="393"/>
          </reference>
          <reference field="2" count="1">
            <x v="50"/>
          </reference>
        </references>
      </pivotArea>
    </format>
    <format dxfId="8230">
      <pivotArea dataOnly="0" labelOnly="1" outline="0" fieldPosition="0">
        <references count="2">
          <reference field="0" count="1" selected="0">
            <x v="359"/>
          </reference>
          <reference field="2" count="1">
            <x v="10"/>
          </reference>
        </references>
      </pivotArea>
    </format>
    <format dxfId="8229">
      <pivotArea dataOnly="0" labelOnly="1" outline="0" fieldPosition="0">
        <references count="2">
          <reference field="0" count="1" selected="0">
            <x v="428"/>
          </reference>
          <reference field="2" count="1">
            <x v="1"/>
          </reference>
        </references>
      </pivotArea>
    </format>
    <format dxfId="8228">
      <pivotArea dataOnly="0" labelOnly="1" outline="0" fieldPosition="0">
        <references count="2">
          <reference field="0" count="1" selected="0">
            <x v="471"/>
          </reference>
          <reference field="2" count="1">
            <x v="43"/>
          </reference>
        </references>
      </pivotArea>
    </format>
    <format dxfId="8227">
      <pivotArea dataOnly="0" labelOnly="1" outline="0" fieldPosition="0">
        <references count="2">
          <reference field="0" count="1" selected="0">
            <x v="538"/>
          </reference>
          <reference field="2" count="1">
            <x v="48"/>
          </reference>
        </references>
      </pivotArea>
    </format>
    <format dxfId="8226">
      <pivotArea dataOnly="0" labelOnly="1" outline="0" fieldPosition="0">
        <references count="2">
          <reference field="0" count="1" selected="0">
            <x v="505"/>
          </reference>
          <reference field="2" count="1">
            <x v="16"/>
          </reference>
        </references>
      </pivotArea>
    </format>
    <format dxfId="8225">
      <pivotArea dataOnly="0" labelOnly="1" outline="0" fieldPosition="0">
        <references count="2">
          <reference field="0" count="1" selected="0">
            <x v="432"/>
          </reference>
          <reference field="2" count="1">
            <x v="49"/>
          </reference>
        </references>
      </pivotArea>
    </format>
    <format dxfId="8224">
      <pivotArea dataOnly="0" labelOnly="1" outline="0" fieldPosition="0">
        <references count="2">
          <reference field="0" count="1" selected="0">
            <x v="477"/>
          </reference>
          <reference field="2" count="1">
            <x v="35"/>
          </reference>
        </references>
      </pivotArea>
    </format>
    <format dxfId="8223">
      <pivotArea dataOnly="0" labelOnly="1" outline="0" fieldPosition="0">
        <references count="2">
          <reference field="0" count="1" selected="0">
            <x v="554"/>
          </reference>
          <reference field="2" count="1">
            <x v="4"/>
          </reference>
        </references>
      </pivotArea>
    </format>
    <format dxfId="8222">
      <pivotArea dataOnly="0" labelOnly="1" outline="0" fieldPosition="0">
        <references count="2">
          <reference field="0" count="1" selected="0">
            <x v="322"/>
          </reference>
          <reference field="2" count="1">
            <x v="47"/>
          </reference>
        </references>
      </pivotArea>
    </format>
    <format dxfId="8221">
      <pivotArea dataOnly="0" labelOnly="1" outline="0" fieldPosition="0">
        <references count="2">
          <reference field="0" count="1" selected="0">
            <x v="388"/>
          </reference>
          <reference field="2" count="1">
            <x v="37"/>
          </reference>
        </references>
      </pivotArea>
    </format>
    <format dxfId="8220">
      <pivotArea dataOnly="0" labelOnly="1" outline="0" fieldPosition="0">
        <references count="2">
          <reference field="0" count="1" selected="0">
            <x v="320"/>
          </reference>
          <reference field="2" count="1">
            <x v="6"/>
          </reference>
        </references>
      </pivotArea>
    </format>
    <format dxfId="8219">
      <pivotArea dataOnly="0" labelOnly="1" outline="0" fieldPosition="0">
        <references count="2">
          <reference field="0" count="1" selected="0">
            <x v="485"/>
          </reference>
          <reference field="2" count="1">
            <x v="17"/>
          </reference>
        </references>
      </pivotArea>
    </format>
    <format dxfId="8218">
      <pivotArea dataOnly="0" labelOnly="1" outline="0" fieldPosition="0">
        <references count="2">
          <reference field="0" count="1" selected="0">
            <x v="377"/>
          </reference>
          <reference field="2" count="1">
            <x v="22"/>
          </reference>
        </references>
      </pivotArea>
    </format>
    <format dxfId="8217">
      <pivotArea dataOnly="0" labelOnly="1" outline="0" fieldPosition="0">
        <references count="2">
          <reference field="0" count="1" selected="0">
            <x v="354"/>
          </reference>
          <reference field="2" count="1">
            <x v="14"/>
          </reference>
        </references>
      </pivotArea>
    </format>
    <format dxfId="8216">
      <pivotArea dataOnly="0" labelOnly="1" outline="0" fieldPosition="0">
        <references count="2">
          <reference field="0" count="1" selected="0">
            <x v="522"/>
          </reference>
          <reference field="2" count="1">
            <x v="26"/>
          </reference>
        </references>
      </pivotArea>
    </format>
    <format dxfId="8215">
      <pivotArea dataOnly="0" labelOnly="1" outline="0" fieldPosition="0">
        <references count="2">
          <reference field="0" count="1" selected="0">
            <x v="139"/>
          </reference>
          <reference field="2" count="1">
            <x v="9"/>
          </reference>
        </references>
      </pivotArea>
    </format>
    <format dxfId="8214">
      <pivotArea dataOnly="0" labelOnly="1" outline="0" fieldPosition="0">
        <references count="2">
          <reference field="0" count="1" selected="0">
            <x v="135"/>
          </reference>
          <reference field="2" count="1">
            <x v="33"/>
          </reference>
        </references>
      </pivotArea>
    </format>
    <format dxfId="8213">
      <pivotArea dataOnly="0" labelOnly="1" outline="0" fieldPosition="0">
        <references count="2">
          <reference field="0" count="1" selected="0">
            <x v="59"/>
          </reference>
          <reference field="2" count="1">
            <x v="20"/>
          </reference>
        </references>
      </pivotArea>
    </format>
    <format dxfId="8212">
      <pivotArea dataOnly="0" labelOnly="1" outline="0" fieldPosition="0">
        <references count="2">
          <reference field="0" count="1" selected="0">
            <x v="47"/>
          </reference>
          <reference field="2" count="1">
            <x v="3"/>
          </reference>
        </references>
      </pivotArea>
    </format>
    <format dxfId="8211">
      <pivotArea dataOnly="0" labelOnly="1" outline="0" fieldPosition="0">
        <references count="2">
          <reference field="0" count="1" selected="0">
            <x v="13"/>
          </reference>
          <reference field="2" count="1">
            <x v="12"/>
          </reference>
        </references>
      </pivotArea>
    </format>
    <format dxfId="8210">
      <pivotArea dataOnly="0" labelOnly="1" outline="0" fieldPosition="0">
        <references count="2">
          <reference field="0" count="1" selected="0">
            <x v="189"/>
          </reference>
          <reference field="2" count="1">
            <x v="39"/>
          </reference>
        </references>
      </pivotArea>
    </format>
    <format dxfId="8209">
      <pivotArea dataOnly="0" labelOnly="1" outline="0" fieldPosition="0">
        <references count="2">
          <reference field="0" count="1" selected="0">
            <x v="258"/>
          </reference>
          <reference field="2" count="1">
            <x v="1"/>
          </reference>
        </references>
      </pivotArea>
    </format>
    <format dxfId="8208">
      <pivotArea dataOnly="0" labelOnly="1" outline="0" fieldPosition="0">
        <references count="2">
          <reference field="0" count="1" selected="0">
            <x v="265"/>
          </reference>
          <reference field="2" count="1">
            <x v="9"/>
          </reference>
        </references>
      </pivotArea>
    </format>
    <format dxfId="8207">
      <pivotArea dataOnly="0" labelOnly="1" outline="0" fieldPosition="0">
        <references count="2">
          <reference field="0" count="1" selected="0">
            <x v="204"/>
          </reference>
          <reference field="2" count="1">
            <x v="32"/>
          </reference>
        </references>
      </pivotArea>
    </format>
    <format dxfId="8206">
      <pivotArea dataOnly="0" labelOnly="1" outline="0" fieldPosition="0">
        <references count="2">
          <reference field="0" count="1" selected="0">
            <x v="115"/>
          </reference>
          <reference field="2" count="1">
            <x v="37"/>
          </reference>
        </references>
      </pivotArea>
    </format>
    <format dxfId="8205">
      <pivotArea dataOnly="0" labelOnly="1" outline="0" fieldPosition="0">
        <references count="2">
          <reference field="0" count="1" selected="0">
            <x v="248"/>
          </reference>
          <reference field="2" count="1">
            <x v="33"/>
          </reference>
        </references>
      </pivotArea>
    </format>
    <format dxfId="8204">
      <pivotArea dataOnly="0" labelOnly="1" outline="0" fieldPosition="0">
        <references count="2">
          <reference field="0" count="1" selected="0">
            <x v="281"/>
          </reference>
          <reference field="2" count="1">
            <x v="24"/>
          </reference>
        </references>
      </pivotArea>
    </format>
    <format dxfId="8203">
      <pivotArea dataOnly="0" labelOnly="1" outline="0" fieldPosition="0">
        <references count="2">
          <reference field="0" count="1" selected="0">
            <x v="137"/>
          </reference>
          <reference field="2" count="1">
            <x v="47"/>
          </reference>
        </references>
      </pivotArea>
    </format>
    <format dxfId="8202">
      <pivotArea dataOnly="0" labelOnly="1" outline="0" fieldPosition="0">
        <references count="2">
          <reference field="0" count="1" selected="0">
            <x v="0"/>
          </reference>
          <reference field="2" count="1">
            <x v="0"/>
          </reference>
        </references>
      </pivotArea>
    </format>
    <format dxfId="8201">
      <pivotArea dataOnly="0" labelOnly="1" outline="0" fieldPosition="0">
        <references count="2">
          <reference field="0" count="1" selected="0">
            <x v="91"/>
          </reference>
          <reference field="2" count="1">
            <x v="27"/>
          </reference>
        </references>
      </pivotArea>
    </format>
    <format dxfId="8200">
      <pivotArea dataOnly="0" labelOnly="1" outline="0" fieldPosition="0">
        <references count="2">
          <reference field="0" count="1" selected="0">
            <x v="179"/>
          </reference>
          <reference field="2" count="1">
            <x v="29"/>
          </reference>
        </references>
      </pivotArea>
    </format>
    <format dxfId="8199">
      <pivotArea dataOnly="0" labelOnly="1" outline="0" fieldPosition="0">
        <references count="2">
          <reference field="0" count="1" selected="0">
            <x v="181"/>
          </reference>
          <reference field="2" count="1">
            <x v="8"/>
          </reference>
        </references>
      </pivotArea>
    </format>
    <format dxfId="8198">
      <pivotArea dataOnly="0" labelOnly="1" outline="0" fieldPosition="0">
        <references count="2">
          <reference field="0" count="1" selected="0">
            <x v="294"/>
          </reference>
          <reference field="2" count="1">
            <x v="24"/>
          </reference>
        </references>
      </pivotArea>
    </format>
    <format dxfId="8197">
      <pivotArea dataOnly="0" labelOnly="1" outline="0" fieldPosition="0">
        <references count="2">
          <reference field="0" count="1" selected="0">
            <x v="228"/>
          </reference>
          <reference field="2" count="1">
            <x v="38"/>
          </reference>
        </references>
      </pivotArea>
    </format>
    <format dxfId="8196">
      <pivotArea dataOnly="0" labelOnly="1" outline="0" fieldPosition="0">
        <references count="2">
          <reference field="0" count="1" selected="0">
            <x v="147"/>
          </reference>
          <reference field="2" count="1">
            <x v="32"/>
          </reference>
        </references>
      </pivotArea>
    </format>
    <format dxfId="8195">
      <pivotArea dataOnly="0" labelOnly="1" outline="0" fieldPosition="0">
        <references count="2">
          <reference field="0" count="1" selected="0">
            <x v="29"/>
          </reference>
          <reference field="2" count="1">
            <x v="23"/>
          </reference>
        </references>
      </pivotArea>
    </format>
    <format dxfId="8194">
      <pivotArea dataOnly="0" labelOnly="1" outline="0" fieldPosition="0">
        <references count="2">
          <reference field="0" count="1" selected="0">
            <x v="67"/>
          </reference>
          <reference field="2" count="1">
            <x v="5"/>
          </reference>
        </references>
      </pivotArea>
    </format>
    <format dxfId="8193">
      <pivotArea dataOnly="0" labelOnly="1" outline="0" fieldPosition="0">
        <references count="2">
          <reference field="0" count="1" selected="0">
            <x v="127"/>
          </reference>
          <reference field="2" count="1">
            <x v="32"/>
          </reference>
        </references>
      </pivotArea>
    </format>
    <format dxfId="8192">
      <pivotArea dataOnly="0" labelOnly="1" outline="0" fieldPosition="0">
        <references count="2">
          <reference field="0" count="1" selected="0">
            <x v="68"/>
          </reference>
          <reference field="2" count="1">
            <x v="34"/>
          </reference>
        </references>
      </pivotArea>
    </format>
    <format dxfId="8191">
      <pivotArea dataOnly="0" labelOnly="1" outline="0" fieldPosition="0">
        <references count="2">
          <reference field="0" count="1" selected="0">
            <x v="107"/>
          </reference>
          <reference field="2" count="1">
            <x v="10"/>
          </reference>
        </references>
      </pivotArea>
    </format>
    <format dxfId="8190">
      <pivotArea dataOnly="0" labelOnly="1" outline="0" fieldPosition="0">
        <references count="2">
          <reference field="0" count="1" selected="0">
            <x v="32"/>
          </reference>
          <reference field="2" count="1">
            <x v="23"/>
          </reference>
        </references>
      </pivotArea>
    </format>
    <format dxfId="8189">
      <pivotArea dataOnly="0" labelOnly="1" outline="0" fieldPosition="0">
        <references count="2">
          <reference field="0" count="1" selected="0">
            <x v="130"/>
          </reference>
          <reference field="2" count="1">
            <x v="7"/>
          </reference>
        </references>
      </pivotArea>
    </format>
    <format dxfId="8188">
      <pivotArea dataOnly="0" labelOnly="1" outline="0" fieldPosition="0">
        <references count="2">
          <reference field="0" count="1" selected="0">
            <x v="165"/>
          </reference>
          <reference field="2" count="1">
            <x v="31"/>
          </reference>
        </references>
      </pivotArea>
    </format>
    <format dxfId="8187">
      <pivotArea dataOnly="0" labelOnly="1" outline="0" fieldPosition="0">
        <references count="2">
          <reference field="0" count="1" selected="0">
            <x v="25"/>
          </reference>
          <reference field="2" count="1">
            <x v="19"/>
          </reference>
        </references>
      </pivotArea>
    </format>
    <format dxfId="8186">
      <pivotArea dataOnly="0" labelOnly="1" outline="0" fieldPosition="0">
        <references count="2">
          <reference field="0" count="1" selected="0">
            <x v="576"/>
          </reference>
          <reference field="2" count="1">
            <x v="39"/>
          </reference>
        </references>
      </pivotArea>
    </format>
    <format dxfId="8185">
      <pivotArea dataOnly="0" labelOnly="1" outline="0" fieldPosition="0">
        <references count="2">
          <reference field="0" count="1" selected="0">
            <x v="606"/>
          </reference>
          <reference field="2" count="1">
            <x v="10"/>
          </reference>
        </references>
      </pivotArea>
    </format>
    <format dxfId="8184">
      <pivotArea dataOnly="0" labelOnly="1" outline="0" fieldPosition="0">
        <references count="2">
          <reference field="0" count="1" selected="0">
            <x v="439"/>
          </reference>
          <reference field="2" count="1">
            <x v="46"/>
          </reference>
        </references>
      </pivotArea>
    </format>
    <format dxfId="8183">
      <pivotArea dataOnly="0" labelOnly="1" outline="0" fieldPosition="0">
        <references count="2">
          <reference field="0" count="1" selected="0">
            <x v="520"/>
          </reference>
          <reference field="2" count="1">
            <x v="43"/>
          </reference>
        </references>
      </pivotArea>
    </format>
    <format dxfId="8182">
      <pivotArea dataOnly="0" labelOnly="1" outline="0" fieldPosition="0">
        <references count="2">
          <reference field="0" count="1" selected="0">
            <x v="88"/>
          </reference>
          <reference field="2" count="1">
            <x v="38"/>
          </reference>
        </references>
      </pivotArea>
    </format>
    <format dxfId="8181">
      <pivotArea dataOnly="0" labelOnly="1" outline="0" fieldPosition="0">
        <references count="2">
          <reference field="0" count="1" selected="0">
            <x v="231"/>
          </reference>
          <reference field="2" count="1">
            <x v="22"/>
          </reference>
        </references>
      </pivotArea>
    </format>
    <format dxfId="8180">
      <pivotArea dataOnly="0" labelOnly="1" outline="0" fieldPosition="0">
        <references count="2">
          <reference field="0" count="1" selected="0">
            <x v="250"/>
          </reference>
          <reference field="2" count="1">
            <x v="34"/>
          </reference>
        </references>
      </pivotArea>
    </format>
    <format dxfId="8179">
      <pivotArea dataOnly="0" labelOnly="1" outline="0" fieldPosition="0">
        <references count="2">
          <reference field="0" count="1" selected="0">
            <x v="268"/>
          </reference>
          <reference field="2" count="1">
            <x v="37"/>
          </reference>
        </references>
      </pivotArea>
    </format>
    <format dxfId="8178">
      <pivotArea dataOnly="0" labelOnly="1" outline="0" fieldPosition="0">
        <references count="2">
          <reference field="0" count="1" selected="0">
            <x v="19"/>
          </reference>
          <reference field="2" count="1">
            <x v="17"/>
          </reference>
        </references>
      </pivotArea>
    </format>
    <format dxfId="8177">
      <pivotArea dataOnly="0" labelOnly="1" outline="0" fieldPosition="0">
        <references count="2">
          <reference field="0" count="1" selected="0">
            <x v="313"/>
          </reference>
          <reference field="2" count="1">
            <x v="14"/>
          </reference>
        </references>
      </pivotArea>
    </format>
    <format dxfId="8176">
      <pivotArea dataOnly="0" labelOnly="1" outline="0" fieldPosition="0">
        <references count="2">
          <reference field="0" count="1" selected="0">
            <x v="533"/>
          </reference>
          <reference field="2" count="1">
            <x v="27"/>
          </reference>
        </references>
      </pivotArea>
    </format>
    <format dxfId="8175">
      <pivotArea dataOnly="0" labelOnly="1" outline="0" fieldPosition="0">
        <references count="2">
          <reference field="0" count="1" selected="0">
            <x v="386"/>
          </reference>
          <reference field="2" count="1">
            <x v="37"/>
          </reference>
        </references>
      </pivotArea>
    </format>
    <format dxfId="8174">
      <pivotArea dataOnly="0" labelOnly="1" outline="0" fieldPosition="0">
        <references count="2">
          <reference field="0" count="1" selected="0">
            <x v="411"/>
          </reference>
          <reference field="2" count="1">
            <x v="12"/>
          </reference>
        </references>
      </pivotArea>
    </format>
    <format dxfId="8173">
      <pivotArea dataOnly="0" labelOnly="1" outline="0" fieldPosition="0">
        <references count="2">
          <reference field="0" count="1" selected="0">
            <x v="325"/>
          </reference>
          <reference field="2" count="1">
            <x v="6"/>
          </reference>
        </references>
      </pivotArea>
    </format>
    <format dxfId="8172">
      <pivotArea dataOnly="0" labelOnly="1" outline="0" fieldPosition="0">
        <references count="2">
          <reference field="0" count="1" selected="0">
            <x v="525"/>
          </reference>
          <reference field="2" count="1">
            <x v="28"/>
          </reference>
        </references>
      </pivotArea>
    </format>
    <format dxfId="8171">
      <pivotArea dataOnly="0" labelOnly="1" outline="0" fieldPosition="0">
        <references count="2">
          <reference field="0" count="1" selected="0">
            <x v="330"/>
          </reference>
          <reference field="2" count="1">
            <x v="32"/>
          </reference>
        </references>
      </pivotArea>
    </format>
    <format dxfId="8170">
      <pivotArea dataOnly="0" labelOnly="1" outline="0" fieldPosition="0">
        <references count="2">
          <reference field="0" count="1" selected="0">
            <x v="399"/>
          </reference>
          <reference field="2" count="1">
            <x v="0"/>
          </reference>
        </references>
      </pivotArea>
    </format>
    <format dxfId="8169">
      <pivotArea dataOnly="0" labelOnly="1" outline="0" fieldPosition="0">
        <references count="2">
          <reference field="0" count="1" selected="0">
            <x v="556"/>
          </reference>
          <reference field="2" count="1">
            <x v="29"/>
          </reference>
        </references>
      </pivotArea>
    </format>
    <format dxfId="8168">
      <pivotArea dataOnly="0" labelOnly="1" outline="0" fieldPosition="0">
        <references count="2">
          <reference field="0" count="1" selected="0">
            <x v="112"/>
          </reference>
          <reference field="2" count="1">
            <x v="43"/>
          </reference>
        </references>
      </pivotArea>
    </format>
    <format dxfId="8167">
      <pivotArea dataOnly="0" labelOnly="1" outline="0" fieldPosition="0">
        <references count="2">
          <reference field="0" count="1" selected="0">
            <x v="60"/>
          </reference>
          <reference field="2" count="1">
            <x v="20"/>
          </reference>
        </references>
      </pivotArea>
    </format>
    <format dxfId="8166">
      <pivotArea dataOnly="0" labelOnly="1" outline="0" fieldPosition="0">
        <references count="2">
          <reference field="0" count="1" selected="0">
            <x v="259"/>
          </reference>
          <reference field="2" count="1">
            <x v="26"/>
          </reference>
        </references>
      </pivotArea>
    </format>
    <format dxfId="8165">
      <pivotArea dataOnly="0" labelOnly="1" outline="0" fieldPosition="0">
        <references count="2">
          <reference field="0" count="1" selected="0">
            <x v="26"/>
          </reference>
          <reference field="2" count="1">
            <x v="20"/>
          </reference>
        </references>
      </pivotArea>
    </format>
    <format dxfId="8164">
      <pivotArea dataOnly="0" labelOnly="1" outline="0" fieldPosition="0">
        <references count="2">
          <reference field="0" count="1" selected="0">
            <x v="72"/>
          </reference>
          <reference field="2" count="1">
            <x v="8"/>
          </reference>
        </references>
      </pivotArea>
    </format>
    <format dxfId="8163">
      <pivotArea dataOnly="0" labelOnly="1" outline="0" fieldPosition="0">
        <references count="2">
          <reference field="0" count="1" selected="0">
            <x v="129"/>
          </reference>
          <reference field="2" count="1">
            <x v="4"/>
          </reference>
        </references>
      </pivotArea>
    </format>
    <format dxfId="8162">
      <pivotArea dataOnly="0" labelOnly="1" outline="0" fieldPosition="0">
        <references count="2">
          <reference field="0" count="1" selected="0">
            <x v="43"/>
          </reference>
          <reference field="2" count="1">
            <x v="18"/>
          </reference>
        </references>
      </pivotArea>
    </format>
    <format dxfId="8161">
      <pivotArea dataOnly="0" labelOnly="1" outline="0" fieldPosition="0">
        <references count="2">
          <reference field="0" count="1" selected="0">
            <x v="69"/>
          </reference>
          <reference field="2" count="1">
            <x v="14"/>
          </reference>
        </references>
      </pivotArea>
    </format>
    <format dxfId="8160">
      <pivotArea dataOnly="0" labelOnly="1" outline="0" fieldPosition="0">
        <references count="2">
          <reference field="0" count="1" selected="0">
            <x v="132"/>
          </reference>
          <reference field="2" count="1">
            <x v="45"/>
          </reference>
        </references>
      </pivotArea>
    </format>
    <format dxfId="8159">
      <pivotArea dataOnly="0" labelOnly="1" outline="0" fieldPosition="0">
        <references count="2">
          <reference field="0" count="1" selected="0">
            <x v="483"/>
          </reference>
          <reference field="2" count="1">
            <x v="4"/>
          </reference>
        </references>
      </pivotArea>
    </format>
    <format dxfId="8158">
      <pivotArea dataOnly="0" labelOnly="1" outline="0" fieldPosition="0">
        <references count="2">
          <reference field="0" count="1" selected="0">
            <x v="390"/>
          </reference>
          <reference field="2" count="1">
            <x v="42"/>
          </reference>
        </references>
      </pivotArea>
    </format>
    <format dxfId="8157">
      <pivotArea dataOnly="0" labelOnly="1" outline="0" fieldPosition="0">
        <references count="2">
          <reference field="0" count="1" selected="0">
            <x v="539"/>
          </reference>
          <reference field="2" count="1">
            <x v="43"/>
          </reference>
        </references>
      </pivotArea>
    </format>
    <format dxfId="8156">
      <pivotArea dataOnly="0" labelOnly="1" outline="0" fieldPosition="0">
        <references count="2">
          <reference field="0" count="1" selected="0">
            <x v="424"/>
          </reference>
          <reference field="2" count="1">
            <x v="40"/>
          </reference>
        </references>
      </pivotArea>
    </format>
    <format dxfId="8155">
      <pivotArea dataOnly="0" labelOnly="1" outline="0" fieldPosition="0">
        <references count="2">
          <reference field="0" count="1" selected="0">
            <x v="316"/>
          </reference>
          <reference field="2" count="1">
            <x v="32"/>
          </reference>
        </references>
      </pivotArea>
    </format>
    <format dxfId="8154">
      <pivotArea dataOnly="0" labelOnly="1" outline="0" fieldPosition="0">
        <references count="2">
          <reference field="0" count="1" selected="0">
            <x v="466"/>
          </reference>
          <reference field="2" count="1">
            <x v="18"/>
          </reference>
        </references>
      </pivotArea>
    </format>
    <format dxfId="8153">
      <pivotArea dataOnly="0" labelOnly="1" outline="0" fieldPosition="0">
        <references count="2">
          <reference field="0" count="1" selected="0">
            <x v="75"/>
          </reference>
          <reference field="2" count="1">
            <x v="9"/>
          </reference>
        </references>
      </pivotArea>
    </format>
    <format dxfId="8152">
      <pivotArea dataOnly="0" labelOnly="1" outline="0" fieldPosition="0">
        <references count="2">
          <reference field="0" count="1" selected="0">
            <x v="293"/>
          </reference>
          <reference field="2" count="1">
            <x v="19"/>
          </reference>
        </references>
      </pivotArea>
    </format>
    <format dxfId="8151">
      <pivotArea dataOnly="0" labelOnly="1" outline="0" fieldPosition="0">
        <references count="2">
          <reference field="0" count="1" selected="0">
            <x v="244"/>
          </reference>
          <reference field="2" count="1">
            <x v="30"/>
          </reference>
        </references>
      </pivotArea>
    </format>
    <format dxfId="8150">
      <pivotArea dataOnly="0" labelOnly="1" outline="0" fieldPosition="0">
        <references count="2">
          <reference field="0" count="1" selected="0">
            <x v="77"/>
          </reference>
          <reference field="2" count="1">
            <x v="11"/>
          </reference>
        </references>
      </pivotArea>
    </format>
    <format dxfId="8149">
      <pivotArea dataOnly="0" labelOnly="1" outline="0" fieldPosition="0">
        <references count="2">
          <reference field="0" count="1" selected="0">
            <x v="239"/>
          </reference>
          <reference field="2" count="1">
            <x v="3"/>
          </reference>
        </references>
      </pivotArea>
    </format>
    <format dxfId="8148">
      <pivotArea dataOnly="0" labelOnly="1" outline="0" fieldPosition="0">
        <references count="2">
          <reference field="0" count="1" selected="0">
            <x v="572"/>
          </reference>
          <reference field="2" count="1">
            <x v="29"/>
          </reference>
        </references>
      </pivotArea>
    </format>
    <format dxfId="8147">
      <pivotArea dataOnly="0" labelOnly="1" outline="0" fieldPosition="0">
        <references count="2">
          <reference field="0" count="1" selected="0">
            <x v="351"/>
          </reference>
          <reference field="2" count="1">
            <x v="0"/>
          </reference>
        </references>
      </pivotArea>
    </format>
    <format dxfId="8146">
      <pivotArea dataOnly="0" labelOnly="1" outline="0" fieldPosition="0">
        <references count="2">
          <reference field="0" count="1" selected="0">
            <x v="319"/>
          </reference>
          <reference field="2" count="1">
            <x v="30"/>
          </reference>
        </references>
      </pivotArea>
    </format>
    <format dxfId="8145">
      <pivotArea dataOnly="0" labelOnly="1" outline="0" fieldPosition="0">
        <references count="2">
          <reference field="0" count="1" selected="0">
            <x v="487"/>
          </reference>
          <reference field="2" count="1">
            <x v="20"/>
          </reference>
        </references>
      </pivotArea>
    </format>
    <format dxfId="8144">
      <pivotArea dataOnly="0" labelOnly="1" outline="0" fieldPosition="0">
        <references count="2">
          <reference field="0" count="1" selected="0">
            <x v="512"/>
          </reference>
          <reference field="2" count="1">
            <x v="14"/>
          </reference>
        </references>
      </pivotArea>
    </format>
    <format dxfId="8143">
      <pivotArea dataOnly="0" labelOnly="1" outline="0" fieldPosition="0">
        <references count="2">
          <reference field="0" count="1" selected="0">
            <x v="516"/>
          </reference>
          <reference field="2" count="1">
            <x v="39"/>
          </reference>
        </references>
      </pivotArea>
    </format>
    <format dxfId="8142">
      <pivotArea dataOnly="0" labelOnly="1" outline="0" fieldPosition="0">
        <references count="2">
          <reference field="0" count="1" selected="0">
            <x v="435"/>
          </reference>
          <reference field="2" count="1">
            <x v="36"/>
          </reference>
        </references>
      </pivotArea>
    </format>
    <format dxfId="8141">
      <pivotArea dataOnly="0" labelOnly="1" outline="0" fieldPosition="0">
        <references count="2">
          <reference field="0" count="1" selected="0">
            <x v="585"/>
          </reference>
          <reference field="2" count="1">
            <x v="37"/>
          </reference>
        </references>
      </pivotArea>
    </format>
    <format dxfId="8140">
      <pivotArea dataOnly="0" labelOnly="1" outline="0" fieldPosition="0">
        <references count="2">
          <reference field="0" count="1" selected="0">
            <x v="521"/>
          </reference>
          <reference field="2" count="1">
            <x v="43"/>
          </reference>
        </references>
      </pivotArea>
    </format>
    <format dxfId="8139">
      <pivotArea dataOnly="0" labelOnly="1" outline="0" fieldPosition="0">
        <references count="2">
          <reference field="0" count="1" selected="0">
            <x v="394"/>
          </reference>
          <reference field="2" count="1">
            <x v="42"/>
          </reference>
        </references>
      </pivotArea>
    </format>
    <format dxfId="8138">
      <pivotArea dataOnly="0" labelOnly="1" outline="0" fieldPosition="0">
        <references count="2">
          <reference field="0" count="1" selected="0">
            <x v="326"/>
          </reference>
          <reference field="2" count="1">
            <x v="9"/>
          </reference>
        </references>
      </pivotArea>
    </format>
    <format dxfId="8137">
      <pivotArea dataOnly="0" labelOnly="1" outline="0" fieldPosition="0">
        <references count="2">
          <reference field="0" count="1" selected="0">
            <x v="315"/>
          </reference>
          <reference field="2" count="1">
            <x v="14"/>
          </reference>
        </references>
      </pivotArea>
    </format>
    <format dxfId="8136">
      <pivotArea dataOnly="0" labelOnly="1" outline="0" fieldPosition="0">
        <references count="2">
          <reference field="0" count="1" selected="0">
            <x v="602"/>
          </reference>
          <reference field="2" count="1">
            <x v="40"/>
          </reference>
        </references>
      </pivotArea>
    </format>
    <format dxfId="8135">
      <pivotArea dataOnly="0" labelOnly="1" outline="0" fieldPosition="0">
        <references count="2">
          <reference field="0" count="1" selected="0">
            <x v="365"/>
          </reference>
          <reference field="2" count="1">
            <x v="38"/>
          </reference>
        </references>
      </pivotArea>
    </format>
    <format dxfId="8134">
      <pivotArea dataOnly="0" labelOnly="1" outline="0" fieldPosition="0">
        <references count="2">
          <reference field="0" count="1" selected="0">
            <x v="353"/>
          </reference>
          <reference field="2" count="1">
            <x v="40"/>
          </reference>
        </references>
      </pivotArea>
    </format>
    <format dxfId="8133">
      <pivotArea dataOnly="0" labelOnly="1" outline="0" fieldPosition="0">
        <references count="2">
          <reference field="0" count="1" selected="0">
            <x v="332"/>
          </reference>
          <reference field="2" count="1">
            <x v="12"/>
          </reference>
        </references>
      </pivotArea>
    </format>
    <format dxfId="8132">
      <pivotArea dataOnly="0" labelOnly="1" outline="0" fieldPosition="0">
        <references count="2">
          <reference field="0" count="1" selected="0">
            <x v="543"/>
          </reference>
          <reference field="2" count="1">
            <x v="34"/>
          </reference>
        </references>
      </pivotArea>
    </format>
    <format dxfId="8131">
      <pivotArea dataOnly="0" labelOnly="1" outline="0" fieldPosition="0">
        <references count="2">
          <reference field="0" count="1" selected="0">
            <x v="468"/>
          </reference>
          <reference field="2" count="1">
            <x v="19"/>
          </reference>
        </references>
      </pivotArea>
    </format>
    <format dxfId="8130">
      <pivotArea dataOnly="0" labelOnly="1" outline="0" fieldPosition="0">
        <references count="2">
          <reference field="0" count="1" selected="0">
            <x v="431"/>
          </reference>
          <reference field="2" count="1">
            <x v="13"/>
          </reference>
        </references>
      </pivotArea>
    </format>
    <format dxfId="8129">
      <pivotArea dataOnly="0" labelOnly="1" outline="0" fieldPosition="0">
        <references count="2">
          <reference field="0" count="1" selected="0">
            <x v="570"/>
          </reference>
          <reference field="2" count="1">
            <x v="21"/>
          </reference>
        </references>
      </pivotArea>
    </format>
    <format dxfId="8128">
      <pivotArea dataOnly="0" labelOnly="1" outline="0" fieldPosition="0">
        <references count="2">
          <reference field="0" count="1" selected="0">
            <x v="433"/>
          </reference>
          <reference field="2" count="1">
            <x v="41"/>
          </reference>
        </references>
      </pivotArea>
    </format>
    <format dxfId="8127">
      <pivotArea dataOnly="0" labelOnly="1" outline="0" fieldPosition="0">
        <references count="2">
          <reference field="0" count="1" selected="0">
            <x v="517"/>
          </reference>
          <reference field="2" count="1">
            <x v="5"/>
          </reference>
        </references>
      </pivotArea>
    </format>
    <format dxfId="8126">
      <pivotArea dataOnly="0" labelOnly="1" outline="0" fieldPosition="0">
        <references count="2">
          <reference field="0" count="1" selected="0">
            <x v="170"/>
          </reference>
          <reference field="2" count="1">
            <x v="39"/>
          </reference>
        </references>
      </pivotArea>
    </format>
    <format dxfId="8125">
      <pivotArea dataOnly="0" labelOnly="1" outline="0" fieldPosition="0">
        <references count="2">
          <reference field="0" count="1" selected="0">
            <x v="206"/>
          </reference>
          <reference field="2" count="1">
            <x v="29"/>
          </reference>
        </references>
      </pivotArea>
    </format>
    <format dxfId="8124">
      <pivotArea dataOnly="0" labelOnly="1" outline="0" fieldPosition="0">
        <references count="2">
          <reference field="0" count="1" selected="0">
            <x v="11"/>
          </reference>
          <reference field="2" count="1">
            <x v="6"/>
          </reference>
        </references>
      </pivotArea>
    </format>
    <format dxfId="8123">
      <pivotArea dataOnly="0" labelOnly="1" outline="0" fieldPosition="0">
        <references count="2">
          <reference field="0" count="1" selected="0">
            <x v="56"/>
          </reference>
          <reference field="2" count="1">
            <x v="17"/>
          </reference>
        </references>
      </pivotArea>
    </format>
    <format dxfId="8122">
      <pivotArea dataOnly="0" labelOnly="1" outline="0" fieldPosition="0">
        <references count="2">
          <reference field="0" count="1" selected="0">
            <x v="273"/>
          </reference>
          <reference field="2" count="1">
            <x v="23"/>
          </reference>
        </references>
      </pivotArea>
    </format>
    <format dxfId="8121">
      <pivotArea dataOnly="0" labelOnly="1" outline="0" fieldPosition="0">
        <references count="2">
          <reference field="0" count="1" selected="0">
            <x v="183"/>
          </reference>
          <reference field="2" count="1">
            <x v="41"/>
          </reference>
        </references>
      </pivotArea>
    </format>
    <format dxfId="8120">
      <pivotArea dataOnly="0" labelOnly="1" outline="0" fieldPosition="0">
        <references count="2">
          <reference field="0" count="1" selected="0">
            <x v="57"/>
          </reference>
          <reference field="2" count="1">
            <x v="32"/>
          </reference>
        </references>
      </pivotArea>
    </format>
    <format dxfId="8119">
      <pivotArea dataOnly="0" labelOnly="1" outline="0" fieldPosition="0">
        <references count="2">
          <reference field="0" count="1" selected="0">
            <x v="205"/>
          </reference>
          <reference field="2" count="1">
            <x v="6"/>
          </reference>
        </references>
      </pivotArea>
    </format>
    <format dxfId="8118">
      <pivotArea dataOnly="0" labelOnly="1" outline="0" fieldPosition="0">
        <references count="2">
          <reference field="0" count="1" selected="0">
            <x v="278"/>
          </reference>
          <reference field="2" count="1">
            <x v="38"/>
          </reference>
        </references>
      </pivotArea>
    </format>
    <format dxfId="8117">
      <pivotArea dataOnly="0" labelOnly="1" outline="0" fieldPosition="0">
        <references count="2">
          <reference field="0" count="1" selected="0">
            <x v="27"/>
          </reference>
          <reference field="2" count="1">
            <x v="21"/>
          </reference>
        </references>
      </pivotArea>
    </format>
    <format dxfId="8116">
      <pivotArea dataOnly="0" labelOnly="1" outline="0" fieldPosition="0">
        <references count="2">
          <reference field="0" count="1" selected="0">
            <x v="171"/>
          </reference>
          <reference field="2" count="1">
            <x v="5"/>
          </reference>
        </references>
      </pivotArea>
    </format>
    <format dxfId="8115">
      <pivotArea dataOnly="0" labelOnly="1" outline="0" fieldPosition="0">
        <references count="2">
          <reference field="0" count="1" selected="0">
            <x v="295"/>
          </reference>
          <reference field="2" count="1">
            <x v="17"/>
          </reference>
        </references>
      </pivotArea>
    </format>
    <format dxfId="8114">
      <pivotArea dataOnly="0" labelOnly="1" outline="0" fieldPosition="0">
        <references count="2">
          <reference field="0" count="1" selected="0">
            <x v="141"/>
          </reference>
          <reference field="2" count="1">
            <x v="16"/>
          </reference>
        </references>
      </pivotArea>
    </format>
    <format dxfId="8113">
      <pivotArea dataOnly="0" labelOnly="1" outline="0" fieldPosition="0">
        <references count="2">
          <reference field="0" count="1" selected="0">
            <x v="251"/>
          </reference>
          <reference field="2" count="1">
            <x v="20"/>
          </reference>
        </references>
      </pivotArea>
    </format>
    <format dxfId="8112">
      <pivotArea dataOnly="0" labelOnly="1" outline="0" fieldPosition="0">
        <references count="2">
          <reference field="0" count="1" selected="0">
            <x v="225"/>
          </reference>
          <reference field="2" count="1">
            <x v="27"/>
          </reference>
        </references>
      </pivotArea>
    </format>
    <format dxfId="8111">
      <pivotArea dataOnly="0" labelOnly="1" outline="0" fieldPosition="0">
        <references count="2">
          <reference field="0" count="1" selected="0">
            <x v="128"/>
          </reference>
          <reference field="2" count="1">
            <x v="29"/>
          </reference>
        </references>
      </pivotArea>
    </format>
    <format dxfId="8110">
      <pivotArea dataOnly="0" labelOnly="1" outline="0" fieldPosition="0">
        <references count="2">
          <reference field="0" count="1" selected="0">
            <x v="401"/>
          </reference>
          <reference field="2" count="1">
            <x v="34"/>
          </reference>
        </references>
      </pivotArea>
    </format>
    <format dxfId="8109">
      <pivotArea dataOnly="0" labelOnly="1" outline="0" fieldPosition="0">
        <references count="2">
          <reference field="0" count="1" selected="0">
            <x v="573"/>
          </reference>
          <reference field="2" count="1">
            <x v="23"/>
          </reference>
        </references>
      </pivotArea>
    </format>
    <format dxfId="8108">
      <pivotArea dataOnly="0" labelOnly="1" outline="0" fieldPosition="0">
        <references count="2">
          <reference field="0" count="1" selected="0">
            <x v="318"/>
          </reference>
          <reference field="2" count="1">
            <x v="26"/>
          </reference>
        </references>
      </pivotArea>
    </format>
    <format dxfId="8107">
      <pivotArea dataOnly="0" labelOnly="1" outline="0" fieldPosition="0">
        <references count="2">
          <reference field="0" count="1" selected="0">
            <x v="540"/>
          </reference>
          <reference field="2" count="1">
            <x v="2"/>
          </reference>
        </references>
      </pivotArea>
    </format>
    <format dxfId="8106">
      <pivotArea dataOnly="0" labelOnly="1" outline="0" fieldPosition="0">
        <references count="2">
          <reference field="0" count="1" selected="0">
            <x v="375"/>
          </reference>
          <reference field="2" count="1">
            <x v="24"/>
          </reference>
        </references>
      </pivotArea>
    </format>
    <format dxfId="8105">
      <pivotArea dataOnly="0" labelOnly="1" outline="0" fieldPosition="0">
        <references count="2">
          <reference field="0" count="1" selected="0">
            <x v="349"/>
          </reference>
          <reference field="2" count="1">
            <x v="41"/>
          </reference>
        </references>
      </pivotArea>
    </format>
    <format dxfId="8104">
      <pivotArea dataOnly="0" labelOnly="1" outline="0" fieldPosition="0">
        <references count="2">
          <reference field="0" count="1" selected="0">
            <x v="361"/>
          </reference>
          <reference field="2" count="1">
            <x v="43"/>
          </reference>
        </references>
      </pivotArea>
    </format>
    <format dxfId="8103">
      <pivotArea dataOnly="0" labelOnly="1" outline="0" fieldPosition="0">
        <references count="2">
          <reference field="0" count="1" selected="0">
            <x v="413"/>
          </reference>
          <reference field="2" count="1">
            <x v="15"/>
          </reference>
        </references>
      </pivotArea>
    </format>
    <format dxfId="8102">
      <pivotArea dataOnly="0" labelOnly="1" outline="0" fieldPosition="0">
        <references count="2">
          <reference field="0" count="1" selected="0">
            <x v="475"/>
          </reference>
          <reference field="2" count="1">
            <x v="32"/>
          </reference>
        </references>
      </pivotArea>
    </format>
    <format dxfId="8101">
      <pivotArea dataOnly="0" labelOnly="1" outline="0" fieldPosition="0">
        <references count="2">
          <reference field="0" count="1" selected="0">
            <x v="553"/>
          </reference>
          <reference field="2" count="1">
            <x v="46"/>
          </reference>
        </references>
      </pivotArea>
    </format>
    <format dxfId="8100">
      <pivotArea dataOnly="0" labelOnly="1" outline="0" fieldPosition="0">
        <references count="2">
          <reference field="0" count="1" selected="0">
            <x v="461"/>
          </reference>
          <reference field="2" count="1">
            <x v="11"/>
          </reference>
        </references>
      </pivotArea>
    </format>
    <format dxfId="8099">
      <pivotArea dataOnly="0" labelOnly="1" outline="0" fieldPosition="0">
        <references count="2">
          <reference field="0" count="1" selected="0">
            <x v="473"/>
          </reference>
          <reference field="2" count="1">
            <x v="24"/>
          </reference>
        </references>
      </pivotArea>
    </format>
    <format dxfId="8098">
      <pivotArea dataOnly="0" labelOnly="1" outline="0" fieldPosition="0">
        <references count="2">
          <reference field="0" count="1" selected="0">
            <x v="526"/>
          </reference>
          <reference field="2" count="1">
            <x v="27"/>
          </reference>
        </references>
      </pivotArea>
    </format>
    <format dxfId="8097">
      <pivotArea dataOnly="0" labelOnly="1" outline="0" fieldPosition="0">
        <references count="2">
          <reference field="0" count="1" selected="0">
            <x v="506"/>
          </reference>
          <reference field="2" count="1">
            <x v="41"/>
          </reference>
        </references>
      </pivotArea>
    </format>
    <format dxfId="8096">
      <pivotArea dataOnly="0" labelOnly="1" outline="0" fieldPosition="0">
        <references count="2">
          <reference field="0" count="1" selected="0">
            <x v="384"/>
          </reference>
          <reference field="2" count="1">
            <x v="33"/>
          </reference>
        </references>
      </pivotArea>
    </format>
    <format dxfId="8095">
      <pivotArea dataOnly="0" labelOnly="1" outline="0" fieldPosition="0">
        <references count="2">
          <reference field="0" count="1" selected="0">
            <x v="279"/>
          </reference>
          <reference field="2" count="1">
            <x v="10"/>
          </reference>
        </references>
      </pivotArea>
    </format>
    <format dxfId="8094">
      <pivotArea dataOnly="0" labelOnly="1" outline="0" fieldPosition="0">
        <references count="2">
          <reference field="0" count="1" selected="0">
            <x v="119"/>
          </reference>
          <reference field="2" count="1">
            <x v="24"/>
          </reference>
        </references>
      </pivotArea>
    </format>
    <format dxfId="8093">
      <pivotArea dataOnly="0" labelOnly="1" outline="0" fieldPosition="0">
        <references count="2">
          <reference field="0" count="1" selected="0">
            <x v="229"/>
          </reference>
          <reference field="2" count="1">
            <x v="48"/>
          </reference>
        </references>
      </pivotArea>
    </format>
    <format dxfId="8092">
      <pivotArea dataOnly="0" labelOnly="1" outline="0" fieldPosition="0">
        <references count="2">
          <reference field="0" count="1" selected="0">
            <x v="182"/>
          </reference>
          <reference field="2" count="1">
            <x v="9"/>
          </reference>
        </references>
      </pivotArea>
    </format>
    <format dxfId="8091">
      <pivotArea dataOnly="0" labelOnly="1" outline="0" fieldPosition="0">
        <references count="2">
          <reference field="0" count="1" selected="0">
            <x v="257"/>
          </reference>
          <reference field="2" count="1">
            <x v="25"/>
          </reference>
        </references>
      </pivotArea>
    </format>
    <format dxfId="8090">
      <pivotArea dataOnly="0" labelOnly="1" outline="0" fieldPosition="0">
        <references count="2">
          <reference field="0" count="1" selected="0">
            <x v="65"/>
          </reference>
          <reference field="2" count="1">
            <x v="3"/>
          </reference>
        </references>
      </pivotArea>
    </format>
    <format dxfId="8089">
      <pivotArea dataOnly="0" labelOnly="1" outline="0" fieldPosition="0">
        <references count="2">
          <reference field="0" count="1" selected="0">
            <x v="180"/>
          </reference>
          <reference field="2" count="1">
            <x v="7"/>
          </reference>
        </references>
      </pivotArea>
    </format>
    <format dxfId="8088">
      <pivotArea dataOnly="0" labelOnly="1" outline="0" fieldPosition="0">
        <references count="2">
          <reference field="0" count="1" selected="0">
            <x v="224"/>
          </reference>
          <reference field="2" count="1">
            <x v="33"/>
          </reference>
        </references>
      </pivotArea>
    </format>
    <format dxfId="8087">
      <pivotArea dataOnly="0" labelOnly="1" outline="0" fieldPosition="0">
        <references count="2">
          <reference field="0" count="1" selected="0">
            <x v="111"/>
          </reference>
          <reference field="2" count="1">
            <x v="17"/>
          </reference>
        </references>
      </pivotArea>
    </format>
    <format dxfId="8086">
      <pivotArea dataOnly="0" labelOnly="1" outline="0" fieldPosition="0">
        <references count="2">
          <reference field="0" count="1" selected="0">
            <x v="201"/>
          </reference>
          <reference field="2" count="1">
            <x v="38"/>
          </reference>
        </references>
      </pivotArea>
    </format>
    <format dxfId="8085">
      <pivotArea dataOnly="0" labelOnly="1" outline="0" fieldPosition="0">
        <references count="2">
          <reference field="0" count="1" selected="0">
            <x v="53"/>
          </reference>
          <reference field="2" count="1">
            <x v="13"/>
          </reference>
        </references>
      </pivotArea>
    </format>
    <format dxfId="8084">
      <pivotArea dataOnly="0" labelOnly="1" outline="0" fieldPosition="0">
        <references count="2">
          <reference field="0" count="1" selected="0">
            <x v="12"/>
          </reference>
          <reference field="2" count="1">
            <x v="11"/>
          </reference>
        </references>
      </pivotArea>
    </format>
    <format dxfId="8083">
      <pivotArea dataOnly="0" labelOnly="1" outline="0" fieldPosition="0">
        <references count="2">
          <reference field="0" count="1" selected="0">
            <x v="73"/>
          </reference>
          <reference field="2" count="1">
            <x v="10"/>
          </reference>
        </references>
      </pivotArea>
    </format>
    <format dxfId="8082">
      <pivotArea dataOnly="0" labelOnly="1" outline="0" fieldPosition="0">
        <references count="2">
          <reference field="0" count="1" selected="0">
            <x v="277"/>
          </reference>
          <reference field="2" count="1">
            <x v="21"/>
          </reference>
        </references>
      </pivotArea>
    </format>
    <format dxfId="8081">
      <pivotArea dataOnly="0" labelOnly="1" outline="0" fieldPosition="0">
        <references count="2">
          <reference field="0" count="1" selected="0">
            <x v="196"/>
          </reference>
          <reference field="2" count="1">
            <x v="1"/>
          </reference>
        </references>
      </pivotArea>
    </format>
    <format dxfId="8080">
      <pivotArea dataOnly="0" labelOnly="1" outline="0" fieldPosition="0">
        <references count="2">
          <reference field="0" count="1" selected="0">
            <x v="486"/>
          </reference>
          <reference field="2" count="1">
            <x v="34"/>
          </reference>
        </references>
      </pivotArea>
    </format>
    <format dxfId="8079">
      <pivotArea dataOnly="0" labelOnly="1" outline="0" fieldPosition="0">
        <references count="2">
          <reference field="0" count="1" selected="0">
            <x v="90"/>
          </reference>
          <reference field="2" count="1">
            <x v="13"/>
          </reference>
        </references>
      </pivotArea>
    </format>
    <format dxfId="8078">
      <pivotArea dataOnly="0" labelOnly="1" outline="0" fieldPosition="0">
        <references count="2">
          <reference field="0" count="1" selected="0">
            <x v="46"/>
          </reference>
          <reference field="2" count="1">
            <x v="29"/>
          </reference>
        </references>
      </pivotArea>
    </format>
    <format dxfId="8077">
      <pivotArea dataOnly="0" labelOnly="1" outline="0" fieldPosition="0">
        <references count="2">
          <reference field="0" count="1" selected="0">
            <x v="454"/>
          </reference>
          <reference field="2" count="1">
            <x v="6"/>
          </reference>
        </references>
      </pivotArea>
    </format>
    <format dxfId="8076">
      <pivotArea dataOnly="0" labelOnly="1" outline="0" fieldPosition="0">
        <references count="2">
          <reference field="0" count="1" selected="0">
            <x v="391"/>
          </reference>
          <reference field="2" count="1">
            <x v="12"/>
          </reference>
        </references>
      </pivotArea>
    </format>
    <format dxfId="8075">
      <pivotArea dataOnly="0" labelOnly="1" outline="0" fieldPosition="0">
        <references count="2">
          <reference field="0" count="1" selected="0">
            <x v="378"/>
          </reference>
          <reference field="2" count="1">
            <x v="34"/>
          </reference>
        </references>
      </pivotArea>
    </format>
    <format dxfId="8074">
      <pivotArea dataOnly="0" labelOnly="1" outline="0" fieldPosition="0">
        <references count="2">
          <reference field="0" count="1" selected="0">
            <x v="445"/>
          </reference>
          <reference field="2" count="1">
            <x v="22"/>
          </reference>
        </references>
      </pivotArea>
    </format>
    <format dxfId="8073">
      <pivotArea dataOnly="0" labelOnly="1" outline="0" fieldPosition="0">
        <references count="2">
          <reference field="0" count="1" selected="0">
            <x v="370"/>
          </reference>
          <reference field="2" count="1">
            <x v="9"/>
          </reference>
        </references>
      </pivotArea>
    </format>
    <format dxfId="8072">
      <pivotArea dataOnly="0" labelOnly="1" outline="0" fieldPosition="0">
        <references count="2">
          <reference field="0" count="1" selected="0">
            <x v="453"/>
          </reference>
          <reference field="2" count="1">
            <x v="24"/>
          </reference>
        </references>
      </pivotArea>
    </format>
    <format dxfId="8071">
      <pivotArea dataOnly="0" labelOnly="1" outline="0" fieldPosition="0">
        <references count="2">
          <reference field="0" count="1" selected="0">
            <x v="552"/>
          </reference>
          <reference field="2" count="1">
            <x v="2"/>
          </reference>
        </references>
      </pivotArea>
    </format>
    <format dxfId="8070">
      <pivotArea dataOnly="0" labelOnly="1" outline="0" fieldPosition="0">
        <references count="2">
          <reference field="0" count="1" selected="0">
            <x v="334"/>
          </reference>
          <reference field="2" count="1">
            <x v="15"/>
          </reference>
        </references>
      </pivotArea>
    </format>
    <format dxfId="8069">
      <pivotArea dataOnly="0" labelOnly="1" outline="0" fieldPosition="0">
        <references count="2">
          <reference field="0" count="1" selected="0">
            <x v="440"/>
          </reference>
          <reference field="2" count="1">
            <x v="50"/>
          </reference>
        </references>
      </pivotArea>
    </format>
    <format dxfId="8068">
      <pivotArea dataOnly="0" labelOnly="1" outline="0" fieldPosition="0">
        <references count="2">
          <reference field="0" count="1" selected="0">
            <x v="456"/>
          </reference>
          <reference field="2" count="1">
            <x v="42"/>
          </reference>
        </references>
      </pivotArea>
    </format>
    <format dxfId="8067">
      <pivotArea dataOnly="0" labelOnly="1" outline="0" fieldPosition="0">
        <references count="2">
          <reference field="0" count="1" selected="0">
            <x v="547"/>
          </reference>
          <reference field="2" count="1">
            <x v="27"/>
          </reference>
        </references>
      </pivotArea>
    </format>
    <format dxfId="8066">
      <pivotArea dataOnly="0" labelOnly="1" outline="0" fieldPosition="0">
        <references count="2">
          <reference field="0" count="1" selected="0">
            <x v="417"/>
          </reference>
          <reference field="2" count="1">
            <x v="22"/>
          </reference>
        </references>
      </pivotArea>
    </format>
    <format dxfId="8065">
      <pivotArea dataOnly="0" labelOnly="1" outline="0" fieldPosition="0">
        <references count="2">
          <reference field="0" count="1" selected="0">
            <x v="311"/>
          </reference>
          <reference field="2" count="1">
            <x v="31"/>
          </reference>
        </references>
      </pivotArea>
    </format>
    <format dxfId="8064">
      <pivotArea dataOnly="0" labelOnly="1" outline="0" fieldPosition="0">
        <references count="2">
          <reference field="0" count="1" selected="0">
            <x v="509"/>
          </reference>
          <reference field="2" count="1">
            <x v="30"/>
          </reference>
        </references>
      </pivotArea>
    </format>
    <format dxfId="8063">
      <pivotArea dataOnly="0" labelOnly="1" outline="0" fieldPosition="0">
        <references count="2">
          <reference field="0" count="1" selected="0">
            <x v="566"/>
          </reference>
          <reference field="2" count="1">
            <x v="10"/>
          </reference>
        </references>
      </pivotArea>
    </format>
    <format dxfId="8062">
      <pivotArea dataOnly="0" labelOnly="1" outline="0" fieldPosition="0">
        <references count="2">
          <reference field="0" count="1" selected="0">
            <x v="85"/>
          </reference>
          <reference field="2" count="1">
            <x v="37"/>
          </reference>
        </references>
      </pivotArea>
    </format>
    <format dxfId="8061">
      <pivotArea dataOnly="0" labelOnly="1" outline="0" fieldPosition="0">
        <references count="2">
          <reference field="0" count="1" selected="0">
            <x v="169"/>
          </reference>
          <reference field="2" count="1">
            <x v="47"/>
          </reference>
        </references>
      </pivotArea>
    </format>
    <format dxfId="8060">
      <pivotArea dataOnly="0" labelOnly="1" outline="0" fieldPosition="0">
        <references count="2">
          <reference field="0" count="1" selected="0">
            <x v="102"/>
          </reference>
          <reference field="2" count="1">
            <x v="23"/>
          </reference>
        </references>
      </pivotArea>
    </format>
    <format dxfId="8059">
      <pivotArea dataOnly="0" labelOnly="1" outline="0" fieldPosition="0">
        <references count="2">
          <reference field="0" count="1" selected="0">
            <x v="105"/>
          </reference>
          <reference field="2" count="1">
            <x v="41"/>
          </reference>
        </references>
      </pivotArea>
    </format>
    <format dxfId="8058">
      <pivotArea dataOnly="0" labelOnly="1" outline="0" fieldPosition="0">
        <references count="2">
          <reference field="0" count="1" selected="0">
            <x v="168"/>
          </reference>
          <reference field="2" count="1">
            <x v="34"/>
          </reference>
        </references>
      </pivotArea>
    </format>
    <format dxfId="8057">
      <pivotArea dataOnly="0" labelOnly="1" outline="0" fieldPosition="0">
        <references count="2">
          <reference field="0" count="1" selected="0">
            <x v="66"/>
          </reference>
          <reference field="2" count="1">
            <x v="27"/>
          </reference>
        </references>
      </pivotArea>
    </format>
    <format dxfId="8056">
      <pivotArea dataOnly="0" labelOnly="1" outline="0" fieldPosition="0">
        <references count="2">
          <reference field="0" count="1" selected="0">
            <x v="232"/>
          </reference>
          <reference field="2" count="1">
            <x v="10"/>
          </reference>
        </references>
      </pivotArea>
    </format>
    <format dxfId="8055">
      <pivotArea dataOnly="0" labelOnly="1" outline="0" fieldPosition="0">
        <references count="2">
          <reference field="0" count="1" selected="0">
            <x v="54"/>
          </reference>
          <reference field="2" count="1">
            <x v="30"/>
          </reference>
        </references>
      </pivotArea>
    </format>
    <format dxfId="8054">
      <pivotArea dataOnly="0" labelOnly="1" outline="0" fieldPosition="0">
        <references count="2">
          <reference field="0" count="1" selected="0">
            <x v="280"/>
          </reference>
          <reference field="2" count="1">
            <x v="41"/>
          </reference>
        </references>
      </pivotArea>
    </format>
    <format dxfId="8053">
      <pivotArea dataOnly="0" labelOnly="1" outline="0" fieldPosition="0">
        <references count="2">
          <reference field="0" count="1" selected="0">
            <x v="50"/>
          </reference>
          <reference field="2" count="1">
            <x v="2"/>
          </reference>
        </references>
      </pivotArea>
    </format>
    <format dxfId="8052">
      <pivotArea dataOnly="0" labelOnly="1" outline="0" fieldPosition="0">
        <references count="2">
          <reference field="0" count="1" selected="0">
            <x v="164"/>
          </reference>
          <reference field="2" count="1">
            <x v="5"/>
          </reference>
        </references>
      </pivotArea>
    </format>
    <format dxfId="8051">
      <pivotArea dataOnly="0" labelOnly="1" outline="0" fieldPosition="0">
        <references count="2">
          <reference field="0" count="1" selected="0">
            <x v="87"/>
          </reference>
          <reference field="2" count="1">
            <x v="39"/>
          </reference>
        </references>
      </pivotArea>
    </format>
    <format dxfId="8050">
      <pivotArea dataOnly="0" labelOnly="1" outline="0" fieldPosition="0">
        <references count="2">
          <reference field="0" count="1" selected="0">
            <x v="16"/>
          </reference>
          <reference field="2" count="1">
            <x v="11"/>
          </reference>
        </references>
      </pivotArea>
    </format>
    <format dxfId="8049">
      <pivotArea dataOnly="0" labelOnly="1" outline="0" fieldPosition="0">
        <references count="2">
          <reference field="0" count="1" selected="0">
            <x v="51"/>
          </reference>
          <reference field="2" count="1">
            <x v="3"/>
          </reference>
        </references>
      </pivotArea>
    </format>
    <format dxfId="8048">
      <pivotArea dataOnly="0" labelOnly="1" outline="0" fieldPosition="0">
        <references count="2">
          <reference field="0" count="1" selected="0">
            <x v="149"/>
          </reference>
          <reference field="2" count="1">
            <x v="48"/>
          </reference>
        </references>
      </pivotArea>
    </format>
    <format dxfId="8047">
      <pivotArea dataOnly="0" labelOnly="1" outline="0" fieldPosition="0">
        <references count="2">
          <reference field="0" count="1" selected="0">
            <x v="589"/>
          </reference>
          <reference field="2" count="1">
            <x v="1"/>
          </reference>
        </references>
      </pivotArea>
    </format>
    <format dxfId="8046">
      <pivotArea dataOnly="0" labelOnly="1" outline="0" fieldPosition="0">
        <references count="2">
          <reference field="0" count="1" selected="0">
            <x v="160"/>
          </reference>
          <reference field="2" count="1">
            <x v="28"/>
          </reference>
        </references>
      </pivotArea>
    </format>
    <format dxfId="8045">
      <pivotArea dataOnly="0" labelOnly="1" outline="0" fieldPosition="0">
        <references count="2">
          <reference field="0" count="1" selected="0">
            <x v="178"/>
          </reference>
          <reference field="2" count="1">
            <x v="19"/>
          </reference>
        </references>
      </pivotArea>
    </format>
    <format dxfId="8044">
      <pivotArea dataOnly="0" labelOnly="1" outline="0" fieldPosition="0">
        <references count="2">
          <reference field="0" count="1" selected="0">
            <x v="28"/>
          </reference>
          <reference field="2" count="1">
            <x v="22"/>
          </reference>
        </references>
      </pivotArea>
    </format>
    <format dxfId="8043">
      <pivotArea dataOnly="0" labelOnly="1" outline="0" fieldPosition="0">
        <references count="2">
          <reference field="0" count="1" selected="0">
            <x v="151"/>
          </reference>
          <reference field="2" count="1">
            <x v="41"/>
          </reference>
        </references>
      </pivotArea>
    </format>
    <format dxfId="8042">
      <pivotArea dataOnly="0" labelOnly="1" outline="0" fieldPosition="0">
        <references count="2">
          <reference field="0" count="1" selected="0">
            <x v="534"/>
          </reference>
          <reference field="2" count="1">
            <x v="7"/>
          </reference>
        </references>
      </pivotArea>
    </format>
    <format dxfId="8041">
      <pivotArea dataOnly="0" labelOnly="1" outline="0" fieldPosition="0">
        <references count="2">
          <reference field="0" count="1" selected="0">
            <x v="592"/>
          </reference>
          <reference field="2" count="1">
            <x v="38"/>
          </reference>
        </references>
      </pivotArea>
    </format>
    <format dxfId="8040">
      <pivotArea dataOnly="0" labelOnly="1" outline="0" fieldPosition="0">
        <references count="2">
          <reference field="0" count="1" selected="0">
            <x v="366"/>
          </reference>
          <reference field="2" count="1">
            <x v="5"/>
          </reference>
        </references>
      </pivotArea>
    </format>
    <format dxfId="8039">
      <pivotArea dataOnly="0" labelOnly="1" outline="0" fieldPosition="0">
        <references count="2">
          <reference field="0" count="1" selected="0">
            <x v="496"/>
          </reference>
          <reference field="2" count="1">
            <x v="13"/>
          </reference>
        </references>
      </pivotArea>
    </format>
    <format dxfId="8038">
      <pivotArea dataOnly="0" labelOnly="1" outline="0" fieldPosition="0">
        <references count="2">
          <reference field="0" count="1" selected="0">
            <x v="577"/>
          </reference>
          <reference field="2" count="1">
            <x v="16"/>
          </reference>
        </references>
      </pivotArea>
    </format>
    <format dxfId="8037">
      <pivotArea dataOnly="0" labelOnly="1" outline="0" fieldPosition="0">
        <references count="2">
          <reference field="0" count="1" selected="0">
            <x v="407"/>
          </reference>
          <reference field="2" count="1">
            <x v="26"/>
          </reference>
        </references>
      </pivotArea>
    </format>
    <format dxfId="8036">
      <pivotArea dataOnly="0" labelOnly="1" outline="0" fieldPosition="0">
        <references count="2">
          <reference field="0" count="1" selected="0">
            <x v="309"/>
          </reference>
          <reference field="2" count="1">
            <x v="49"/>
          </reference>
        </references>
      </pivotArea>
    </format>
    <format dxfId="8035">
      <pivotArea dataOnly="0" labelOnly="1" outline="0" fieldPosition="0">
        <references count="2">
          <reference field="0" count="1" selected="0">
            <x v="410"/>
          </reference>
          <reference field="2" count="1">
            <x v="4"/>
          </reference>
        </references>
      </pivotArea>
    </format>
    <format dxfId="8034">
      <pivotArea dataOnly="0" labelOnly="1" outline="0" fieldPosition="0">
        <references count="2">
          <reference field="0" count="1" selected="0">
            <x v="24"/>
          </reference>
          <reference field="2" count="1">
            <x v="18"/>
          </reference>
        </references>
      </pivotArea>
    </format>
    <format dxfId="8033">
      <pivotArea dataOnly="0" labelOnly="1" outline="0" fieldPosition="0">
        <references count="2">
          <reference field="0" count="1" selected="0">
            <x v="81"/>
          </reference>
          <reference field="2" count="1">
            <x v="36"/>
          </reference>
        </references>
      </pivotArea>
    </format>
    <format dxfId="8032">
      <pivotArea dataOnly="0" labelOnly="1" outline="0" fieldPosition="0">
        <references count="2">
          <reference field="0" count="1" selected="0">
            <x v="143"/>
          </reference>
          <reference field="2" count="1">
            <x v="45"/>
          </reference>
        </references>
      </pivotArea>
    </format>
    <format dxfId="8031">
      <pivotArea dataOnly="0" labelOnly="1" outline="0" fieldPosition="0">
        <references count="2">
          <reference field="0" count="1" selected="0">
            <x v="35"/>
          </reference>
          <reference field="2" count="1">
            <x v="5"/>
          </reference>
        </references>
      </pivotArea>
    </format>
    <format dxfId="8030">
      <pivotArea dataOnly="0" labelOnly="1" outline="0" fieldPosition="0">
        <references count="2">
          <reference field="0" count="1" selected="0">
            <x v="150"/>
          </reference>
          <reference field="2" count="1">
            <x v="40"/>
          </reference>
        </references>
      </pivotArea>
    </format>
    <format dxfId="8029">
      <pivotArea dataOnly="0" labelOnly="1" outline="0" fieldPosition="0">
        <references count="2">
          <reference field="0" count="1" selected="0">
            <x v="15"/>
          </reference>
          <reference field="2" count="1">
            <x v="14"/>
          </reference>
        </references>
      </pivotArea>
    </format>
    <format dxfId="8028">
      <pivotArea dataOnly="0" labelOnly="1" outline="0" fieldPosition="0">
        <references count="2">
          <reference field="0" count="1" selected="0">
            <x v="44"/>
          </reference>
          <reference field="2" count="1">
            <x v="17"/>
          </reference>
        </references>
      </pivotArea>
    </format>
    <format dxfId="8027">
      <pivotArea dataOnly="0" labelOnly="1" outline="0" fieldPosition="0">
        <references count="2">
          <reference field="0" count="1" selected="0">
            <x v="61"/>
          </reference>
          <reference field="2" count="1">
            <x v="27"/>
          </reference>
        </references>
      </pivotArea>
    </format>
    <format dxfId="8026">
      <pivotArea dataOnly="0" labelOnly="1" outline="0" fieldPosition="0">
        <references count="2">
          <reference field="0" count="1" selected="0">
            <x v="30"/>
          </reference>
          <reference field="2" count="1">
            <x v="16"/>
          </reference>
        </references>
      </pivotArea>
    </format>
    <format dxfId="8025">
      <pivotArea dataOnly="0" labelOnly="1" outline="0" fieldPosition="0">
        <references count="2">
          <reference field="0" count="1" selected="0">
            <x v="211"/>
          </reference>
          <reference field="2" count="1">
            <x v="32"/>
          </reference>
        </references>
      </pivotArea>
    </format>
    <format dxfId="8024">
      <pivotArea dataOnly="0" labelOnly="1" outline="0" fieldPosition="0">
        <references count="2">
          <reference field="0" count="1" selected="0">
            <x v="100"/>
          </reference>
          <reference field="2" count="1">
            <x v="42"/>
          </reference>
        </references>
      </pivotArea>
    </format>
    <format dxfId="8023">
      <pivotArea dataOnly="0" labelOnly="1" outline="0" fieldPosition="0">
        <references count="2">
          <reference field="0" count="1" selected="0">
            <x v="216"/>
          </reference>
          <reference field="2" count="1">
            <x v="51"/>
          </reference>
        </references>
      </pivotArea>
    </format>
    <format dxfId="8022">
      <pivotArea dataOnly="0" labelOnly="1" outline="0" fieldPosition="0">
        <references count="2">
          <reference field="0" count="1" selected="0">
            <x v="237"/>
          </reference>
          <reference field="2" count="1">
            <x v="26"/>
          </reference>
        </references>
      </pivotArea>
    </format>
    <format dxfId="8021">
      <pivotArea dataOnly="0" labelOnly="1" outline="0" fieldPosition="0">
        <references count="2">
          <reference field="0" count="1" selected="0">
            <x v="86"/>
          </reference>
          <reference field="2" count="1">
            <x v="38"/>
          </reference>
        </references>
      </pivotArea>
    </format>
    <format dxfId="8020">
      <pivotArea dataOnly="0" labelOnly="1" outline="0" fieldPosition="0">
        <references count="2">
          <reference field="0" count="1" selected="0">
            <x v="195"/>
          </reference>
          <reference field="2" count="1">
            <x v="29"/>
          </reference>
        </references>
      </pivotArea>
    </format>
    <format dxfId="8019">
      <pivotArea dataOnly="0" labelOnly="1" outline="0" fieldPosition="0">
        <references count="2">
          <reference field="0" count="1" selected="0">
            <x v="274"/>
          </reference>
          <reference field="2" count="1">
            <x v="40"/>
          </reference>
        </references>
      </pivotArea>
    </format>
    <format dxfId="8018">
      <pivotArea dataOnly="0" labelOnly="1" outline="0" fieldPosition="0">
        <references count="2">
          <reference field="0" count="1" selected="0">
            <x v="245"/>
          </reference>
          <reference field="2" count="1">
            <x v="2"/>
          </reference>
        </references>
      </pivotArea>
    </format>
    <format dxfId="8017">
      <pivotArea dataOnly="0" labelOnly="1" outline="0" fieldPosition="0">
        <references count="2">
          <reference field="0" count="1" selected="0">
            <x v="223"/>
          </reference>
          <reference field="2" count="1">
            <x v="48"/>
          </reference>
        </references>
      </pivotArea>
    </format>
    <format dxfId="8016">
      <pivotArea dataOnly="0" labelOnly="1" outline="0" fieldPosition="0">
        <references count="2">
          <reference field="0" count="1" selected="0">
            <x v="5"/>
          </reference>
          <reference field="2" count="1">
            <x v="5"/>
          </reference>
        </references>
      </pivotArea>
    </format>
    <format dxfId="8015">
      <pivotArea dataOnly="0" labelOnly="1" outline="0" fieldPosition="0">
        <references count="2">
          <reference field="0" count="1" selected="0">
            <x v="336"/>
          </reference>
          <reference field="2" count="1">
            <x v="25"/>
          </reference>
        </references>
      </pivotArea>
    </format>
    <format dxfId="8014">
      <pivotArea dataOnly="0" labelOnly="1" outline="0" fieldPosition="0">
        <references count="2">
          <reference field="0" count="1" selected="0">
            <x v="3"/>
          </reference>
          <reference field="2" count="1">
            <x v="3"/>
          </reference>
        </references>
      </pivotArea>
    </format>
    <format dxfId="8013">
      <pivotArea dataOnly="0" labelOnly="1" outline="0" fieldPosition="0">
        <references count="2">
          <reference field="0" count="1" selected="0">
            <x v="190"/>
          </reference>
          <reference field="2" count="1">
            <x v="34"/>
          </reference>
        </references>
      </pivotArea>
    </format>
    <format dxfId="8012">
      <pivotArea dataOnly="0" labelOnly="1" outline="0" fieldPosition="0">
        <references count="2">
          <reference field="0" count="1" selected="0">
            <x v="262"/>
          </reference>
          <reference field="2" count="1">
            <x v="42"/>
          </reference>
        </references>
      </pivotArea>
    </format>
    <format dxfId="8011">
      <pivotArea dataOnly="0" labelOnly="1" outline="0" fieldPosition="0">
        <references count="2">
          <reference field="0" count="1" selected="0">
            <x v="306"/>
          </reference>
          <reference field="2" count="1">
            <x v="17"/>
          </reference>
        </references>
      </pivotArea>
    </format>
    <format dxfId="8010">
      <pivotArea dataOnly="0" labelOnly="1" outline="0" fieldPosition="0">
        <references count="2">
          <reference field="0" count="1" selected="0">
            <x v="345"/>
          </reference>
          <reference field="2" count="1">
            <x v="37"/>
          </reference>
        </references>
      </pivotArea>
    </format>
    <format dxfId="8009">
      <pivotArea dataOnly="0" labelOnly="1" outline="0" fieldPosition="0">
        <references count="2">
          <reference field="0" count="1" selected="0">
            <x v="362"/>
          </reference>
          <reference field="2" count="1">
            <x v="9"/>
          </reference>
        </references>
      </pivotArea>
    </format>
    <format dxfId="8008">
      <pivotArea dataOnly="0" labelOnly="1" outline="0" fieldPosition="0">
        <references count="2">
          <reference field="0" count="1" selected="0">
            <x v="408"/>
          </reference>
          <reference field="2" count="1">
            <x v="13"/>
          </reference>
        </references>
      </pivotArea>
    </format>
    <format dxfId="8007">
      <pivotArea dataOnly="0" labelOnly="1" outline="0" fieldPosition="0">
        <references count="2">
          <reference field="0" count="1" selected="0">
            <x v="357"/>
          </reference>
          <reference field="2" count="1">
            <x v="45"/>
          </reference>
        </references>
      </pivotArea>
    </format>
    <format dxfId="8006">
      <pivotArea dataOnly="0" labelOnly="1" outline="0" fieldPosition="0">
        <references count="2">
          <reference field="0" count="1" selected="0">
            <x v="404"/>
          </reference>
          <reference field="2" count="1">
            <x v="6"/>
          </reference>
        </references>
      </pivotArea>
    </format>
    <format dxfId="8005">
      <pivotArea dataOnly="0" labelOnly="1" outline="0" fieldPosition="0">
        <references count="2">
          <reference field="0" count="1" selected="0">
            <x v="479"/>
          </reference>
          <reference field="2" count="1">
            <x v="10"/>
          </reference>
        </references>
      </pivotArea>
    </format>
    <format dxfId="8004">
      <pivotArea dataOnly="0" labelOnly="1" outline="0" fieldPosition="0">
        <references count="2">
          <reference field="0" count="1" selected="0">
            <x v="331"/>
          </reference>
          <reference field="2" count="1">
            <x v="34"/>
          </reference>
        </references>
      </pivotArea>
    </format>
    <format dxfId="8003">
      <pivotArea dataOnly="0" labelOnly="1" outline="0" fieldPosition="0">
        <references count="2">
          <reference field="0" count="1" selected="0">
            <x v="515"/>
          </reference>
          <reference field="2" count="1">
            <x v="3"/>
          </reference>
        </references>
      </pivotArea>
    </format>
    <format dxfId="8002">
      <pivotArea dataOnly="0" labelOnly="1" outline="0" fieldPosition="0">
        <references count="2">
          <reference field="0" count="1" selected="0">
            <x v="360"/>
          </reference>
          <reference field="2" count="1">
            <x v="38"/>
          </reference>
        </references>
      </pivotArea>
    </format>
    <format dxfId="8001">
      <pivotArea dataOnly="0" labelOnly="1" outline="0" fieldPosition="0">
        <references count="2">
          <reference field="0" count="1" selected="0">
            <x v="578"/>
          </reference>
          <reference field="2" count="1">
            <x v="37"/>
          </reference>
        </references>
      </pivotArea>
    </format>
    <format dxfId="8000">
      <pivotArea dataOnly="0" labelOnly="1" outline="0" fieldPosition="0">
        <references count="2">
          <reference field="0" count="1" selected="0">
            <x v="561"/>
          </reference>
          <reference field="2" count="1">
            <x v="23"/>
          </reference>
        </references>
      </pivotArea>
    </format>
    <format dxfId="7999">
      <pivotArea dataOnly="0" labelOnly="1" outline="0" fieldPosition="0">
        <references count="2">
          <reference field="0" count="1" selected="0">
            <x v="476"/>
          </reference>
          <reference field="2" count="1">
            <x v="4"/>
          </reference>
        </references>
      </pivotArea>
    </format>
    <format dxfId="7998">
      <pivotArea dataOnly="0" labelOnly="1" outline="0" fieldPosition="0">
        <references count="2">
          <reference field="0" count="1" selected="0">
            <x v="460"/>
          </reference>
          <reference field="2" count="1">
            <x v="11"/>
          </reference>
        </references>
      </pivotArea>
    </format>
    <format dxfId="7997">
      <pivotArea dataOnly="0" labelOnly="1" outline="0" fieldPosition="0">
        <references count="2">
          <reference field="0" count="1" selected="0">
            <x v="571"/>
          </reference>
          <reference field="2" count="1">
            <x v="50"/>
          </reference>
        </references>
      </pivotArea>
    </format>
    <format dxfId="7996">
      <pivotArea dataOnly="0" labelOnly="1" outline="0" fieldPosition="0">
        <references count="2">
          <reference field="0" count="1" selected="0">
            <x v="321"/>
          </reference>
          <reference field="2" count="1">
            <x v="13"/>
          </reference>
        </references>
      </pivotArea>
    </format>
    <format dxfId="7995">
      <pivotArea dataOnly="0" labelOnly="1" outline="0" fieldPosition="0">
        <references count="2">
          <reference field="0" count="1" selected="0">
            <x v="523"/>
          </reference>
          <reference field="2" count="1">
            <x v="50"/>
          </reference>
        </references>
      </pivotArea>
    </format>
    <format dxfId="7994">
      <pivotArea dataOnly="0" labelOnly="1" outline="0" fieldPosition="0">
        <references count="2">
          <reference field="0" count="1" selected="0">
            <x v="20"/>
          </reference>
          <reference field="2" count="1">
            <x v="3"/>
          </reference>
        </references>
      </pivotArea>
    </format>
    <format dxfId="7993">
      <pivotArea dataOnly="0" labelOnly="1" outline="0" fieldPosition="0">
        <references count="2">
          <reference field="0" count="1" selected="0">
            <x v="33"/>
          </reference>
          <reference field="2" count="1">
            <x v="25"/>
          </reference>
        </references>
      </pivotArea>
    </format>
    <format dxfId="7992">
      <pivotArea dataOnly="0" labelOnly="1" outline="0" fieldPosition="0">
        <references count="2">
          <reference field="0" count="1" selected="0">
            <x v="49"/>
          </reference>
          <reference field="2" count="1">
            <x v="23"/>
          </reference>
        </references>
      </pivotArea>
    </format>
    <format dxfId="7991">
      <pivotArea dataOnly="0" labelOnly="1" outline="0" fieldPosition="0">
        <references count="2">
          <reference field="0" count="1" selected="0">
            <x v="145"/>
          </reference>
          <reference field="2" count="1">
            <x v="5"/>
          </reference>
        </references>
      </pivotArea>
    </format>
    <format dxfId="7990">
      <pivotArea dataOnly="0" labelOnly="1" outline="0" fieldPosition="0">
        <references count="2">
          <reference field="0" count="1" selected="0">
            <x v="154"/>
          </reference>
          <reference field="2" count="1">
            <x v="8"/>
          </reference>
        </references>
      </pivotArea>
    </format>
    <format dxfId="7989">
      <pivotArea dataOnly="0" labelOnly="1" outline="0" fieldPosition="0">
        <references count="2">
          <reference field="0" count="1" selected="0">
            <x v="71"/>
          </reference>
          <reference field="2" count="1">
            <x v="10"/>
          </reference>
        </references>
      </pivotArea>
    </format>
    <format dxfId="7988">
      <pivotArea dataOnly="0" labelOnly="1" outline="0" fieldPosition="0">
        <references count="2">
          <reference field="0" count="1" selected="0">
            <x v="291"/>
          </reference>
          <reference field="2" count="1">
            <x v="3"/>
          </reference>
        </references>
      </pivotArea>
    </format>
    <format dxfId="7987">
      <pivotArea dataOnly="0" labelOnly="1" outline="0" fieldPosition="0">
        <references count="2">
          <reference field="0" count="1" selected="0">
            <x v="261"/>
          </reference>
          <reference field="2" count="1">
            <x v="40"/>
          </reference>
        </references>
      </pivotArea>
    </format>
    <format dxfId="7986">
      <pivotArea dataOnly="0" labelOnly="1" outline="0" fieldPosition="0">
        <references count="2">
          <reference field="0" count="1" selected="0">
            <x v="214"/>
          </reference>
          <reference field="2" count="1">
            <x v="37"/>
          </reference>
        </references>
      </pivotArea>
    </format>
    <format dxfId="7985">
      <pivotArea dataOnly="0" labelOnly="1" outline="0" fieldPosition="0">
        <references count="2">
          <reference field="0" count="1" selected="0">
            <x v="249"/>
          </reference>
          <reference field="2" count="1">
            <x v="36"/>
          </reference>
        </references>
      </pivotArea>
    </format>
    <format dxfId="7984">
      <pivotArea dataOnly="0" labelOnly="1" outline="0" fieldPosition="0">
        <references count="2">
          <reference field="0" count="1" selected="0">
            <x v="118"/>
          </reference>
          <reference field="2" count="1">
            <x v="4"/>
          </reference>
        </references>
      </pivotArea>
    </format>
    <format dxfId="7983">
      <pivotArea dataOnly="0" labelOnly="1" outline="0" fieldPosition="0">
        <references count="2">
          <reference field="0" count="1" selected="0">
            <x v="140"/>
          </reference>
          <reference field="2" count="1">
            <x v="34"/>
          </reference>
        </references>
      </pivotArea>
    </format>
    <format dxfId="7982">
      <pivotArea dataOnly="0" labelOnly="1" outline="0" fieldPosition="0">
        <references count="2">
          <reference field="0" count="1" selected="0">
            <x v="17"/>
          </reference>
          <reference field="2" count="1">
            <x v="15"/>
          </reference>
        </references>
      </pivotArea>
    </format>
    <format dxfId="7981">
      <pivotArea dataOnly="0" labelOnly="1" outline="0" fieldPosition="0">
        <references count="2">
          <reference field="0" count="1" selected="0">
            <x v="599"/>
          </reference>
          <reference field="2" count="1">
            <x v="6"/>
          </reference>
        </references>
      </pivotArea>
    </format>
    <format dxfId="7980">
      <pivotArea dataOnly="0" labelOnly="1" outline="0" fieldPosition="0">
        <references count="2">
          <reference field="0" count="1" selected="0">
            <x v="371"/>
          </reference>
          <reference field="2" count="1">
            <x v="43"/>
          </reference>
        </references>
      </pivotArea>
    </format>
    <format dxfId="7979">
      <pivotArea dataOnly="0" labelOnly="1" outline="0" fieldPosition="0">
        <references count="2">
          <reference field="0" count="1" selected="0">
            <x v="395"/>
          </reference>
          <reference field="2" count="1">
            <x v="32"/>
          </reference>
        </references>
      </pivotArea>
    </format>
    <format dxfId="7978">
      <pivotArea dataOnly="0" labelOnly="1" outline="0" fieldPosition="0">
        <references count="2">
          <reference field="0" count="1" selected="0">
            <x v="551"/>
          </reference>
          <reference field="2" count="1">
            <x v="1"/>
          </reference>
        </references>
      </pivotArea>
    </format>
    <format dxfId="7977">
      <pivotArea dataOnly="0" labelOnly="1" outline="0" fieldPosition="0">
        <references count="2">
          <reference field="0" count="1" selected="0">
            <x v="575"/>
          </reference>
          <reference field="2" count="1">
            <x v="9"/>
          </reference>
        </references>
      </pivotArea>
    </format>
    <format dxfId="7976">
      <pivotArea dataOnly="0" labelOnly="1" outline="0" fieldPosition="0">
        <references count="2">
          <reference field="0" count="1" selected="0">
            <x v="434"/>
          </reference>
          <reference field="2" count="1">
            <x v="45"/>
          </reference>
        </references>
      </pivotArea>
    </format>
    <format dxfId="7975">
      <pivotArea dataOnly="0" labelOnly="1" outline="0" fieldPosition="0">
        <references count="2">
          <reference field="0" count="1" selected="0">
            <x v="389"/>
          </reference>
          <reference field="2" count="1">
            <x v="38"/>
          </reference>
        </references>
      </pivotArea>
    </format>
    <format dxfId="7974">
      <pivotArea dataOnly="0" labelOnly="1" outline="0" fieldPosition="0">
        <references count="2">
          <reference field="0" count="1" selected="0">
            <x v="467"/>
          </reference>
          <reference field="2" count="1">
            <x v="46"/>
          </reference>
        </references>
      </pivotArea>
    </format>
    <format dxfId="7973">
      <pivotArea dataOnly="0" labelOnly="1" outline="0" fieldPosition="0">
        <references count="2">
          <reference field="0" count="1" selected="0">
            <x v="555"/>
          </reference>
          <reference field="2" count="1">
            <x v="0"/>
          </reference>
        </references>
      </pivotArea>
    </format>
    <format dxfId="7972">
      <pivotArea dataOnly="0" labelOnly="1" outline="0" fieldPosition="0">
        <references count="2">
          <reference field="0" count="1" selected="0">
            <x v="138"/>
          </reference>
          <reference field="2" count="1">
            <x v="29"/>
          </reference>
        </references>
      </pivotArea>
    </format>
    <format dxfId="7971">
      <pivotArea dataOnly="0" labelOnly="1" outline="0" fieldPosition="0">
        <references count="2">
          <reference field="0" count="1" selected="0">
            <x v="21"/>
          </reference>
          <reference field="2" count="1">
            <x v="5"/>
          </reference>
        </references>
      </pivotArea>
    </format>
    <format dxfId="7970">
      <pivotArea dataOnly="0" labelOnly="1" outline="0" fieldPosition="0">
        <references count="2">
          <reference field="0" count="1" selected="0">
            <x v="202"/>
          </reference>
          <reference field="2" count="1">
            <x v="22"/>
          </reference>
        </references>
      </pivotArea>
    </format>
    <format dxfId="7969">
      <pivotArea dataOnly="0" labelOnly="1" outline="0" fieldPosition="0">
        <references count="2">
          <reference field="0" count="1" selected="0">
            <x v="103"/>
          </reference>
          <reference field="2" count="1">
            <x v="26"/>
          </reference>
        </references>
      </pivotArea>
    </format>
    <format dxfId="7968">
      <pivotArea dataOnly="0" labelOnly="1" outline="0" fieldPosition="0">
        <references count="2">
          <reference field="0" count="1" selected="0">
            <x v="92"/>
          </reference>
          <reference field="2" count="1">
            <x v="9"/>
          </reference>
        </references>
      </pivotArea>
    </format>
    <format dxfId="7967">
      <pivotArea dataOnly="0" labelOnly="1" outline="0" fieldPosition="0">
        <references count="2">
          <reference field="0" count="1" selected="0">
            <x v="297"/>
          </reference>
          <reference field="2" count="1">
            <x v="34"/>
          </reference>
        </references>
      </pivotArea>
    </format>
    <format dxfId="7966">
      <pivotArea dataOnly="0" labelOnly="1" outline="0" fieldPosition="0">
        <references count="2">
          <reference field="0" count="1" selected="0">
            <x v="133"/>
          </reference>
          <reference field="2" count="1">
            <x v="23"/>
          </reference>
        </references>
      </pivotArea>
    </format>
    <format dxfId="7965">
      <pivotArea dataOnly="0" labelOnly="1" outline="0" fieldPosition="0">
        <references count="2">
          <reference field="0" count="1" selected="0">
            <x v="222"/>
          </reference>
          <reference field="2" count="1">
            <x v="45"/>
          </reference>
        </references>
      </pivotArea>
    </format>
    <format dxfId="7964">
      <pivotArea dataOnly="0" labelOnly="1" outline="0" fieldPosition="0">
        <references count="2">
          <reference field="0" count="1" selected="0">
            <x v="430"/>
          </reference>
          <reference field="2" count="1">
            <x v="23"/>
          </reference>
        </references>
      </pivotArea>
    </format>
    <format dxfId="7963">
      <pivotArea dataOnly="0" labelOnly="1" outline="0" fieldPosition="0">
        <references count="2">
          <reference field="0" count="1" selected="0">
            <x v="535"/>
          </reference>
          <reference field="2" count="1">
            <x v="24"/>
          </reference>
        </references>
      </pivotArea>
    </format>
    <format dxfId="7962">
      <pivotArea dataOnly="0" labelOnly="1" outline="0" fieldPosition="0">
        <references count="2">
          <reference field="0" count="1" selected="0">
            <x v="510"/>
          </reference>
          <reference field="2" count="1">
            <x v="41"/>
          </reference>
        </references>
      </pivotArea>
    </format>
    <format dxfId="7961">
      <pivotArea dataOnly="0" labelOnly="1" outline="0" fieldPosition="0">
        <references count="2">
          <reference field="0" count="1" selected="0">
            <x v="587"/>
          </reference>
          <reference field="2" count="1">
            <x v="48"/>
          </reference>
        </references>
      </pivotArea>
    </format>
    <format dxfId="7960">
      <pivotArea dataOnly="0" labelOnly="1" outline="0" fieldPosition="0">
        <references count="2">
          <reference field="0" count="1" selected="0">
            <x v="465"/>
          </reference>
          <reference field="2" count="1">
            <x v="37"/>
          </reference>
        </references>
      </pivotArea>
    </format>
    <format dxfId="7959">
      <pivotArea dataOnly="0" labelOnly="1" outline="0" fieldPosition="0">
        <references count="2">
          <reference field="0" count="1" selected="0">
            <x v="518"/>
          </reference>
          <reference field="2" count="1">
            <x v="8"/>
          </reference>
        </references>
      </pivotArea>
    </format>
    <format dxfId="7958">
      <pivotArea dataOnly="0" labelOnly="1" outline="0" fieldPosition="0">
        <references count="2">
          <reference field="0" count="1" selected="0">
            <x v="560"/>
          </reference>
          <reference field="2" count="1">
            <x v="2"/>
          </reference>
        </references>
      </pivotArea>
    </format>
    <format dxfId="7957">
      <pivotArea dataOnly="0" labelOnly="1" outline="0" fieldPosition="0">
        <references count="2">
          <reference field="0" count="1" selected="0">
            <x v="358"/>
          </reference>
          <reference field="2" count="1">
            <x v="21"/>
          </reference>
        </references>
      </pivotArea>
    </format>
    <format dxfId="7956">
      <pivotArea dataOnly="0" labelOnly="1" outline="0" fieldPosition="0">
        <references count="2">
          <reference field="0" count="1" selected="0">
            <x v="337"/>
          </reference>
          <reference field="2" count="1">
            <x v="25"/>
          </reference>
        </references>
      </pivotArea>
    </format>
    <format dxfId="7955">
      <pivotArea dataOnly="0" labelOnly="1" outline="0" fieldPosition="0">
        <references count="2">
          <reference field="0" count="1" selected="0">
            <x v="584"/>
          </reference>
          <reference field="2" count="1">
            <x v="9"/>
          </reference>
        </references>
      </pivotArea>
    </format>
    <format dxfId="7954">
      <pivotArea dataOnly="0" labelOnly="1" outline="0" fieldPosition="0">
        <references count="2">
          <reference field="0" count="1" selected="0">
            <x v="480"/>
          </reference>
          <reference field="2" count="1">
            <x v="42"/>
          </reference>
        </references>
      </pivotArea>
    </format>
    <format dxfId="7953">
      <pivotArea dataOnly="0" labelOnly="1" outline="0" fieldPosition="0">
        <references count="2">
          <reference field="0" count="1" selected="0">
            <x v="488"/>
          </reference>
          <reference field="2" count="1">
            <x v="21"/>
          </reference>
        </references>
      </pivotArea>
    </format>
    <format dxfId="7952">
      <pivotArea dataOnly="0" labelOnly="1" outline="0" fieldPosition="0">
        <references count="2">
          <reference field="0" count="1" selected="0">
            <x v="218"/>
          </reference>
          <reference field="2" count="1">
            <x v="9"/>
          </reference>
        </references>
      </pivotArea>
    </format>
    <format dxfId="7951">
      <pivotArea dataOnly="0" labelOnly="1" outline="0" fieldPosition="0">
        <references count="2">
          <reference field="0" count="1" selected="0">
            <x v="302"/>
          </reference>
          <reference field="2" count="1">
            <x v="36"/>
          </reference>
        </references>
      </pivotArea>
    </format>
    <format dxfId="7950">
      <pivotArea dataOnly="0" labelOnly="1" outline="0" fieldPosition="0">
        <references count="2">
          <reference field="0" count="1" selected="0">
            <x v="152"/>
          </reference>
          <reference field="2" count="1">
            <x v="37"/>
          </reference>
        </references>
      </pivotArea>
    </format>
    <format dxfId="7949">
      <pivotArea dataOnly="0" labelOnly="1" outline="0" fieldPosition="0">
        <references count="2">
          <reference field="0" count="1" selected="0">
            <x v="221"/>
          </reference>
          <reference field="2" count="1">
            <x v="10"/>
          </reference>
        </references>
      </pivotArea>
    </format>
    <format dxfId="7948">
      <pivotArea dataOnly="0" labelOnly="1" outline="0" fieldPosition="0">
        <references count="2">
          <reference field="0" count="1" selected="0">
            <x v="122"/>
          </reference>
          <reference field="2" count="1">
            <x v="28"/>
          </reference>
        </references>
      </pivotArea>
    </format>
    <format dxfId="7947">
      <pivotArea dataOnly="0" labelOnly="1" outline="0" fieldPosition="0">
        <references count="2">
          <reference field="0" count="1" selected="0">
            <x v="167"/>
          </reference>
          <reference field="2" count="1">
            <x v="47"/>
          </reference>
        </references>
      </pivotArea>
    </format>
    <format dxfId="7946">
      <pivotArea dataOnly="0" labelOnly="1" outline="0" fieldPosition="0">
        <references count="2">
          <reference field="0" count="1" selected="0">
            <x v="270"/>
          </reference>
          <reference field="2" count="1">
            <x v="4"/>
          </reference>
        </references>
      </pivotArea>
    </format>
    <format dxfId="7945">
      <pivotArea dataOnly="0" labelOnly="1" outline="0" fieldPosition="0">
        <references count="2">
          <reference field="0" count="1" selected="0">
            <x v="162"/>
          </reference>
          <reference field="2" count="1">
            <x v="2"/>
          </reference>
        </references>
      </pivotArea>
    </format>
    <format dxfId="7944">
      <pivotArea dataOnly="0" labelOnly="1" outline="0" fieldPosition="0">
        <references count="2">
          <reference field="0" count="1" selected="0">
            <x v="153"/>
          </reference>
          <reference field="2" count="1">
            <x v="1"/>
          </reference>
        </references>
      </pivotArea>
    </format>
    <format dxfId="7943">
      <pivotArea dataOnly="0" labelOnly="1" outline="0" fieldPosition="0">
        <references count="2">
          <reference field="0" count="1" selected="0">
            <x v="156"/>
          </reference>
          <reference field="2" count="1">
            <x v="0"/>
          </reference>
        </references>
      </pivotArea>
    </format>
    <format dxfId="7942">
      <pivotArea dataOnly="0" labelOnly="1" outline="0" fieldPosition="0">
        <references count="2">
          <reference field="0" count="1" selected="0">
            <x v="283"/>
          </reference>
          <reference field="2" count="1">
            <x v="39"/>
          </reference>
        </references>
      </pivotArea>
    </format>
    <format dxfId="7941">
      <pivotArea dataOnly="0" labelOnly="1" outline="0" fieldPosition="0">
        <references count="2">
          <reference field="0" count="1" selected="0">
            <x v="79"/>
          </reference>
          <reference field="2" count="1">
            <x v="34"/>
          </reference>
        </references>
      </pivotArea>
    </format>
    <format dxfId="7940">
      <pivotArea dataOnly="0" labelOnly="1" outline="0" fieldPosition="0">
        <references count="2">
          <reference field="0" count="1" selected="0">
            <x v="429"/>
          </reference>
          <reference field="2" count="1">
            <x v="2"/>
          </reference>
        </references>
      </pivotArea>
    </format>
    <format dxfId="7939">
      <pivotArea dataOnly="0" labelOnly="1" outline="0" fieldPosition="0">
        <references count="2">
          <reference field="0" count="1" selected="0">
            <x v="396"/>
          </reference>
          <reference field="2" count="1">
            <x v="29"/>
          </reference>
        </references>
      </pivotArea>
    </format>
    <format dxfId="7938">
      <pivotArea dataOnly="0" labelOnly="1" outline="0" fieldPosition="0">
        <references count="2">
          <reference field="0" count="1" selected="0">
            <x v="527"/>
          </reference>
          <reference field="2" count="1">
            <x v="43"/>
          </reference>
        </references>
      </pivotArea>
    </format>
    <format dxfId="7937">
      <pivotArea dataOnly="0" labelOnly="1" outline="0" fieldPosition="0">
        <references count="2">
          <reference field="0" count="1" selected="0">
            <x v="601"/>
          </reference>
          <reference field="2" count="1">
            <x v="30"/>
          </reference>
        </references>
      </pivotArea>
    </format>
    <format dxfId="7936">
      <pivotArea dataOnly="0" labelOnly="1" outline="0" fieldPosition="0">
        <references count="2">
          <reference field="0" count="1" selected="0">
            <x v="210"/>
          </reference>
          <reference field="2" count="1">
            <x v="14"/>
          </reference>
        </references>
      </pivotArea>
    </format>
    <format dxfId="7935">
      <pivotArea dataOnly="0" labelOnly="1" outline="0" fieldPosition="0">
        <references count="2">
          <reference field="0" count="1" selected="0">
            <x v="158"/>
          </reference>
          <reference field="2" count="1">
            <x v="49"/>
          </reference>
        </references>
      </pivotArea>
    </format>
    <format dxfId="7934">
      <pivotArea dataOnly="0" labelOnly="1" outline="0" fieldPosition="0">
        <references count="3">
          <reference field="0" count="1" selected="0">
            <x v="136"/>
          </reference>
          <reference field="2" count="1" selected="0">
            <x v="46"/>
          </reference>
          <reference field="3" count="1">
            <x v="36"/>
          </reference>
        </references>
      </pivotArea>
    </format>
    <format dxfId="7933">
      <pivotArea dataOnly="0" labelOnly="1" outline="0" fieldPosition="0">
        <references count="3">
          <reference field="0" count="1" selected="0">
            <x v="40"/>
          </reference>
          <reference field="2" count="1" selected="0">
            <x v="15"/>
          </reference>
          <reference field="3" count="1">
            <x v="19"/>
          </reference>
        </references>
      </pivotArea>
    </format>
    <format dxfId="7932">
      <pivotArea dataOnly="0" labelOnly="1" outline="0" fieldPosition="0">
        <references count="3">
          <reference field="0" count="1" selected="0">
            <x v="199"/>
          </reference>
          <reference field="2" count="1" selected="0">
            <x v="8"/>
          </reference>
          <reference field="3" count="1">
            <x v="35"/>
          </reference>
        </references>
      </pivotArea>
    </format>
    <format dxfId="7931">
      <pivotArea dataOnly="0" labelOnly="1" outline="0" fieldPosition="0">
        <references count="3">
          <reference field="0" count="1" selected="0">
            <x v="344"/>
          </reference>
          <reference field="2" count="1" selected="0">
            <x v="33"/>
          </reference>
          <reference field="3" count="1">
            <x v="37"/>
          </reference>
        </references>
      </pivotArea>
    </format>
    <format dxfId="7930">
      <pivotArea dataOnly="0" labelOnly="1" outline="0" fieldPosition="0">
        <references count="3">
          <reference field="0" count="1" selected="0">
            <x v="364"/>
          </reference>
          <reference field="2" count="1" selected="0">
            <x v="25"/>
          </reference>
          <reference field="3" count="1">
            <x v="47"/>
          </reference>
        </references>
      </pivotArea>
    </format>
    <format dxfId="7929">
      <pivotArea dataOnly="0" labelOnly="1" outline="0" fieldPosition="0">
        <references count="3">
          <reference field="0" count="1" selected="0">
            <x v="565"/>
          </reference>
          <reference field="2" count="1" selected="0">
            <x v="30"/>
          </reference>
          <reference field="3" count="1">
            <x v="4"/>
          </reference>
        </references>
      </pivotArea>
    </format>
    <format dxfId="7928">
      <pivotArea dataOnly="0" labelOnly="1" outline="0" fieldPosition="0">
        <references count="3">
          <reference field="0" count="1" selected="0">
            <x v="285"/>
          </reference>
          <reference field="2" count="1" selected="0">
            <x v="34"/>
          </reference>
          <reference field="3" count="1">
            <x v="6"/>
          </reference>
        </references>
      </pivotArea>
    </format>
    <format dxfId="7927">
      <pivotArea dataOnly="0" labelOnly="1" outline="0" fieldPosition="0">
        <references count="3">
          <reference field="0" count="1" selected="0">
            <x v="298"/>
          </reference>
          <reference field="2" count="1" selected="0">
            <x v="50"/>
          </reference>
          <reference field="3" count="1">
            <x v="39"/>
          </reference>
        </references>
      </pivotArea>
    </format>
    <format dxfId="7926">
      <pivotArea dataOnly="0" labelOnly="1" outline="0" fieldPosition="0">
        <references count="3">
          <reference field="0" count="1" selected="0">
            <x v="287"/>
          </reference>
          <reference field="2" count="1" selected="0">
            <x v="20"/>
          </reference>
          <reference field="3" count="1">
            <x v="23"/>
          </reference>
        </references>
      </pivotArea>
    </format>
    <format dxfId="7925">
      <pivotArea dataOnly="0" labelOnly="1" outline="0" fieldPosition="0">
        <references count="3">
          <reference field="0" count="1" selected="0">
            <x v="550"/>
          </reference>
          <reference field="2" count="1" selected="0">
            <x v="25"/>
          </reference>
          <reference field="3" count="1">
            <x v="1"/>
          </reference>
        </references>
      </pivotArea>
    </format>
    <format dxfId="7924">
      <pivotArea dataOnly="0" labelOnly="1" outline="0" fieldPosition="0">
        <references count="3">
          <reference field="0" count="1" selected="0">
            <x v="350"/>
          </reference>
          <reference field="2" count="1" selected="0">
            <x v="7"/>
          </reference>
          <reference field="3" count="1">
            <x v="47"/>
          </reference>
        </references>
      </pivotArea>
    </format>
    <format dxfId="7923">
      <pivotArea dataOnly="0" labelOnly="1" outline="0" fieldPosition="0">
        <references count="3">
          <reference field="0" count="1" selected="0">
            <x v="48"/>
          </reference>
          <reference field="2" count="1" selected="0">
            <x v="6"/>
          </reference>
          <reference field="3" count="1">
            <x v="29"/>
          </reference>
        </references>
      </pivotArea>
    </format>
    <format dxfId="7922">
      <pivotArea dataOnly="0" labelOnly="1" outline="0" fieldPosition="0">
        <references count="3">
          <reference field="0" count="1" selected="0">
            <x v="84"/>
          </reference>
          <reference field="2" count="1" selected="0">
            <x v="37"/>
          </reference>
          <reference field="3" count="1">
            <x v="9"/>
          </reference>
        </references>
      </pivotArea>
    </format>
    <format dxfId="7921">
      <pivotArea dataOnly="0" labelOnly="1" outline="0" fieldPosition="0">
        <references count="3">
          <reference field="0" count="1" selected="0">
            <x v="536"/>
          </reference>
          <reference field="2" count="1" selected="0">
            <x v="47"/>
          </reference>
          <reference field="3" count="1">
            <x v="16"/>
          </reference>
        </references>
      </pivotArea>
    </format>
    <format dxfId="7920">
      <pivotArea dataOnly="0" labelOnly="1" outline="0" fieldPosition="0">
        <references count="3">
          <reference field="0" count="1" selected="0">
            <x v="423"/>
          </reference>
          <reference field="2" count="1" selected="0">
            <x v="38"/>
          </reference>
          <reference field="3" count="1">
            <x v="21"/>
          </reference>
        </references>
      </pivotArea>
    </format>
    <format dxfId="7919">
      <pivotArea dataOnly="0" labelOnly="1" outline="0" fieldPosition="0">
        <references count="3">
          <reference field="0" count="1" selected="0">
            <x v="397"/>
          </reference>
          <reference field="2" count="1" selected="0">
            <x v="41"/>
          </reference>
          <reference field="3" count="1">
            <x v="28"/>
          </reference>
        </references>
      </pivotArea>
    </format>
    <format dxfId="7918">
      <pivotArea dataOnly="0" labelOnly="1" outline="0" fieldPosition="0">
        <references count="3">
          <reference field="0" count="1" selected="0">
            <x v="8"/>
          </reference>
          <reference field="2" count="1" selected="0">
            <x v="8"/>
          </reference>
          <reference field="3" count="1">
            <x v="7"/>
          </reference>
        </references>
      </pivotArea>
    </format>
    <format dxfId="7917">
      <pivotArea dataOnly="0" labelOnly="1" outline="0" fieldPosition="0">
        <references count="3">
          <reference field="0" count="1" selected="0">
            <x v="104"/>
          </reference>
          <reference field="2" count="1" selected="0">
            <x v="41"/>
          </reference>
          <reference field="3" count="1">
            <x v="14"/>
          </reference>
        </references>
      </pivotArea>
    </format>
    <format dxfId="7916">
      <pivotArea dataOnly="0" labelOnly="1" outline="0" fieldPosition="0">
        <references count="3">
          <reference field="0" count="1" selected="0">
            <x v="300"/>
          </reference>
          <reference field="2" count="1" selected="0">
            <x v="35"/>
          </reference>
          <reference field="3" count="1">
            <x v="23"/>
          </reference>
        </references>
      </pivotArea>
    </format>
    <format dxfId="7915">
      <pivotArea dataOnly="0" labelOnly="1" outline="0" fieldPosition="0">
        <references count="3">
          <reference field="0" count="1" selected="0">
            <x v="392"/>
          </reference>
          <reference field="2" count="1" selected="0">
            <x v="10"/>
          </reference>
          <reference field="3" count="1">
            <x v="38"/>
          </reference>
        </references>
      </pivotArea>
    </format>
    <format dxfId="7914">
      <pivotArea dataOnly="0" labelOnly="1" outline="0" fieldPosition="0">
        <references count="3">
          <reference field="0" count="1" selected="0">
            <x v="247"/>
          </reference>
          <reference field="2" count="1" selected="0">
            <x v="33"/>
          </reference>
          <reference field="3" count="1">
            <x v="10"/>
          </reference>
        </references>
      </pivotArea>
    </format>
    <format dxfId="7913">
      <pivotArea dataOnly="0" labelOnly="1" outline="0" fieldPosition="0">
        <references count="3">
          <reference field="0" count="1" selected="0">
            <x v="36"/>
          </reference>
          <reference field="2" count="1" selected="0">
            <x v="26"/>
          </reference>
          <reference field="3" count="1">
            <x v="25"/>
          </reference>
        </references>
      </pivotArea>
    </format>
    <format dxfId="7912">
      <pivotArea dataOnly="0" labelOnly="1" outline="0" fieldPosition="0">
        <references count="3">
          <reference field="0" count="1" selected="0">
            <x v="78"/>
          </reference>
          <reference field="2" count="1" selected="0">
            <x v="35"/>
          </reference>
          <reference field="3" count="1">
            <x v="37"/>
          </reference>
        </references>
      </pivotArea>
    </format>
    <format dxfId="7911">
      <pivotArea dataOnly="0" labelOnly="1" outline="0" fieldPosition="0">
        <references count="3">
          <reference field="0" count="1" selected="0">
            <x v="368"/>
          </reference>
          <reference field="2" count="1" selected="0">
            <x v="40"/>
          </reference>
          <reference field="3" count="1">
            <x v="34"/>
          </reference>
        </references>
      </pivotArea>
    </format>
    <format dxfId="7910">
      <pivotArea dataOnly="0" labelOnly="1" outline="0" fieldPosition="0">
        <references count="3">
          <reference field="0" count="1" selected="0">
            <x v="425"/>
          </reference>
          <reference field="2" count="1" selected="0">
            <x v="31"/>
          </reference>
          <reference field="3" count="1">
            <x v="5"/>
          </reference>
        </references>
      </pivotArea>
    </format>
    <format dxfId="7909">
      <pivotArea dataOnly="0" labelOnly="1" outline="0" fieldPosition="0">
        <references count="3">
          <reference field="0" count="1" selected="0">
            <x v="116"/>
          </reference>
          <reference field="2" count="1" selected="0">
            <x v="36"/>
          </reference>
          <reference field="3" count="1">
            <x v="1"/>
          </reference>
        </references>
      </pivotArea>
    </format>
    <format dxfId="7908">
      <pivotArea dataOnly="0" labelOnly="1" outline="0" fieldPosition="0">
        <references count="3">
          <reference field="0" count="1" selected="0">
            <x v="559"/>
          </reference>
          <reference field="2" count="1" selected="0">
            <x v="9"/>
          </reference>
          <reference field="3" count="1">
            <x v="21"/>
          </reference>
        </references>
      </pivotArea>
    </format>
    <format dxfId="7907">
      <pivotArea dataOnly="0" labelOnly="1" outline="0" fieldPosition="0">
        <references count="3">
          <reference field="0" count="1" selected="0">
            <x v="567"/>
          </reference>
          <reference field="2" count="1" selected="0">
            <x v="40"/>
          </reference>
          <reference field="3" count="1">
            <x v="39"/>
          </reference>
        </references>
      </pivotArea>
    </format>
    <format dxfId="7906">
      <pivotArea dataOnly="0" labelOnly="1" outline="0" fieldPosition="0">
        <references count="3">
          <reference field="0" count="1" selected="0">
            <x v="208"/>
          </reference>
          <reference field="2" count="1" selected="0">
            <x v="11"/>
          </reference>
          <reference field="3" count="1">
            <x v="37"/>
          </reference>
        </references>
      </pivotArea>
    </format>
    <format dxfId="7905">
      <pivotArea dataOnly="0" labelOnly="1" outline="0" fieldPosition="0">
        <references count="3">
          <reference field="0" count="1" selected="0">
            <x v="157"/>
          </reference>
          <reference field="2" count="1" selected="0">
            <x v="18"/>
          </reference>
          <reference field="3" count="1">
            <x v="17"/>
          </reference>
        </references>
      </pivotArea>
    </format>
    <format dxfId="7904">
      <pivotArea dataOnly="0" labelOnly="1" outline="0" fieldPosition="0">
        <references count="3">
          <reference field="0" count="1" selected="0">
            <x v="406"/>
          </reference>
          <reference field="2" count="1" selected="0">
            <x v="7"/>
          </reference>
          <reference field="3" count="1">
            <x v="31"/>
          </reference>
        </references>
      </pivotArea>
    </format>
    <format dxfId="7903">
      <pivotArea dataOnly="0" labelOnly="1" outline="0" fieldPosition="0">
        <references count="3">
          <reference field="0" count="1" selected="0">
            <x v="373"/>
          </reference>
          <reference field="2" count="1" selected="0">
            <x v="13"/>
          </reference>
          <reference field="3" count="1">
            <x v="8"/>
          </reference>
        </references>
      </pivotArea>
    </format>
    <format dxfId="7902">
      <pivotArea dataOnly="0" labelOnly="1" outline="0" fieldPosition="0">
        <references count="3">
          <reference field="0" count="1" selected="0">
            <x v="405"/>
          </reference>
          <reference field="2" count="1" selected="0">
            <x v="50"/>
          </reference>
          <reference field="3" count="1">
            <x v="38"/>
          </reference>
        </references>
      </pivotArea>
    </format>
    <format dxfId="7901">
      <pivotArea dataOnly="0" labelOnly="1" outline="0" fieldPosition="0">
        <references count="3">
          <reference field="0" count="1" selected="0">
            <x v="146"/>
          </reference>
          <reference field="2" count="1" selected="0">
            <x v="5"/>
          </reference>
          <reference field="3" count="1">
            <x v="46"/>
          </reference>
        </references>
      </pivotArea>
    </format>
    <format dxfId="7900">
      <pivotArea dataOnly="0" labelOnly="1" outline="0" fieldPosition="0">
        <references count="3">
          <reference field="0" count="1" selected="0">
            <x v="568"/>
          </reference>
          <reference field="2" count="1" selected="0">
            <x v="47"/>
          </reference>
          <reference field="3" count="1">
            <x v="14"/>
          </reference>
        </references>
      </pivotArea>
    </format>
    <format dxfId="7899">
      <pivotArea dataOnly="0" labelOnly="1" outline="0" fieldPosition="0">
        <references count="3">
          <reference field="0" count="1" selected="0">
            <x v="275"/>
          </reference>
          <reference field="2" count="1" selected="0">
            <x v="27"/>
          </reference>
          <reference field="3" count="1">
            <x v="3"/>
          </reference>
        </references>
      </pivotArea>
    </format>
    <format dxfId="7898">
      <pivotArea dataOnly="0" labelOnly="1" outline="0" fieldPosition="0">
        <references count="3">
          <reference field="0" count="1" selected="0">
            <x v="142"/>
          </reference>
          <reference field="2" count="1" selected="0">
            <x v="6"/>
          </reference>
          <reference field="3" count="1">
            <x v="7"/>
          </reference>
        </references>
      </pivotArea>
    </format>
    <format dxfId="7897">
      <pivotArea dataOnly="0" labelOnly="1" outline="0" fieldPosition="0">
        <references count="3">
          <reference field="0" count="1" selected="0">
            <x v="80"/>
          </reference>
          <reference field="2" count="1" selected="0">
            <x v="9"/>
          </reference>
          <reference field="3" count="1">
            <x v="38"/>
          </reference>
        </references>
      </pivotArea>
    </format>
    <format dxfId="7896">
      <pivotArea dataOnly="0" labelOnly="1" outline="0" fieldPosition="0">
        <references count="3">
          <reference field="0" count="1" selected="0">
            <x v="209"/>
          </reference>
          <reference field="2" count="1" selected="0">
            <x v="13"/>
          </reference>
          <reference field="3" count="1">
            <x v="14"/>
          </reference>
        </references>
      </pivotArea>
    </format>
    <format dxfId="7895">
      <pivotArea dataOnly="0" labelOnly="1" outline="0" fieldPosition="0">
        <references count="3">
          <reference field="0" count="1" selected="0">
            <x v="7"/>
          </reference>
          <reference field="2" count="1" selected="0">
            <x v="7"/>
          </reference>
          <reference field="3" count="1">
            <x v="6"/>
          </reference>
        </references>
      </pivotArea>
    </format>
    <format dxfId="7894">
      <pivotArea dataOnly="0" labelOnly="1" outline="0" fieldPosition="0">
        <references count="3">
          <reference field="0" count="1" selected="0">
            <x v="289"/>
          </reference>
          <reference field="2" count="1" selected="0">
            <x v="14"/>
          </reference>
          <reference field="3" count="1">
            <x v="33"/>
          </reference>
        </references>
      </pivotArea>
    </format>
    <format dxfId="7893">
      <pivotArea dataOnly="0" labelOnly="1" outline="0" fieldPosition="0">
        <references count="3">
          <reference field="0" count="1" selected="0">
            <x v="511"/>
          </reference>
          <reference field="2" count="1" selected="0">
            <x v="7"/>
          </reference>
          <reference field="3" count="1">
            <x v="7"/>
          </reference>
        </references>
      </pivotArea>
    </format>
    <format dxfId="7892">
      <pivotArea dataOnly="0" labelOnly="1" outline="0" fieldPosition="0">
        <references count="3">
          <reference field="0" count="1" selected="0">
            <x v="1"/>
          </reference>
          <reference field="2" count="1" selected="0">
            <x v="1"/>
          </reference>
          <reference field="3" count="1">
            <x v="1"/>
          </reference>
        </references>
      </pivotArea>
    </format>
    <format dxfId="7891">
      <pivotArea dataOnly="0" labelOnly="1" outline="0" fieldPosition="0">
        <references count="3">
          <reference field="0" count="1" selected="0">
            <x v="457"/>
          </reference>
          <reference field="2" count="1" selected="0">
            <x v="12"/>
          </reference>
          <reference field="3" count="1">
            <x v="49"/>
          </reference>
        </references>
      </pivotArea>
    </format>
    <format dxfId="7890">
      <pivotArea dataOnly="0" labelOnly="1" outline="0" fieldPosition="0">
        <references count="3">
          <reference field="0" count="1" selected="0">
            <x v="381"/>
          </reference>
          <reference field="2" count="1" selected="0">
            <x v="41"/>
          </reference>
          <reference field="3" count="1">
            <x v="21"/>
          </reference>
        </references>
      </pivotArea>
    </format>
    <format dxfId="7889">
      <pivotArea dataOnly="0" labelOnly="1" outline="0" fieldPosition="0">
        <references count="3">
          <reference field="0" count="1" selected="0">
            <x v="502"/>
          </reference>
          <reference field="2" count="1" selected="0">
            <x v="32"/>
          </reference>
          <reference field="3" count="1">
            <x v="17"/>
          </reference>
        </references>
      </pivotArea>
    </format>
    <format dxfId="7888">
      <pivotArea dataOnly="0" labelOnly="1" outline="0" fieldPosition="0">
        <references count="3">
          <reference field="0" count="1" selected="0">
            <x v="524"/>
          </reference>
          <reference field="2" count="1" selected="0">
            <x v="12"/>
          </reference>
          <reference field="3" count="1">
            <x v="0"/>
          </reference>
        </references>
      </pivotArea>
    </format>
    <format dxfId="7887">
      <pivotArea dataOnly="0" labelOnly="1" outline="0" fieldPosition="0">
        <references count="3">
          <reference field="0" count="1" selected="0">
            <x v="581"/>
          </reference>
          <reference field="2" count="1" selected="0">
            <x v="33"/>
          </reference>
          <reference field="3" count="1">
            <x v="37"/>
          </reference>
        </references>
      </pivotArea>
    </format>
    <format dxfId="7886">
      <pivotArea dataOnly="0" labelOnly="1" outline="0" fieldPosition="0">
        <references count="3">
          <reference field="0" count="1" selected="0">
            <x v="217"/>
          </reference>
          <reference field="2" count="1" selected="0">
            <x v="11"/>
          </reference>
          <reference field="3" count="1">
            <x v="25"/>
          </reference>
        </references>
      </pivotArea>
    </format>
    <format dxfId="7885">
      <pivotArea dataOnly="0" labelOnly="1" outline="0" fieldPosition="0">
        <references count="3">
          <reference field="0" count="1" selected="0">
            <x v="443"/>
          </reference>
          <reference field="2" count="1" selected="0">
            <x v="27"/>
          </reference>
          <reference field="3" count="1">
            <x v="39"/>
          </reference>
        </references>
      </pivotArea>
    </format>
    <format dxfId="7884">
      <pivotArea dataOnly="0" labelOnly="1" outline="0" fieldPosition="0">
        <references count="3">
          <reference field="0" count="1" selected="0">
            <x v="504"/>
          </reference>
          <reference field="2" count="1" selected="0">
            <x v="36"/>
          </reference>
          <reference field="3" count="1">
            <x v="4"/>
          </reference>
        </references>
      </pivotArea>
    </format>
    <format dxfId="7883">
      <pivotArea dataOnly="0" labelOnly="1" outline="0" fieldPosition="0">
        <references count="3">
          <reference field="0" count="1" selected="0">
            <x v="591"/>
          </reference>
          <reference field="2" count="1" selected="0">
            <x v="15"/>
          </reference>
          <reference field="3" count="1">
            <x v="31"/>
          </reference>
        </references>
      </pivotArea>
    </format>
    <format dxfId="7882">
      <pivotArea dataOnly="0" labelOnly="1" outline="0" fieldPosition="0">
        <references count="3">
          <reference field="0" count="1" selected="0">
            <x v="605"/>
          </reference>
          <reference field="2" count="1" selected="0">
            <x v="49"/>
          </reference>
          <reference field="3" count="1">
            <x v="36"/>
          </reference>
        </references>
      </pivotArea>
    </format>
    <format dxfId="7881">
      <pivotArea dataOnly="0" labelOnly="1" outline="0" fieldPosition="0">
        <references count="3">
          <reference field="0" count="1" selected="0">
            <x v="76"/>
          </reference>
          <reference field="2" count="1" selected="0">
            <x v="6"/>
          </reference>
          <reference field="3" count="1">
            <x v="19"/>
          </reference>
        </references>
      </pivotArea>
    </format>
    <format dxfId="7880">
      <pivotArea dataOnly="0" labelOnly="1" outline="0" fieldPosition="0">
        <references count="3">
          <reference field="0" count="1" selected="0">
            <x v="62"/>
          </reference>
          <reference field="2" count="1" selected="0">
            <x v="12"/>
          </reference>
          <reference field="3" count="1">
            <x v="26"/>
          </reference>
        </references>
      </pivotArea>
    </format>
    <format dxfId="7879">
      <pivotArea dataOnly="0" labelOnly="1" outline="0" fieldPosition="0">
        <references count="3">
          <reference field="0" count="1" selected="0">
            <x v="590"/>
          </reference>
          <reference field="2" count="1" selected="0">
            <x v="15"/>
          </reference>
          <reference field="3" count="1">
            <x v="27"/>
          </reference>
        </references>
      </pivotArea>
    </format>
    <format dxfId="7878">
      <pivotArea dataOnly="0" labelOnly="1" outline="0" fieldPosition="0">
        <references count="3">
          <reference field="0" count="1" selected="0">
            <x v="314"/>
          </reference>
          <reference field="2" count="1" selected="0">
            <x v="18"/>
          </reference>
          <reference field="3" count="1">
            <x v="3"/>
          </reference>
        </references>
      </pivotArea>
    </format>
    <format dxfId="7877">
      <pivotArea dataOnly="0" labelOnly="1" outline="0" fieldPosition="0">
        <references count="3">
          <reference field="0" count="1" selected="0">
            <x v="191"/>
          </reference>
          <reference field="2" count="1" selected="0">
            <x v="47"/>
          </reference>
          <reference field="3" count="1">
            <x v="10"/>
          </reference>
        </references>
      </pivotArea>
    </format>
    <format dxfId="7876">
      <pivotArea dataOnly="0" labelOnly="1" outline="0" fieldPosition="0">
        <references count="3">
          <reference field="0" count="1" selected="0">
            <x v="96"/>
          </reference>
          <reference field="2" count="1" selected="0">
            <x v="27"/>
          </reference>
          <reference field="3" count="1">
            <x v="42"/>
          </reference>
        </references>
      </pivotArea>
    </format>
    <format dxfId="7875">
      <pivotArea dataOnly="0" labelOnly="1" outline="0" fieldPosition="0">
        <references count="3">
          <reference field="0" count="1" selected="0">
            <x v="39"/>
          </reference>
          <reference field="2" count="1" selected="0">
            <x v="27"/>
          </reference>
          <reference field="3" count="1">
            <x v="27"/>
          </reference>
        </references>
      </pivotArea>
    </format>
    <format dxfId="7874">
      <pivotArea dataOnly="0" labelOnly="1" outline="0" fieldPosition="0">
        <references count="3">
          <reference field="0" count="1" selected="0">
            <x v="491"/>
          </reference>
          <reference field="2" count="1" selected="0">
            <x v="45"/>
          </reference>
          <reference field="3" count="1">
            <x v="0"/>
          </reference>
        </references>
      </pivotArea>
    </format>
    <format dxfId="7873">
      <pivotArea dataOnly="0" labelOnly="1" outline="0" fieldPosition="0">
        <references count="3">
          <reference field="0" count="1" selected="0">
            <x v="372"/>
          </reference>
          <reference field="2" count="1" selected="0">
            <x v="16"/>
          </reference>
          <reference field="3" count="1">
            <x v="35"/>
          </reference>
        </references>
      </pivotArea>
    </format>
    <format dxfId="7872">
      <pivotArea dataOnly="0" labelOnly="1" outline="0" fieldPosition="0">
        <references count="3">
          <reference field="0" count="1" selected="0">
            <x v="93"/>
          </reference>
          <reference field="2" count="1" selected="0">
            <x v="40"/>
          </reference>
          <reference field="3" count="1">
            <x v="41"/>
          </reference>
        </references>
      </pivotArea>
    </format>
    <format dxfId="7871">
      <pivotArea dataOnly="0" labelOnly="1" outline="0" fieldPosition="0">
        <references count="3">
          <reference field="0" count="1" selected="0">
            <x v="14"/>
          </reference>
          <reference field="2" count="1" selected="0">
            <x v="13"/>
          </reference>
          <reference field="3" count="1">
            <x v="10"/>
          </reference>
        </references>
      </pivotArea>
    </format>
    <format dxfId="7870">
      <pivotArea dataOnly="0" labelOnly="1" outline="0" fieldPosition="0">
        <references count="3">
          <reference field="0" count="1" selected="0">
            <x v="253"/>
          </reference>
          <reference field="2" count="1" selected="0">
            <x v="9"/>
          </reference>
          <reference field="3" count="1">
            <x v="8"/>
          </reference>
        </references>
      </pivotArea>
    </format>
    <format dxfId="7869">
      <pivotArea dataOnly="0" labelOnly="1" outline="0" fieldPosition="0">
        <references count="3">
          <reference field="0" count="1" selected="0">
            <x v="177"/>
          </reference>
          <reference field="2" count="1" selected="0">
            <x v="0"/>
          </reference>
          <reference field="3" count="1">
            <x v="36"/>
          </reference>
        </references>
      </pivotArea>
    </format>
    <format dxfId="7868">
      <pivotArea dataOnly="0" labelOnly="1" outline="0" fieldPosition="0">
        <references count="3">
          <reference field="0" count="1" selected="0">
            <x v="187"/>
          </reference>
          <reference field="2" count="1" selected="0">
            <x v="24"/>
          </reference>
          <reference field="3" count="1">
            <x v="6"/>
          </reference>
        </references>
      </pivotArea>
    </format>
    <format dxfId="7867">
      <pivotArea dataOnly="0" labelOnly="1" outline="0" fieldPosition="0">
        <references count="3">
          <reference field="0" count="1" selected="0">
            <x v="427"/>
          </reference>
          <reference field="2" count="1" selected="0">
            <x v="24"/>
          </reference>
          <reference field="3" count="1">
            <x v="12"/>
          </reference>
        </references>
      </pivotArea>
    </format>
    <format dxfId="7866">
      <pivotArea dataOnly="0" labelOnly="1" outline="0" fieldPosition="0">
        <references count="3">
          <reference field="0" count="1" selected="0">
            <x v="374"/>
          </reference>
          <reference field="2" count="1" selected="0">
            <x v="12"/>
          </reference>
          <reference field="3" count="1">
            <x v="20"/>
          </reference>
        </references>
      </pivotArea>
    </format>
    <format dxfId="7865">
      <pivotArea dataOnly="0" labelOnly="1" outline="0" fieldPosition="0">
        <references count="3">
          <reference field="0" count="1" selected="0">
            <x v="507"/>
          </reference>
          <reference field="2" count="1" selected="0">
            <x v="23"/>
          </reference>
          <reference field="3" count="1">
            <x v="37"/>
          </reference>
        </references>
      </pivotArea>
    </format>
    <format dxfId="7864">
      <pivotArea dataOnly="0" labelOnly="1" outline="0" fieldPosition="0">
        <references count="3">
          <reference field="0" count="1" selected="0">
            <x v="455"/>
          </reference>
          <reference field="2" count="1" selected="0">
            <x v="45"/>
          </reference>
          <reference field="3" count="1">
            <x v="48"/>
          </reference>
        </references>
      </pivotArea>
    </format>
    <format dxfId="7863">
      <pivotArea dataOnly="0" labelOnly="1" outline="0" fieldPosition="0">
        <references count="3">
          <reference field="0" count="1" selected="0">
            <x v="101"/>
          </reference>
          <reference field="2" count="1" selected="0">
            <x v="37"/>
          </reference>
          <reference field="3" count="1">
            <x v="36"/>
          </reference>
        </references>
      </pivotArea>
    </format>
    <format dxfId="7862">
      <pivotArea dataOnly="0" labelOnly="1" outline="0" fieldPosition="0">
        <references count="3">
          <reference field="0" count="1" selected="0">
            <x v="266"/>
          </reference>
          <reference field="2" count="1" selected="0">
            <x v="26"/>
          </reference>
          <reference field="3" count="1">
            <x v="23"/>
          </reference>
        </references>
      </pivotArea>
    </format>
    <format dxfId="7861">
      <pivotArea dataOnly="0" labelOnly="1" outline="0" fieldPosition="0">
        <references count="3">
          <reference field="0" count="1" selected="0">
            <x v="52"/>
          </reference>
          <reference field="2" count="1" selected="0">
            <x v="30"/>
          </reference>
          <reference field="3" count="1">
            <x v="27"/>
          </reference>
        </references>
      </pivotArea>
    </format>
    <format dxfId="7860">
      <pivotArea dataOnly="0" labelOnly="1" outline="0" fieldPosition="0">
        <references count="3">
          <reference field="0" count="1" selected="0">
            <x v="106"/>
          </reference>
          <reference field="2" count="1" selected="0">
            <x v="16"/>
          </reference>
          <reference field="3" count="1">
            <x v="42"/>
          </reference>
        </references>
      </pivotArea>
    </format>
    <format dxfId="7859">
      <pivotArea dataOnly="0" labelOnly="1" outline="0" fieldPosition="0">
        <references count="3">
          <reference field="0" count="1" selected="0">
            <x v="497"/>
          </reference>
          <reference field="2" count="1" selected="0">
            <x v="43"/>
          </reference>
          <reference field="3" count="1">
            <x v="46"/>
          </reference>
        </references>
      </pivotArea>
    </format>
    <format dxfId="7858">
      <pivotArea dataOnly="0" labelOnly="1" outline="0" fieldPosition="0">
        <references count="3">
          <reference field="0" count="1" selected="0">
            <x v="108"/>
          </reference>
          <reference field="2" count="1" selected="0">
            <x v="38"/>
          </reference>
          <reference field="3" count="1">
            <x v="12"/>
          </reference>
        </references>
      </pivotArea>
    </format>
    <format dxfId="7857">
      <pivotArea dataOnly="0" labelOnly="1" outline="0" fieldPosition="0">
        <references count="3">
          <reference field="0" count="1" selected="0">
            <x v="89"/>
          </reference>
          <reference field="2" count="1" selected="0">
            <x v="27"/>
          </reference>
          <reference field="3" count="1">
            <x v="23"/>
          </reference>
        </references>
      </pivotArea>
    </format>
    <format dxfId="7856">
      <pivotArea dataOnly="0" labelOnly="1" outline="0" fieldPosition="0">
        <references count="3">
          <reference field="0" count="1" selected="0">
            <x v="579"/>
          </reference>
          <reference field="2" count="1" selected="0">
            <x v="19"/>
          </reference>
          <reference field="3" count="1">
            <x v="24"/>
          </reference>
        </references>
      </pivotArea>
    </format>
    <format dxfId="7855">
      <pivotArea dataOnly="0" labelOnly="1" outline="0" fieldPosition="0">
        <references count="3">
          <reference field="0" count="1" selected="0">
            <x v="339"/>
          </reference>
          <reference field="2" count="1" selected="0">
            <x v="18"/>
          </reference>
          <reference field="3" count="1">
            <x v="3"/>
          </reference>
        </references>
      </pivotArea>
    </format>
    <format dxfId="7854">
      <pivotArea dataOnly="0" labelOnly="1" outline="0" fieldPosition="0">
        <references count="3">
          <reference field="0" count="1" selected="0">
            <x v="400"/>
          </reference>
          <reference field="2" count="1" selected="0">
            <x v="22"/>
          </reference>
          <reference field="3" count="1">
            <x v="22"/>
          </reference>
        </references>
      </pivotArea>
    </format>
    <format dxfId="7853">
      <pivotArea dataOnly="0" labelOnly="1" outline="0" fieldPosition="0">
        <references count="3">
          <reference field="0" count="1" selected="0">
            <x v="597"/>
          </reference>
          <reference field="2" count="1" selected="0">
            <x v="22"/>
          </reference>
          <reference field="3" count="1">
            <x v="13"/>
          </reference>
        </references>
      </pivotArea>
    </format>
    <format dxfId="7852">
      <pivotArea dataOnly="0" labelOnly="1" outline="0" fieldPosition="0">
        <references count="3">
          <reference field="0" count="1" selected="0">
            <x v="421"/>
          </reference>
          <reference field="2" count="1" selected="0">
            <x v="17"/>
          </reference>
          <reference field="3" count="1">
            <x v="17"/>
          </reference>
        </references>
      </pivotArea>
    </format>
    <format dxfId="7851">
      <pivotArea dataOnly="0" labelOnly="1" outline="0" fieldPosition="0">
        <references count="3">
          <reference field="0" count="1" selected="0">
            <x v="482"/>
          </reference>
          <reference field="2" count="1" selected="0">
            <x v="28"/>
          </reference>
          <reference field="3" count="1">
            <x v="38"/>
          </reference>
        </references>
      </pivotArea>
    </format>
    <format dxfId="7850">
      <pivotArea dataOnly="0" labelOnly="1" outline="0" fieldPosition="0">
        <references count="3">
          <reference field="0" count="1" selected="0">
            <x v="34"/>
          </reference>
          <reference field="2" count="1" selected="0">
            <x v="5"/>
          </reference>
          <reference field="3" count="1">
            <x v="4"/>
          </reference>
        </references>
      </pivotArea>
    </format>
    <format dxfId="7849">
      <pivotArea dataOnly="0" labelOnly="1" outline="0" fieldPosition="0">
        <references count="3">
          <reference field="0" count="1" selected="0">
            <x v="213"/>
          </reference>
          <reference field="2" count="1" selected="0">
            <x v="36"/>
          </reference>
          <reference field="3" count="1">
            <x v="36"/>
          </reference>
        </references>
      </pivotArea>
    </format>
    <format dxfId="7848">
      <pivotArea dataOnly="0" labelOnly="1" outline="0" fieldPosition="0">
        <references count="3">
          <reference field="0" count="1" selected="0">
            <x v="242"/>
          </reference>
          <reference field="2" count="1" selected="0">
            <x v="15"/>
          </reference>
          <reference field="3" count="1">
            <x v="8"/>
          </reference>
        </references>
      </pivotArea>
    </format>
    <format dxfId="7847">
      <pivotArea dataOnly="0" labelOnly="1" outline="0" fieldPosition="0">
        <references count="3">
          <reference field="0" count="1" selected="0">
            <x v="301"/>
          </reference>
          <reference field="2" count="1" selected="0">
            <x v="4"/>
          </reference>
          <reference field="3" count="1">
            <x v="48"/>
          </reference>
        </references>
      </pivotArea>
    </format>
    <format dxfId="7846">
      <pivotArea dataOnly="0" labelOnly="1" outline="0" fieldPosition="0">
        <references count="3">
          <reference field="0" count="1" selected="0">
            <x v="117"/>
          </reference>
          <reference field="2" count="1" selected="0">
            <x v="33"/>
          </reference>
          <reference field="3" count="1">
            <x v="42"/>
          </reference>
        </references>
      </pivotArea>
    </format>
    <format dxfId="7845">
      <pivotArea dataOnly="0" labelOnly="1" outline="0" fieldPosition="0">
        <references count="3">
          <reference field="0" count="1" selected="0">
            <x v="37"/>
          </reference>
          <reference field="2" count="1" selected="0">
            <x v="20"/>
          </reference>
          <reference field="3" count="1">
            <x v="26"/>
          </reference>
        </references>
      </pivotArea>
    </format>
    <format dxfId="7844">
      <pivotArea dataOnly="0" labelOnly="1" outline="0" fieldPosition="0">
        <references count="3">
          <reference field="0" count="1" selected="0">
            <x v="31"/>
          </reference>
          <reference field="2" count="1" selected="0">
            <x v="24"/>
          </reference>
          <reference field="3" count="1">
            <x v="22"/>
          </reference>
        </references>
      </pivotArea>
    </format>
    <format dxfId="7843">
      <pivotArea dataOnly="0" labelOnly="1" outline="0" fieldPosition="0">
        <references count="3">
          <reference field="0" count="1" selected="0">
            <x v="580"/>
          </reference>
          <reference field="2" count="1" selected="0">
            <x v="12"/>
          </reference>
          <reference field="3" count="1">
            <x v="35"/>
          </reference>
        </references>
      </pivotArea>
    </format>
    <format dxfId="7842">
      <pivotArea dataOnly="0" labelOnly="1" outline="0" fieldPosition="0">
        <references count="3">
          <reference field="0" count="1" selected="0">
            <x v="542"/>
          </reference>
          <reference field="2" count="1" selected="0">
            <x v="42"/>
          </reference>
          <reference field="3" count="1">
            <x v="9"/>
          </reference>
        </references>
      </pivotArea>
    </format>
    <format dxfId="7841">
      <pivotArea dataOnly="0" labelOnly="1" outline="0" fieldPosition="0">
        <references count="3">
          <reference field="0" count="1" selected="0">
            <x v="528"/>
          </reference>
          <reference field="2" count="1" selected="0">
            <x v="47"/>
          </reference>
          <reference field="3" count="1">
            <x v="46"/>
          </reference>
        </references>
      </pivotArea>
    </format>
    <format dxfId="7840">
      <pivotArea dataOnly="0" labelOnly="1" outline="0" fieldPosition="0">
        <references count="3">
          <reference field="0" count="1" selected="0">
            <x v="382"/>
          </reference>
          <reference field="2" count="1" selected="0">
            <x v="15"/>
          </reference>
          <reference field="3" count="1">
            <x v="30"/>
          </reference>
        </references>
      </pivotArea>
    </format>
    <format dxfId="7839">
      <pivotArea dataOnly="0" labelOnly="1" outline="0" fieldPosition="0">
        <references count="3">
          <reference field="0" count="1" selected="0">
            <x v="569"/>
          </reference>
          <reference field="2" count="1" selected="0">
            <x v="47"/>
          </reference>
          <reference field="3" count="1">
            <x v="3"/>
          </reference>
        </references>
      </pivotArea>
    </format>
    <format dxfId="7838">
      <pivotArea dataOnly="0" labelOnly="1" outline="0" fieldPosition="0">
        <references count="3">
          <reference field="0" count="1" selected="0">
            <x v="317"/>
          </reference>
          <reference field="2" count="1" selected="0">
            <x v="50"/>
          </reference>
          <reference field="3" count="1">
            <x v="11"/>
          </reference>
        </references>
      </pivotArea>
    </format>
    <format dxfId="7837">
      <pivotArea dataOnly="0" labelOnly="1" outline="0" fieldPosition="0">
        <references count="3">
          <reference field="0" count="1" selected="0">
            <x v="356"/>
          </reference>
          <reference field="2" count="1" selected="0">
            <x v="40"/>
          </reference>
          <reference field="3" count="1">
            <x v="21"/>
          </reference>
        </references>
      </pivotArea>
    </format>
    <format dxfId="7836">
      <pivotArea dataOnly="0" labelOnly="1" outline="0" fieldPosition="0">
        <references count="3">
          <reference field="0" count="1" selected="0">
            <x v="503"/>
          </reference>
          <reference field="2" count="1" selected="0">
            <x v="9"/>
          </reference>
          <reference field="3" count="1">
            <x v="22"/>
          </reference>
        </references>
      </pivotArea>
    </format>
    <format dxfId="7835">
      <pivotArea dataOnly="0" labelOnly="1" outline="0" fieldPosition="0">
        <references count="3">
          <reference field="0" count="1" selected="0">
            <x v="269"/>
          </reference>
          <reference field="2" count="1" selected="0">
            <x v="14"/>
          </reference>
          <reference field="3" count="1">
            <x v="46"/>
          </reference>
        </references>
      </pivotArea>
    </format>
    <format dxfId="7834">
      <pivotArea dataOnly="0" labelOnly="1" outline="0" fieldPosition="0">
        <references count="3">
          <reference field="0" count="1" selected="0">
            <x v="563"/>
          </reference>
          <reference field="2" count="1" selected="0">
            <x v="37"/>
          </reference>
          <reference field="3" count="1">
            <x v="0"/>
          </reference>
        </references>
      </pivotArea>
    </format>
    <format dxfId="7833">
      <pivotArea dataOnly="0" labelOnly="1" outline="0" fieldPosition="0">
        <references count="3">
          <reference field="0" count="1" selected="0">
            <x v="490"/>
          </reference>
          <reference field="2" count="1" selected="0">
            <x v="28"/>
          </reference>
          <reference field="3" count="1">
            <x v="18"/>
          </reference>
        </references>
      </pivotArea>
    </format>
    <format dxfId="7832">
      <pivotArea dataOnly="0" labelOnly="1" outline="0" fieldPosition="0">
        <references count="3">
          <reference field="0" count="1" selected="0">
            <x v="272"/>
          </reference>
          <reference field="2" count="1" selected="0">
            <x v="38"/>
          </reference>
          <reference field="3" count="1">
            <x v="49"/>
          </reference>
        </references>
      </pivotArea>
    </format>
    <format dxfId="7831">
      <pivotArea dataOnly="0" labelOnly="1" outline="0" fieldPosition="0">
        <references count="3">
          <reference field="0" count="1" selected="0">
            <x v="284"/>
          </reference>
          <reference field="2" count="1" selected="0">
            <x v="36"/>
          </reference>
          <reference field="3" count="1">
            <x v="46"/>
          </reference>
        </references>
      </pivotArea>
    </format>
    <format dxfId="7830">
      <pivotArea dataOnly="0" labelOnly="1" outline="0" fieldPosition="0">
        <references count="3">
          <reference field="0" count="1" selected="0">
            <x v="124"/>
          </reference>
          <reference field="2" count="1" selected="0">
            <x v="44"/>
          </reference>
          <reference field="3" count="1">
            <x v="41"/>
          </reference>
        </references>
      </pivotArea>
    </format>
    <format dxfId="7829">
      <pivotArea dataOnly="0" labelOnly="1" outline="0" fieldPosition="0">
        <references count="3">
          <reference field="0" count="1" selected="0">
            <x v="582"/>
          </reference>
          <reference field="2" count="1" selected="0">
            <x v="25"/>
          </reference>
          <reference field="3" count="1">
            <x v="6"/>
          </reference>
        </references>
      </pivotArea>
    </format>
    <format dxfId="7828">
      <pivotArea dataOnly="0" labelOnly="1" outline="0" fieldPosition="0">
        <references count="3">
          <reference field="0" count="1" selected="0">
            <x v="531"/>
          </reference>
          <reference field="2" count="1" selected="0">
            <x v="38"/>
          </reference>
          <reference field="3" count="1">
            <x v="13"/>
          </reference>
        </references>
      </pivotArea>
    </format>
    <format dxfId="7827">
      <pivotArea dataOnly="0" labelOnly="1" outline="0" fieldPosition="0">
        <references count="3">
          <reference field="0" count="1" selected="0">
            <x v="558"/>
          </reference>
          <reference field="2" count="1" selected="0">
            <x v="28"/>
          </reference>
          <reference field="3" count="1">
            <x v="44"/>
          </reference>
        </references>
      </pivotArea>
    </format>
    <format dxfId="7826">
      <pivotArea dataOnly="0" labelOnly="1" outline="0" fieldPosition="0">
        <references count="3">
          <reference field="0" count="1" selected="0">
            <x v="495"/>
          </reference>
          <reference field="2" count="1" selected="0">
            <x v="37"/>
          </reference>
          <reference field="3" count="1">
            <x v="39"/>
          </reference>
        </references>
      </pivotArea>
    </format>
    <format dxfId="7825">
      <pivotArea dataOnly="0" labelOnly="1" outline="0" fieldPosition="0">
        <references count="3">
          <reference field="0" count="1" selected="0">
            <x v="335"/>
          </reference>
          <reference field="2" count="1" selected="0">
            <x v="3"/>
          </reference>
          <reference field="3" count="1">
            <x v="40"/>
          </reference>
        </references>
      </pivotArea>
    </format>
    <format dxfId="7824">
      <pivotArea dataOnly="0" labelOnly="1" outline="0" fieldPosition="0">
        <references count="3">
          <reference field="0" count="1" selected="0">
            <x v="588"/>
          </reference>
          <reference field="2" count="1" selected="0">
            <x v="22"/>
          </reference>
          <reference field="3" count="1">
            <x v="27"/>
          </reference>
        </references>
      </pivotArea>
    </format>
    <format dxfId="7823">
      <pivotArea dataOnly="0" labelOnly="1" outline="0" fieldPosition="0">
        <references count="3">
          <reference field="0" count="1" selected="0">
            <x v="508"/>
          </reference>
          <reference field="2" count="1" selected="0">
            <x v="35"/>
          </reference>
          <reference field="3" count="1">
            <x v="30"/>
          </reference>
        </references>
      </pivotArea>
    </format>
    <format dxfId="7822">
      <pivotArea dataOnly="0" labelOnly="1" outline="0" fieldPosition="0">
        <references count="3">
          <reference field="0" count="1" selected="0">
            <x v="367"/>
          </reference>
          <reference field="2" count="1" selected="0">
            <x v="14"/>
          </reference>
          <reference field="3" count="1">
            <x v="16"/>
          </reference>
        </references>
      </pivotArea>
    </format>
    <format dxfId="7821">
      <pivotArea dataOnly="0" labelOnly="1" outline="0" fieldPosition="0">
        <references count="3">
          <reference field="0" count="1" selected="0">
            <x v="255"/>
          </reference>
          <reference field="2" count="1" selected="0">
            <x v="2"/>
          </reference>
          <reference field="3" count="1">
            <x v="4"/>
          </reference>
        </references>
      </pivotArea>
    </format>
    <format dxfId="7820">
      <pivotArea dataOnly="0" labelOnly="1" outline="0" fieldPosition="0">
        <references count="3">
          <reference field="0" count="1" selected="0">
            <x v="185"/>
          </reference>
          <reference field="2" count="1" selected="0">
            <x v="1"/>
          </reference>
          <reference field="3" count="1">
            <x v="40"/>
          </reference>
        </references>
      </pivotArea>
    </format>
    <format dxfId="7819">
      <pivotArea dataOnly="0" labelOnly="1" outline="0" fieldPosition="0">
        <references count="3">
          <reference field="0" count="1" selected="0">
            <x v="219"/>
          </reference>
          <reference field="2" count="1" selected="0">
            <x v="33"/>
          </reference>
          <reference field="3" count="1">
            <x v="6"/>
          </reference>
        </references>
      </pivotArea>
    </format>
    <format dxfId="7818">
      <pivotArea dataOnly="0" labelOnly="1" outline="0" fieldPosition="0">
        <references count="3">
          <reference field="0" count="1" selected="0">
            <x v="238"/>
          </reference>
          <reference field="2" count="1" selected="0">
            <x v="43"/>
          </reference>
          <reference field="3" count="1">
            <x v="8"/>
          </reference>
        </references>
      </pivotArea>
    </format>
    <format dxfId="7817">
      <pivotArea dataOnly="0" labelOnly="1" outline="0" fieldPosition="0">
        <references count="3">
          <reference field="0" count="1" selected="0">
            <x v="9"/>
          </reference>
          <reference field="2" count="1" selected="0">
            <x v="9"/>
          </reference>
          <reference field="3" count="1">
            <x v="8"/>
          </reference>
        </references>
      </pivotArea>
    </format>
    <format dxfId="7816">
      <pivotArea dataOnly="0" labelOnly="1" outline="0" fieldPosition="0">
        <references count="3">
          <reference field="0" count="1" selected="0">
            <x v="144"/>
          </reference>
          <reference field="2" count="1" selected="0">
            <x v="11"/>
          </reference>
          <reference field="3" count="1">
            <x v="45"/>
          </reference>
        </references>
      </pivotArea>
    </format>
    <format dxfId="7815">
      <pivotArea dataOnly="0" labelOnly="1" outline="0" fieldPosition="0">
        <references count="3">
          <reference field="0" count="1" selected="0">
            <x v="148"/>
          </reference>
          <reference field="2" count="1" selected="0">
            <x v="10"/>
          </reference>
          <reference field="3" count="1">
            <x v="1"/>
          </reference>
        </references>
      </pivotArea>
    </format>
    <format dxfId="7814">
      <pivotArea dataOnly="0" labelOnly="1" outline="0" fieldPosition="0">
        <references count="3">
          <reference field="0" count="1" selected="0">
            <x v="363"/>
          </reference>
          <reference field="2" count="1" selected="0">
            <x v="29"/>
          </reference>
          <reference field="3" count="1">
            <x v="33"/>
          </reference>
        </references>
      </pivotArea>
    </format>
    <format dxfId="7813">
      <pivotArea dataOnly="0" labelOnly="1" outline="0" fieldPosition="0">
        <references count="3">
          <reference field="0" count="1" selected="0">
            <x v="414"/>
          </reference>
          <reference field="2" count="1" selected="0">
            <x v="7"/>
          </reference>
          <reference field="3" count="1">
            <x v="17"/>
          </reference>
        </references>
      </pivotArea>
    </format>
    <format dxfId="7812">
      <pivotArea dataOnly="0" labelOnly="1" outline="0" fieldPosition="0">
        <references count="3">
          <reference field="0" count="1" selected="0">
            <x v="45"/>
          </reference>
          <reference field="2" count="1" selected="0">
            <x v="28"/>
          </reference>
          <reference field="3" count="1">
            <x v="21"/>
          </reference>
        </references>
      </pivotArea>
    </format>
    <format dxfId="7811">
      <pivotArea dataOnly="0" labelOnly="1" outline="0" fieldPosition="0">
        <references count="3">
          <reference field="0" count="1" selected="0">
            <x v="58"/>
          </reference>
          <reference field="2" count="1" selected="0">
            <x v="6"/>
          </reference>
          <reference field="3" count="1">
            <x v="26"/>
          </reference>
        </references>
      </pivotArea>
    </format>
    <format dxfId="7810">
      <pivotArea dataOnly="0" labelOnly="1" outline="0" fieldPosition="0">
        <references count="3">
          <reference field="0" count="1" selected="0">
            <x v="192"/>
          </reference>
          <reference field="2" count="1" selected="0">
            <x v="34"/>
          </reference>
          <reference field="3" count="1">
            <x v="31"/>
          </reference>
        </references>
      </pivotArea>
    </format>
    <format dxfId="7809">
      <pivotArea dataOnly="0" labelOnly="1" outline="0" fieldPosition="0">
        <references count="3">
          <reference field="0" count="1" selected="0">
            <x v="343"/>
          </reference>
          <reference field="2" count="1" selected="0">
            <x v="12"/>
          </reference>
          <reference field="3" count="1">
            <x v="17"/>
          </reference>
        </references>
      </pivotArea>
    </format>
    <format dxfId="7808">
      <pivotArea dataOnly="0" labelOnly="1" outline="0" fieldPosition="0">
        <references count="3">
          <reference field="0" count="1" selected="0">
            <x v="369"/>
          </reference>
          <reference field="2" count="1" selected="0">
            <x v="47"/>
          </reference>
          <reference field="3" count="1">
            <x v="47"/>
          </reference>
        </references>
      </pivotArea>
    </format>
    <format dxfId="7807">
      <pivotArea dataOnly="0" labelOnly="1" outline="0" fieldPosition="0">
        <references count="3">
          <reference field="0" count="1" selected="0">
            <x v="379"/>
          </reference>
          <reference field="2" count="1" selected="0">
            <x v="3"/>
          </reference>
          <reference field="3" count="1">
            <x v="28"/>
          </reference>
        </references>
      </pivotArea>
    </format>
    <format dxfId="7806">
      <pivotArea dataOnly="0" labelOnly="1" outline="0" fieldPosition="0">
        <references count="3">
          <reference field="0" count="1" selected="0">
            <x v="449"/>
          </reference>
          <reference field="2" count="1" selected="0">
            <x v="10"/>
          </reference>
          <reference field="3" count="1">
            <x v="3"/>
          </reference>
        </references>
      </pivotArea>
    </format>
    <format dxfId="7805">
      <pivotArea dataOnly="0" labelOnly="1" outline="0" fieldPosition="0">
        <references count="3">
          <reference field="0" count="1" selected="0">
            <x v="305"/>
          </reference>
          <reference field="2" count="1" selected="0">
            <x v="10"/>
          </reference>
          <reference field="3" count="1">
            <x v="22"/>
          </reference>
        </references>
      </pivotArea>
    </format>
    <format dxfId="7804">
      <pivotArea dataOnly="0" labelOnly="1" outline="0" fieldPosition="0">
        <references count="3">
          <reference field="0" count="1" selected="0">
            <x v="470"/>
          </reference>
          <reference field="2" count="1" selected="0">
            <x v="22"/>
          </reference>
          <reference field="3" count="1">
            <x v="23"/>
          </reference>
        </references>
      </pivotArea>
    </format>
    <format dxfId="7803">
      <pivotArea dataOnly="0" labelOnly="1" outline="0" fieldPosition="0">
        <references count="3">
          <reference field="0" count="1" selected="0">
            <x v="415"/>
          </reference>
          <reference field="2" count="1" selected="0">
            <x v="17"/>
          </reference>
          <reference field="3" count="1">
            <x v="7"/>
          </reference>
        </references>
      </pivotArea>
    </format>
    <format dxfId="7802">
      <pivotArea dataOnly="0" labelOnly="1" outline="0" fieldPosition="0">
        <references count="3">
          <reference field="0" count="1" selected="0">
            <x v="328"/>
          </reference>
          <reference field="2" count="1" selected="0">
            <x v="2"/>
          </reference>
          <reference field="3" count="1">
            <x v="38"/>
          </reference>
        </references>
      </pivotArea>
    </format>
    <format dxfId="7801">
      <pivotArea dataOnly="0" labelOnly="1" outline="0" fieldPosition="0">
        <references count="3">
          <reference field="0" count="1" selected="0">
            <x v="176"/>
          </reference>
          <reference field="2" count="1" selected="0">
            <x v="46"/>
          </reference>
          <reference field="3" count="1">
            <x v="43"/>
          </reference>
        </references>
      </pivotArea>
    </format>
    <format dxfId="7800">
      <pivotArea dataOnly="0" labelOnly="1" outline="0" fieldPosition="0">
        <references count="3">
          <reference field="0" count="1" selected="0">
            <x v="99"/>
          </reference>
          <reference field="2" count="1" selected="0">
            <x v="0"/>
          </reference>
          <reference field="3" count="1">
            <x v="19"/>
          </reference>
        </references>
      </pivotArea>
    </format>
    <format dxfId="7799">
      <pivotArea dataOnly="0" labelOnly="1" outline="0" fieldPosition="0">
        <references count="3">
          <reference field="0" count="1" selected="0">
            <x v="235"/>
          </reference>
          <reference field="2" count="1" selected="0">
            <x v="21"/>
          </reference>
          <reference field="3" count="1">
            <x v="16"/>
          </reference>
        </references>
      </pivotArea>
    </format>
    <format dxfId="7798">
      <pivotArea dataOnly="0" labelOnly="1" outline="0" fieldPosition="0">
        <references count="3">
          <reference field="0" count="1" selected="0">
            <x v="282"/>
          </reference>
          <reference field="2" count="1" selected="0">
            <x v="46"/>
          </reference>
          <reference field="3" count="1">
            <x v="4"/>
          </reference>
        </references>
      </pivotArea>
    </format>
    <format dxfId="7797">
      <pivotArea dataOnly="0" labelOnly="1" outline="0" fieldPosition="0">
        <references count="3">
          <reference field="0" count="1" selected="0">
            <x v="240"/>
          </reference>
          <reference field="2" count="1" selected="0">
            <x v="24"/>
          </reference>
          <reference field="3" count="1">
            <x v="32"/>
          </reference>
        </references>
      </pivotArea>
    </format>
    <format dxfId="7796">
      <pivotArea dataOnly="0" labelOnly="1" outline="0" fieldPosition="0">
        <references count="3">
          <reference field="0" count="1" selected="0">
            <x v="286"/>
          </reference>
          <reference field="2" count="1" selected="0">
            <x v="52"/>
          </reference>
          <reference field="3" count="1">
            <x v="17"/>
          </reference>
        </references>
      </pivotArea>
    </format>
    <format dxfId="7795">
      <pivotArea dataOnly="0" labelOnly="1" outline="0" fieldPosition="0">
        <references count="3">
          <reference field="0" count="1" selected="0">
            <x v="230"/>
          </reference>
          <reference field="2" count="1" selected="0">
            <x v="33"/>
          </reference>
          <reference field="3" count="1">
            <x v="15"/>
          </reference>
        </references>
      </pivotArea>
    </format>
    <format dxfId="7794">
      <pivotArea dataOnly="0" labelOnly="1" outline="0" fieldPosition="0">
        <references count="3">
          <reference field="0" count="1" selected="0">
            <x v="292"/>
          </reference>
          <reference field="2" count="1" selected="0">
            <x v="29"/>
          </reference>
          <reference field="3" count="1">
            <x v="17"/>
          </reference>
        </references>
      </pivotArea>
    </format>
    <format dxfId="7793">
      <pivotArea dataOnly="0" labelOnly="1" outline="0" fieldPosition="0">
        <references count="3">
          <reference field="0" count="1" selected="0">
            <x v="299"/>
          </reference>
          <reference field="2" count="1" selected="0">
            <x v="46"/>
          </reference>
          <reference field="3" count="1">
            <x v="2"/>
          </reference>
        </references>
      </pivotArea>
    </format>
    <format dxfId="7792">
      <pivotArea dataOnly="0" labelOnly="1" outline="0" fieldPosition="0">
        <references count="3">
          <reference field="0" count="1" selected="0">
            <x v="197"/>
          </reference>
          <reference field="2" count="1" selected="0">
            <x v="50"/>
          </reference>
          <reference field="3" count="1">
            <x v="4"/>
          </reference>
        </references>
      </pivotArea>
    </format>
    <format dxfId="7791">
      <pivotArea dataOnly="0" labelOnly="1" outline="0" fieldPosition="0">
        <references count="3">
          <reference field="0" count="1" selected="0">
            <x v="514"/>
          </reference>
          <reference field="2" count="1" selected="0">
            <x v="3"/>
          </reference>
          <reference field="3" count="1">
            <x v="17"/>
          </reference>
        </references>
      </pivotArea>
    </format>
    <format dxfId="7790">
      <pivotArea dataOnly="0" labelOnly="1" outline="0" fieldPosition="0">
        <references count="3">
          <reference field="0" count="1" selected="0">
            <x v="338"/>
          </reference>
          <reference field="2" count="1" selected="0">
            <x v="2"/>
          </reference>
          <reference field="3" count="1">
            <x v="31"/>
          </reference>
        </references>
      </pivotArea>
    </format>
    <format dxfId="7789">
      <pivotArea dataOnly="0" labelOnly="1" outline="0" fieldPosition="0">
        <references count="3">
          <reference field="0" count="1" selected="0">
            <x v="159"/>
          </reference>
          <reference field="2" count="1" selected="0">
            <x v="35"/>
          </reference>
          <reference field="3" count="1">
            <x v="42"/>
          </reference>
        </references>
      </pivotArea>
    </format>
    <format dxfId="7788">
      <pivotArea dataOnly="0" labelOnly="1" outline="0" fieldPosition="0">
        <references count="3">
          <reference field="0" count="1" selected="0">
            <x v="134"/>
          </reference>
          <reference field="2" count="1" selected="0">
            <x v="3"/>
          </reference>
          <reference field="3" count="1">
            <x v="31"/>
          </reference>
        </references>
      </pivotArea>
    </format>
    <format dxfId="7787">
      <pivotArea dataOnly="0" labelOnly="1" outline="0" fieldPosition="0">
        <references count="3">
          <reference field="0" count="1" selected="0">
            <x v="42"/>
          </reference>
          <reference field="2" count="1" selected="0">
            <x v="18"/>
          </reference>
          <reference field="3" count="1">
            <x v="15"/>
          </reference>
        </references>
      </pivotArea>
    </format>
    <format dxfId="7786">
      <pivotArea dataOnly="0" labelOnly="1" outline="0" fieldPosition="0">
        <references count="3">
          <reference field="0" count="1" selected="0">
            <x v="593"/>
          </reference>
          <reference field="2" count="1" selected="0">
            <x v="8"/>
          </reference>
          <reference field="3" count="1">
            <x v="35"/>
          </reference>
        </references>
      </pivotArea>
    </format>
    <format dxfId="7785">
      <pivotArea dataOnly="0" labelOnly="1" outline="0" fieldPosition="0">
        <references count="3">
          <reference field="0" count="1" selected="0">
            <x v="447"/>
          </reference>
          <reference field="2" count="1" selected="0">
            <x v="47"/>
          </reference>
          <reference field="3" count="1">
            <x v="17"/>
          </reference>
        </references>
      </pivotArea>
    </format>
    <format dxfId="7784">
      <pivotArea dataOnly="0" labelOnly="1" outline="0" fieldPosition="0">
        <references count="3">
          <reference field="0" count="1" selected="0">
            <x v="595"/>
          </reference>
          <reference field="2" count="1" selected="0">
            <x v="32"/>
          </reference>
          <reference field="3" count="1">
            <x v="44"/>
          </reference>
        </references>
      </pivotArea>
    </format>
    <format dxfId="7783">
      <pivotArea dataOnly="0" labelOnly="1" outline="0" fieldPosition="0">
        <references count="3">
          <reference field="0" count="1" selected="0">
            <x v="529"/>
          </reference>
          <reference field="2" count="1" selected="0">
            <x v="29"/>
          </reference>
          <reference field="3" count="1">
            <x v="32"/>
          </reference>
        </references>
      </pivotArea>
    </format>
    <format dxfId="7782">
      <pivotArea dataOnly="0" labelOnly="1" outline="0" fieldPosition="0">
        <references count="3">
          <reference field="0" count="1" selected="0">
            <x v="458"/>
          </reference>
          <reference field="2" count="1" selected="0">
            <x v="27"/>
          </reference>
          <reference field="3" count="1">
            <x v="48"/>
          </reference>
        </references>
      </pivotArea>
    </format>
    <format dxfId="7781">
      <pivotArea dataOnly="0" labelOnly="1" outline="0" fieldPosition="0">
        <references count="3">
          <reference field="0" count="1" selected="0">
            <x v="341"/>
          </reference>
          <reference field="2" count="1" selected="0">
            <x v="36"/>
          </reference>
          <reference field="3" count="1">
            <x v="27"/>
          </reference>
        </references>
      </pivotArea>
    </format>
    <format dxfId="7780">
      <pivotArea dataOnly="0" labelOnly="1" outline="0" fieldPosition="0">
        <references count="3">
          <reference field="0" count="1" selected="0">
            <x v="545"/>
          </reference>
          <reference field="2" count="1" selected="0">
            <x v="4"/>
          </reference>
          <reference field="3" count="1">
            <x v="13"/>
          </reference>
        </references>
      </pivotArea>
    </format>
    <format dxfId="7779">
      <pivotArea dataOnly="0" labelOnly="1" outline="0" fieldPosition="0">
        <references count="3">
          <reference field="0" count="1" selected="0">
            <x v="308"/>
          </reference>
          <reference field="2" count="1" selected="0">
            <x v="28"/>
          </reference>
          <reference field="3" count="1">
            <x v="20"/>
          </reference>
        </references>
      </pivotArea>
    </format>
    <format dxfId="7778">
      <pivotArea dataOnly="0" labelOnly="1" outline="0" fieldPosition="0">
        <references count="3">
          <reference field="0" count="1" selected="0">
            <x v="23"/>
          </reference>
          <reference field="2" count="1" selected="0">
            <x v="13"/>
          </reference>
          <reference field="3" count="1">
            <x v="18"/>
          </reference>
        </references>
      </pivotArea>
    </format>
    <format dxfId="7777">
      <pivotArea dataOnly="0" labelOnly="1" outline="0" fieldPosition="0">
        <references count="3">
          <reference field="0" count="1" selected="0">
            <x v="227"/>
          </reference>
          <reference field="2" count="1" selected="0">
            <x v="12"/>
          </reference>
          <reference field="3" count="1">
            <x v="49"/>
          </reference>
        </references>
      </pivotArea>
    </format>
    <format dxfId="7776">
      <pivotArea dataOnly="0" labelOnly="1" outline="0" fieldPosition="0">
        <references count="3">
          <reference field="0" count="1" selected="0">
            <x v="290"/>
          </reference>
          <reference field="2" count="1" selected="0">
            <x v="45"/>
          </reference>
          <reference field="3" count="1">
            <x v="0"/>
          </reference>
        </references>
      </pivotArea>
    </format>
    <format dxfId="7775">
      <pivotArea dataOnly="0" labelOnly="1" outline="0" fieldPosition="0">
        <references count="3">
          <reference field="0" count="1" selected="0">
            <x v="296"/>
          </reference>
          <reference field="2" count="1" selected="0">
            <x v="14"/>
          </reference>
          <reference field="3" count="1">
            <x v="11"/>
          </reference>
        </references>
      </pivotArea>
    </format>
    <format dxfId="7774">
      <pivotArea dataOnly="0" labelOnly="1" outline="0" fieldPosition="0">
        <references count="3">
          <reference field="0" count="1" selected="0">
            <x v="109"/>
          </reference>
          <reference field="2" count="1" selected="0">
            <x v="25"/>
          </reference>
          <reference field="3" count="1">
            <x v="7"/>
          </reference>
        </references>
      </pivotArea>
    </format>
    <format dxfId="7773">
      <pivotArea dataOnly="0" labelOnly="1" outline="0" fieldPosition="0">
        <references count="3">
          <reference field="0" count="1" selected="0">
            <x v="125"/>
          </reference>
          <reference field="2" count="1" selected="0">
            <x v="41"/>
          </reference>
          <reference field="3" count="1">
            <x v="45"/>
          </reference>
        </references>
      </pivotArea>
    </format>
    <format dxfId="7772">
      <pivotArea dataOnly="0" labelOnly="1" outline="0" fieldPosition="0">
        <references count="3">
          <reference field="0" count="1" selected="0">
            <x v="263"/>
          </reference>
          <reference field="2" count="1" selected="0">
            <x v="30"/>
          </reference>
          <reference field="3" count="1">
            <x v="30"/>
          </reference>
        </references>
      </pivotArea>
    </format>
    <format dxfId="7771">
      <pivotArea dataOnly="0" labelOnly="1" outline="0" fieldPosition="0">
        <references count="3">
          <reference field="0" count="1" selected="0">
            <x v="194"/>
          </reference>
          <reference field="2" count="1" selected="0">
            <x v="19"/>
          </reference>
          <reference field="3" count="1">
            <x v="11"/>
          </reference>
        </references>
      </pivotArea>
    </format>
    <format dxfId="7770">
      <pivotArea dataOnly="0" labelOnly="1" outline="0" fieldPosition="0">
        <references count="3">
          <reference field="0" count="1" selected="0">
            <x v="329"/>
          </reference>
          <reference field="2" count="1" selected="0">
            <x v="19"/>
          </reference>
          <reference field="3" count="1">
            <x v="39"/>
          </reference>
        </references>
      </pivotArea>
    </format>
    <format dxfId="7769">
      <pivotArea dataOnly="0" labelOnly="1" outline="0" fieldPosition="0">
        <references count="3">
          <reference field="0" count="1" selected="0">
            <x v="596"/>
          </reference>
          <reference field="2" count="1" selected="0">
            <x v="29"/>
          </reference>
          <reference field="3" count="1">
            <x v="38"/>
          </reference>
        </references>
      </pivotArea>
    </format>
    <format dxfId="7768">
      <pivotArea dataOnly="0" labelOnly="1" outline="0" fieldPosition="0">
        <references count="3">
          <reference field="0" count="1" selected="0">
            <x v="340"/>
          </reference>
          <reference field="2" count="1" selected="0">
            <x v="50"/>
          </reference>
          <reference field="3" count="1">
            <x v="20"/>
          </reference>
        </references>
      </pivotArea>
    </format>
    <format dxfId="7767">
      <pivotArea dataOnly="0" labelOnly="1" outline="0" fieldPosition="0">
        <references count="3">
          <reference field="0" count="1" selected="0">
            <x v="333"/>
          </reference>
          <reference field="2" count="1" selected="0">
            <x v="12"/>
          </reference>
          <reference field="3" count="1">
            <x v="16"/>
          </reference>
        </references>
      </pivotArea>
    </format>
    <format dxfId="7766">
      <pivotArea dataOnly="0" labelOnly="1" outline="0" fieldPosition="0">
        <references count="3">
          <reference field="0" count="1" selected="0">
            <x v="452"/>
          </reference>
          <reference field="2" count="1" selected="0">
            <x v="16"/>
          </reference>
          <reference field="3" count="1">
            <x v="17"/>
          </reference>
        </references>
      </pivotArea>
    </format>
    <format dxfId="7765">
      <pivotArea dataOnly="0" labelOnly="1" outline="0" fieldPosition="0">
        <references count="3">
          <reference field="0" count="1" selected="0">
            <x v="451"/>
          </reference>
          <reference field="2" count="1" selected="0">
            <x v="31"/>
          </reference>
          <reference field="3" count="1">
            <x v="24"/>
          </reference>
        </references>
      </pivotArea>
    </format>
    <format dxfId="7764">
      <pivotArea dataOnly="0" labelOnly="1" outline="0" fieldPosition="0">
        <references count="3">
          <reference field="0" count="1" selected="0">
            <x v="544"/>
          </reference>
          <reference field="2" count="1" selected="0">
            <x v="20"/>
          </reference>
          <reference field="3" count="1">
            <x v="21"/>
          </reference>
        </references>
      </pivotArea>
    </format>
    <format dxfId="7763">
      <pivotArea dataOnly="0" labelOnly="1" outline="0" fieldPosition="0">
        <references count="3">
          <reference field="0" count="1" selected="0">
            <x v="583"/>
          </reference>
          <reference field="2" count="1" selected="0">
            <x v="21"/>
          </reference>
          <reference field="3" count="1">
            <x v="45"/>
          </reference>
        </references>
      </pivotArea>
    </format>
    <format dxfId="7762">
      <pivotArea dataOnly="0" labelOnly="1" outline="0" fieldPosition="0">
        <references count="3">
          <reference field="0" count="1" selected="0">
            <x v="532"/>
          </reference>
          <reference field="2" count="1" selected="0">
            <x v="36"/>
          </reference>
          <reference field="3" count="1">
            <x v="28"/>
          </reference>
        </references>
      </pivotArea>
    </format>
    <format dxfId="7761">
      <pivotArea dataOnly="0" labelOnly="1" outline="0" fieldPosition="0">
        <references count="3">
          <reference field="0" count="1" selected="0">
            <x v="420"/>
          </reference>
          <reference field="2" count="1" selected="0">
            <x v="6"/>
          </reference>
          <reference field="3" count="1">
            <x v="25"/>
          </reference>
        </references>
      </pivotArea>
    </format>
    <format dxfId="7760">
      <pivotArea dataOnly="0" labelOnly="1" outline="0" fieldPosition="0">
        <references count="3">
          <reference field="0" count="1" selected="0">
            <x v="444"/>
          </reference>
          <reference field="2" count="1" selected="0">
            <x v="35"/>
          </reference>
          <reference field="3" count="1">
            <x v="1"/>
          </reference>
        </references>
      </pivotArea>
    </format>
    <format dxfId="7759">
      <pivotArea dataOnly="0" labelOnly="1" outline="0" fieldPosition="0">
        <references count="3">
          <reference field="0" count="1" selected="0">
            <x v="462"/>
          </reference>
          <reference field="2" count="1" selected="0">
            <x v="32"/>
          </reference>
          <reference field="3" count="1">
            <x v="14"/>
          </reference>
        </references>
      </pivotArea>
    </format>
    <format dxfId="7758">
      <pivotArea dataOnly="0" labelOnly="1" outline="0" fieldPosition="0">
        <references count="3">
          <reference field="0" count="1" selected="0">
            <x v="409"/>
          </reference>
          <reference field="2" count="1" selected="0">
            <x v="29"/>
          </reference>
          <reference field="3" count="1">
            <x v="5"/>
          </reference>
        </references>
      </pivotArea>
    </format>
    <format dxfId="7757">
      <pivotArea dataOnly="0" labelOnly="1" outline="0" fieldPosition="0">
        <references count="3">
          <reference field="0" count="1" selected="0">
            <x v="564"/>
          </reference>
          <reference field="2" count="1" selected="0">
            <x v="26"/>
          </reference>
          <reference field="3" count="1">
            <x v="34"/>
          </reference>
        </references>
      </pivotArea>
    </format>
    <format dxfId="7756">
      <pivotArea dataOnly="0" labelOnly="1" outline="0" fieldPosition="0">
        <references count="3">
          <reference field="0" count="1" selected="0">
            <x v="383"/>
          </reference>
          <reference field="2" count="1" selected="0">
            <x v="36"/>
          </reference>
          <reference field="3" count="1">
            <x v="13"/>
          </reference>
        </references>
      </pivotArea>
    </format>
    <format dxfId="7755">
      <pivotArea dataOnly="0" labelOnly="1" outline="0" fieldPosition="0">
        <references count="3">
          <reference field="0" count="1" selected="0">
            <x v="472"/>
          </reference>
          <reference field="2" count="1" selected="0">
            <x v="17"/>
          </reference>
          <reference field="3" count="1">
            <x v="11"/>
          </reference>
        </references>
      </pivotArea>
    </format>
    <format dxfId="7754">
      <pivotArea dataOnly="0" labelOnly="1" outline="0" fieldPosition="0">
        <references count="3">
          <reference field="0" count="1" selected="0">
            <x v="10"/>
          </reference>
          <reference field="2" count="1" selected="0">
            <x v="10"/>
          </reference>
          <reference field="3" count="1">
            <x v="9"/>
          </reference>
        </references>
      </pivotArea>
    </format>
    <format dxfId="7753">
      <pivotArea dataOnly="0" labelOnly="1" outline="0" fieldPosition="0">
        <references count="3">
          <reference field="0" count="1" selected="0">
            <x v="276"/>
          </reference>
          <reference field="2" count="1" selected="0">
            <x v="10"/>
          </reference>
          <reference field="3" count="1">
            <x v="37"/>
          </reference>
        </references>
      </pivotArea>
    </format>
    <format dxfId="7752">
      <pivotArea dataOnly="0" labelOnly="1" outline="0" fieldPosition="0">
        <references count="3">
          <reference field="0" count="1" selected="0">
            <x v="243"/>
          </reference>
          <reference field="2" count="1" selected="0">
            <x v="32"/>
          </reference>
          <reference field="3" count="1">
            <x v="38"/>
          </reference>
        </references>
      </pivotArea>
    </format>
    <format dxfId="7751">
      <pivotArea dataOnly="0" labelOnly="1" outline="0" fieldPosition="0">
        <references count="3">
          <reference field="0" count="1" selected="0">
            <x v="175"/>
          </reference>
          <reference field="2" count="1" selected="0">
            <x v="19"/>
          </reference>
          <reference field="3" count="1">
            <x v="9"/>
          </reference>
        </references>
      </pivotArea>
    </format>
    <format dxfId="7750">
      <pivotArea dataOnly="0" labelOnly="1" outline="0" fieldPosition="0">
        <references count="3">
          <reference field="0" count="1" selected="0">
            <x v="70"/>
          </reference>
          <reference field="2" count="1" selected="0">
            <x v="3"/>
          </reference>
          <reference field="3" count="1">
            <x v="32"/>
          </reference>
        </references>
      </pivotArea>
    </format>
    <format dxfId="7749">
      <pivotArea dataOnly="0" labelOnly="1" outline="0" fieldPosition="0">
        <references count="3">
          <reference field="0" count="1" selected="0">
            <x v="2"/>
          </reference>
          <reference field="2" count="1" selected="0">
            <x v="2"/>
          </reference>
          <reference field="3" count="1">
            <x v="2"/>
          </reference>
        </references>
      </pivotArea>
    </format>
    <format dxfId="7748">
      <pivotArea dataOnly="0" labelOnly="1" outline="0" fieldPosition="0">
        <references count="3">
          <reference field="0" count="1" selected="0">
            <x v="241"/>
          </reference>
          <reference field="2" count="1" selected="0">
            <x v="10"/>
          </reference>
          <reference field="3" count="1">
            <x v="38"/>
          </reference>
        </references>
      </pivotArea>
    </format>
    <format dxfId="7747">
      <pivotArea dataOnly="0" labelOnly="1" outline="0" fieldPosition="0">
        <references count="3">
          <reference field="0" count="1" selected="0">
            <x v="113"/>
          </reference>
          <reference field="2" count="1" selected="0">
            <x v="18"/>
          </reference>
          <reference field="3" count="1">
            <x v="13"/>
          </reference>
        </references>
      </pivotArea>
    </format>
    <format dxfId="7746">
      <pivotArea dataOnly="0" labelOnly="1" outline="0" fieldPosition="0">
        <references count="3">
          <reference field="0" count="1" selected="0">
            <x v="64"/>
          </reference>
          <reference field="2" count="1" selected="0">
            <x v="33"/>
          </reference>
          <reference field="3" count="1">
            <x v="16"/>
          </reference>
        </references>
      </pivotArea>
    </format>
    <format dxfId="7745">
      <pivotArea dataOnly="0" labelOnly="1" outline="0" fieldPosition="0">
        <references count="3">
          <reference field="0" count="1" selected="0">
            <x v="207"/>
          </reference>
          <reference field="2" count="1" selected="0">
            <x v="11"/>
          </reference>
          <reference field="3" count="1">
            <x v="14"/>
          </reference>
        </references>
      </pivotArea>
    </format>
    <format dxfId="7744">
      <pivotArea dataOnly="0" labelOnly="1" outline="0" fieldPosition="0">
        <references count="3">
          <reference field="0" count="1" selected="0">
            <x v="215"/>
          </reference>
          <reference field="2" count="1" selected="0">
            <x v="12"/>
          </reference>
          <reference field="3" count="1">
            <x v="25"/>
          </reference>
        </references>
      </pivotArea>
    </format>
    <format dxfId="7743">
      <pivotArea dataOnly="0" labelOnly="1" outline="0" fieldPosition="0">
        <references count="3">
          <reference field="0" count="1" selected="0">
            <x v="114"/>
          </reference>
          <reference field="2" count="1" selected="0">
            <x v="25"/>
          </reference>
          <reference field="3" count="1">
            <x v="28"/>
          </reference>
        </references>
      </pivotArea>
    </format>
    <format dxfId="7742">
      <pivotArea dataOnly="0" labelOnly="1" outline="0" fieldPosition="0">
        <references count="3">
          <reference field="0" count="1" selected="0">
            <x v="387"/>
          </reference>
          <reference field="2" count="1" selected="0">
            <x v="32"/>
          </reference>
          <reference field="3" count="1">
            <x v="5"/>
          </reference>
        </references>
      </pivotArea>
    </format>
    <format dxfId="7741">
      <pivotArea dataOnly="0" labelOnly="1" outline="0" fieldPosition="0">
        <references count="3">
          <reference field="0" count="1" selected="0">
            <x v="347"/>
          </reference>
          <reference field="2" count="1" selected="0">
            <x v="6"/>
          </reference>
          <reference field="3" count="1">
            <x v="2"/>
          </reference>
        </references>
      </pivotArea>
    </format>
    <format dxfId="7740">
      <pivotArea dataOnly="0" labelOnly="1" outline="0" fieldPosition="0">
        <references count="3">
          <reference field="0" count="1" selected="0">
            <x v="437"/>
          </reference>
          <reference field="2" count="1" selected="0">
            <x v="38"/>
          </reference>
          <reference field="3" count="1">
            <x v="36"/>
          </reference>
        </references>
      </pivotArea>
    </format>
    <format dxfId="7739">
      <pivotArea dataOnly="0" labelOnly="1" outline="0" fieldPosition="0">
        <references count="3">
          <reference field="0" count="1" selected="0">
            <x v="598"/>
          </reference>
          <reference field="2" count="1" selected="0">
            <x v="0"/>
          </reference>
          <reference field="3" count="1">
            <x v="6"/>
          </reference>
        </references>
      </pivotArea>
    </format>
    <format dxfId="7738">
      <pivotArea dataOnly="0" labelOnly="1" outline="0" fieldPosition="0">
        <references count="3">
          <reference field="0" count="1" selected="0">
            <x v="63"/>
          </reference>
          <reference field="2" count="1" selected="0">
            <x v="16"/>
          </reference>
          <reference field="3" count="1">
            <x v="18"/>
          </reference>
        </references>
      </pivotArea>
    </format>
    <format dxfId="7737">
      <pivotArea dataOnly="0" labelOnly="1" outline="0" fieldPosition="0">
        <references count="3">
          <reference field="0" count="1" selected="0">
            <x v="233"/>
          </reference>
          <reference field="2" count="1" selected="0">
            <x v="38"/>
          </reference>
          <reference field="3" count="1">
            <x v="18"/>
          </reference>
        </references>
      </pivotArea>
    </format>
    <format dxfId="7736">
      <pivotArea dataOnly="0" labelOnly="1" outline="0" fieldPosition="0">
        <references count="3">
          <reference field="0" count="1" selected="0">
            <x v="352"/>
          </reference>
          <reference field="2" count="1" selected="0">
            <x v="21"/>
          </reference>
          <reference field="3" count="1">
            <x v="4"/>
          </reference>
        </references>
      </pivotArea>
    </format>
    <format dxfId="7735">
      <pivotArea dataOnly="0" labelOnly="1" outline="0" fieldPosition="0">
        <references count="3">
          <reference field="0" count="1" selected="0">
            <x v="422"/>
          </reference>
          <reference field="2" count="1" selected="0">
            <x v="20"/>
          </reference>
          <reference field="3" count="1">
            <x v="43"/>
          </reference>
        </references>
      </pivotArea>
    </format>
    <format dxfId="7734">
      <pivotArea dataOnly="0" labelOnly="1" outline="0" fieldPosition="0">
        <references count="3">
          <reference field="0" count="1" selected="0">
            <x v="376"/>
          </reference>
          <reference field="2" count="1" selected="0">
            <x v="46"/>
          </reference>
          <reference field="3" count="1">
            <x v="33"/>
          </reference>
        </references>
      </pivotArea>
    </format>
    <format dxfId="7733">
      <pivotArea dataOnly="0" labelOnly="1" outline="0" fieldPosition="0">
        <references count="3">
          <reference field="0" count="1" selected="0">
            <x v="402"/>
          </reference>
          <reference field="2" count="1" selected="0">
            <x v="13"/>
          </reference>
          <reference field="3" count="1">
            <x v="32"/>
          </reference>
        </references>
      </pivotArea>
    </format>
    <format dxfId="7732">
      <pivotArea dataOnly="0" labelOnly="1" outline="0" fieldPosition="0">
        <references count="3">
          <reference field="0" count="1" selected="0">
            <x v="436"/>
          </reference>
          <reference field="2" count="1" selected="0">
            <x v="40"/>
          </reference>
          <reference field="3" count="1">
            <x v="25"/>
          </reference>
        </references>
      </pivotArea>
    </format>
    <format dxfId="7731">
      <pivotArea dataOnly="0" labelOnly="1" outline="0" fieldPosition="0">
        <references count="3">
          <reference field="0" count="1" selected="0">
            <x v="438"/>
          </reference>
          <reference field="2" count="1" selected="0">
            <x v="3"/>
          </reference>
          <reference field="3" count="1">
            <x v="9"/>
          </reference>
        </references>
      </pivotArea>
    </format>
    <format dxfId="7730">
      <pivotArea dataOnly="0" labelOnly="1" outline="0" fieldPosition="0">
        <references count="3">
          <reference field="0" count="1" selected="0">
            <x v="513"/>
          </reference>
          <reference field="2" count="1" selected="0">
            <x v="29"/>
          </reference>
          <reference field="3" count="1">
            <x v="29"/>
          </reference>
        </references>
      </pivotArea>
    </format>
    <format dxfId="7729">
      <pivotArea dataOnly="0" labelOnly="1" outline="0" fieldPosition="0">
        <references count="3">
          <reference field="0" count="1" selected="0">
            <x v="304"/>
          </reference>
          <reference field="2" count="1" selected="0">
            <x v="11"/>
          </reference>
          <reference field="3" count="1">
            <x v="32"/>
          </reference>
        </references>
      </pivotArea>
    </format>
    <format dxfId="7728">
      <pivotArea dataOnly="0" labelOnly="1" outline="0" fieldPosition="0">
        <references count="3">
          <reference field="0" count="1" selected="0">
            <x v="348"/>
          </reference>
          <reference field="2" count="1" selected="0">
            <x v="32"/>
          </reference>
          <reference field="3" count="1">
            <x v="39"/>
          </reference>
        </references>
      </pivotArea>
    </format>
    <format dxfId="7727">
      <pivotArea dataOnly="0" labelOnly="1" outline="0" fieldPosition="0">
        <references count="3">
          <reference field="0" count="1" selected="0">
            <x v="398"/>
          </reference>
          <reference field="2" count="1" selected="0">
            <x v="2"/>
          </reference>
          <reference field="3" count="1">
            <x v="38"/>
          </reference>
        </references>
      </pivotArea>
    </format>
    <format dxfId="7726">
      <pivotArea dataOnly="0" labelOnly="1" outline="0" fieldPosition="0">
        <references count="3">
          <reference field="0" count="1" selected="0">
            <x v="594"/>
          </reference>
          <reference field="2" count="1" selected="0">
            <x v="13"/>
          </reference>
          <reference field="3" count="1">
            <x v="38"/>
          </reference>
        </references>
      </pivotArea>
    </format>
    <format dxfId="7725">
      <pivotArea dataOnly="0" labelOnly="1" outline="0" fieldPosition="0">
        <references count="3">
          <reference field="0" count="1" selected="0">
            <x v="355"/>
          </reference>
          <reference field="2" count="1" selected="0">
            <x v="39"/>
          </reference>
          <reference field="3" count="1">
            <x v="4"/>
          </reference>
        </references>
      </pivotArea>
    </format>
    <format dxfId="7724">
      <pivotArea dataOnly="0" labelOnly="1" outline="0" fieldPosition="0">
        <references count="3">
          <reference field="0" count="1" selected="0">
            <x v="500"/>
          </reference>
          <reference field="2" count="1" selected="0">
            <x v="2"/>
          </reference>
          <reference field="3" count="1">
            <x v="20"/>
          </reference>
        </references>
      </pivotArea>
    </format>
    <format dxfId="7723">
      <pivotArea dataOnly="0" labelOnly="1" outline="0" fieldPosition="0">
        <references count="3">
          <reference field="0" count="1" selected="0">
            <x v="346"/>
          </reference>
          <reference field="2" count="1" selected="0">
            <x v="13"/>
          </reference>
          <reference field="3" count="1">
            <x v="28"/>
          </reference>
        </references>
      </pivotArea>
    </format>
    <format dxfId="7722">
      <pivotArea dataOnly="0" labelOnly="1" outline="0" fieldPosition="0">
        <references count="3">
          <reference field="0" count="1" selected="0">
            <x v="493"/>
          </reference>
          <reference field="2" count="1" selected="0">
            <x v="39"/>
          </reference>
          <reference field="3" count="1">
            <x v="1"/>
          </reference>
        </references>
      </pivotArea>
    </format>
    <format dxfId="7721">
      <pivotArea dataOnly="0" labelOnly="1" outline="0" fieldPosition="0">
        <references count="3">
          <reference field="0" count="1" selected="0">
            <x v="131"/>
          </reference>
          <reference field="2" count="1" selected="0">
            <x v="21"/>
          </reference>
          <reference field="3" count="1">
            <x v="10"/>
          </reference>
        </references>
      </pivotArea>
    </format>
    <format dxfId="7720">
      <pivotArea dataOnly="0" labelOnly="1" outline="0" fieldPosition="0">
        <references count="3">
          <reference field="0" count="1" selected="0">
            <x v="260"/>
          </reference>
          <reference field="2" count="1" selected="0">
            <x v="11"/>
          </reference>
          <reference field="3" count="1">
            <x v="36"/>
          </reference>
        </references>
      </pivotArea>
    </format>
    <format dxfId="7719">
      <pivotArea dataOnly="0" labelOnly="1" outline="0" fieldPosition="0">
        <references count="3">
          <reference field="0" count="1" selected="0">
            <x v="254"/>
          </reference>
          <reference field="2" count="1" selected="0">
            <x v="36"/>
          </reference>
          <reference field="3" count="1">
            <x v="40"/>
          </reference>
        </references>
      </pivotArea>
    </format>
    <format dxfId="7718">
      <pivotArea dataOnly="0" labelOnly="1" outline="0" fieldPosition="0">
        <references count="3">
          <reference field="0" count="1" selected="0">
            <x v="184"/>
          </reference>
          <reference field="2" count="1" selected="0">
            <x v="0"/>
          </reference>
          <reference field="3" count="1">
            <x v="15"/>
          </reference>
        </references>
      </pivotArea>
    </format>
    <format dxfId="7717">
      <pivotArea dataOnly="0" labelOnly="1" outline="0" fieldPosition="0">
        <references count="3">
          <reference field="0" count="1" selected="0">
            <x v="200"/>
          </reference>
          <reference field="2" count="1" selected="0">
            <x v="11"/>
          </reference>
          <reference field="3" count="1">
            <x v="47"/>
          </reference>
        </references>
      </pivotArea>
    </format>
    <format dxfId="7716">
      <pivotArea dataOnly="0" labelOnly="1" outline="0" fieldPosition="0">
        <references count="3">
          <reference field="0" count="1" selected="0">
            <x v="22"/>
          </reference>
          <reference field="2" count="1" selected="0">
            <x v="5"/>
          </reference>
          <reference field="3" count="1">
            <x v="1"/>
          </reference>
        </references>
      </pivotArea>
    </format>
    <format dxfId="7715">
      <pivotArea dataOnly="0" labelOnly="1" outline="0" fieldPosition="0">
        <references count="3">
          <reference field="0" count="1" selected="0">
            <x v="123"/>
          </reference>
          <reference field="2" count="1" selected="0">
            <x v="29"/>
          </reference>
          <reference field="3" count="1">
            <x v="23"/>
          </reference>
        </references>
      </pivotArea>
    </format>
    <format dxfId="7714">
      <pivotArea dataOnly="0" labelOnly="1" outline="0" fieldPosition="0">
        <references count="3">
          <reference field="0" count="1" selected="0">
            <x v="212"/>
          </reference>
          <reference field="2" count="1" selected="0">
            <x v="19"/>
          </reference>
          <reference field="3" count="1">
            <x v="10"/>
          </reference>
        </references>
      </pivotArea>
    </format>
    <format dxfId="7713">
      <pivotArea dataOnly="0" labelOnly="1" outline="0" fieldPosition="0">
        <references count="3">
          <reference field="0" count="1" selected="0">
            <x v="548"/>
          </reference>
          <reference field="2" count="1" selected="0">
            <x v="49"/>
          </reference>
          <reference field="3" count="1">
            <x v="13"/>
          </reference>
        </references>
      </pivotArea>
    </format>
    <format dxfId="7712">
      <pivotArea dataOnly="0" labelOnly="1" outline="0" fieldPosition="0">
        <references count="3">
          <reference field="0" count="1" selected="0">
            <x v="459"/>
          </reference>
          <reference field="2" count="1" selected="0">
            <x v="26"/>
          </reference>
          <reference field="3" count="1">
            <x v="7"/>
          </reference>
        </references>
      </pivotArea>
    </format>
    <format dxfId="7711">
      <pivotArea dataOnly="0" labelOnly="1" outline="0" fieldPosition="0">
        <references count="3">
          <reference field="0" count="1" selected="0">
            <x v="226"/>
          </reference>
          <reference field="2" count="1" selected="0">
            <x v="40"/>
          </reference>
          <reference field="3" count="1">
            <x v="45"/>
          </reference>
        </references>
      </pivotArea>
    </format>
    <format dxfId="7710">
      <pivotArea dataOnly="0" labelOnly="1" outline="0" fieldPosition="0">
        <references count="3">
          <reference field="0" count="1" selected="0">
            <x v="97"/>
          </reference>
          <reference field="2" count="1" selected="0">
            <x v="28"/>
          </reference>
          <reference field="3" count="1">
            <x v="21"/>
          </reference>
        </references>
      </pivotArea>
    </format>
    <format dxfId="7709">
      <pivotArea dataOnly="0" labelOnly="1" outline="0" fieldPosition="0">
        <references count="3">
          <reference field="0" count="1" selected="0">
            <x v="98"/>
          </reference>
          <reference field="2" count="1" selected="0">
            <x v="15"/>
          </reference>
          <reference field="3" count="1">
            <x v="39"/>
          </reference>
        </references>
      </pivotArea>
    </format>
    <format dxfId="7708">
      <pivotArea dataOnly="0" labelOnly="1" outline="0" fieldPosition="0">
        <references count="3">
          <reference field="0" count="1" selected="0">
            <x v="323"/>
          </reference>
          <reference field="2" count="1" selected="0">
            <x v="38"/>
          </reference>
          <reference field="3" count="1">
            <x v="39"/>
          </reference>
        </references>
      </pivotArea>
    </format>
    <format dxfId="7707">
      <pivotArea dataOnly="0" labelOnly="1" outline="0" fieldPosition="0">
        <references count="3">
          <reference field="0" count="1" selected="0">
            <x v="478"/>
          </reference>
          <reference field="2" count="1" selected="0">
            <x v="17"/>
          </reference>
          <reference field="3" count="1">
            <x v="42"/>
          </reference>
        </references>
      </pivotArea>
    </format>
    <format dxfId="7706">
      <pivotArea dataOnly="0" labelOnly="1" outline="0" fieldPosition="0">
        <references count="3">
          <reference field="0" count="1" selected="0">
            <x v="307"/>
          </reference>
          <reference field="2" count="1" selected="0">
            <x v="43"/>
          </reference>
          <reference field="3" count="1">
            <x v="3"/>
          </reference>
        </references>
      </pivotArea>
    </format>
    <format dxfId="7705">
      <pivotArea dataOnly="0" labelOnly="1" outline="0" fieldPosition="0">
        <references count="3">
          <reference field="0" count="1" selected="0">
            <x v="416"/>
          </reference>
          <reference field="2" count="1" selected="0">
            <x v="8"/>
          </reference>
          <reference field="3" count="1">
            <x v="51"/>
          </reference>
        </references>
      </pivotArea>
    </format>
    <format dxfId="7704">
      <pivotArea dataOnly="0" labelOnly="1" outline="0" fieldPosition="0">
        <references count="3">
          <reference field="0" count="1" selected="0">
            <x v="481"/>
          </reference>
          <reference field="2" count="1" selected="0">
            <x v="28"/>
          </reference>
          <reference field="3" count="1">
            <x v="1"/>
          </reference>
        </references>
      </pivotArea>
    </format>
    <format dxfId="7703">
      <pivotArea dataOnly="0" labelOnly="1" outline="0" fieldPosition="0">
        <references count="3">
          <reference field="0" count="1" selected="0">
            <x v="327"/>
          </reference>
          <reference field="2" count="1" selected="0">
            <x v="39"/>
          </reference>
          <reference field="3" count="1">
            <x v="27"/>
          </reference>
        </references>
      </pivotArea>
    </format>
    <format dxfId="7702">
      <pivotArea dataOnly="0" labelOnly="1" outline="0" fieldPosition="0">
        <references count="3">
          <reference field="0" count="1" selected="0">
            <x v="603"/>
          </reference>
          <reference field="2" count="1" selected="0">
            <x v="18"/>
          </reference>
          <reference field="3" count="1">
            <x v="29"/>
          </reference>
        </references>
      </pivotArea>
    </format>
    <format dxfId="7701">
      <pivotArea dataOnly="0" labelOnly="1" outline="0" fieldPosition="0">
        <references count="3">
          <reference field="0" count="1" selected="0">
            <x v="546"/>
          </reference>
          <reference field="2" count="1" selected="0">
            <x v="15"/>
          </reference>
          <reference field="3" count="1">
            <x v="49"/>
          </reference>
        </references>
      </pivotArea>
    </format>
    <format dxfId="7700">
      <pivotArea dataOnly="0" labelOnly="1" outline="0" fieldPosition="0">
        <references count="3">
          <reference field="0" count="1" selected="0">
            <x v="324"/>
          </reference>
          <reference field="2" count="1" selected="0">
            <x v="3"/>
          </reference>
          <reference field="3" count="1">
            <x v="42"/>
          </reference>
        </references>
      </pivotArea>
    </format>
    <format dxfId="7699">
      <pivotArea dataOnly="0" labelOnly="1" outline="0" fieldPosition="0">
        <references count="3">
          <reference field="0" count="1" selected="0">
            <x v="450"/>
          </reference>
          <reference field="2" count="1" selected="0">
            <x v="15"/>
          </reference>
          <reference field="3" count="1">
            <x v="36"/>
          </reference>
        </references>
      </pivotArea>
    </format>
    <format dxfId="7698">
      <pivotArea dataOnly="0" labelOnly="1" outline="0" fieldPosition="0">
        <references count="3">
          <reference field="0" count="1" selected="0">
            <x v="557"/>
          </reference>
          <reference field="2" count="1" selected="0">
            <x v="16"/>
          </reference>
          <reference field="3" count="1">
            <x v="8"/>
          </reference>
        </references>
      </pivotArea>
    </format>
    <format dxfId="7697">
      <pivotArea dataOnly="0" labelOnly="1" outline="0" fieldPosition="0">
        <references count="3">
          <reference field="0" count="1" selected="0">
            <x v="312"/>
          </reference>
          <reference field="2" count="1" selected="0">
            <x v="50"/>
          </reference>
          <reference field="3" count="1">
            <x v="35"/>
          </reference>
        </references>
      </pivotArea>
    </format>
    <format dxfId="7696">
      <pivotArea dataOnly="0" labelOnly="1" outline="0" fieldPosition="0">
        <references count="3">
          <reference field="0" count="1" selected="0">
            <x v="574"/>
          </reference>
          <reference field="2" count="1" selected="0">
            <x v="22"/>
          </reference>
          <reference field="3" count="1">
            <x v="3"/>
          </reference>
        </references>
      </pivotArea>
    </format>
    <format dxfId="7695">
      <pivotArea dataOnly="0" labelOnly="1" outline="0" fieldPosition="0">
        <references count="3">
          <reference field="0" count="1" selected="0">
            <x v="519"/>
          </reference>
          <reference field="2" count="1" selected="0">
            <x v="4"/>
          </reference>
          <reference field="3" count="1">
            <x v="19"/>
          </reference>
        </references>
      </pivotArea>
    </format>
    <format dxfId="7694">
      <pivotArea dataOnly="0" labelOnly="1" outline="0" fieldPosition="0">
        <references count="3">
          <reference field="0" count="1" selected="0">
            <x v="446"/>
          </reference>
          <reference field="2" count="1" selected="0">
            <x v="22"/>
          </reference>
          <reference field="3" count="1">
            <x v="5"/>
          </reference>
        </references>
      </pivotArea>
    </format>
    <format dxfId="7693">
      <pivotArea dataOnly="0" labelOnly="1" outline="0" fieldPosition="0">
        <references count="3">
          <reference field="0" count="1" selected="0">
            <x v="419"/>
          </reference>
          <reference field="2" count="1" selected="0">
            <x v="26"/>
          </reference>
          <reference field="3" count="1">
            <x v="19"/>
          </reference>
        </references>
      </pivotArea>
    </format>
    <format dxfId="7692">
      <pivotArea dataOnly="0" labelOnly="1" outline="0" fieldPosition="0">
        <references count="3">
          <reference field="0" count="1" selected="0">
            <x v="600"/>
          </reference>
          <reference field="2" count="1" selected="0">
            <x v="10"/>
          </reference>
          <reference field="3" count="1">
            <x v="19"/>
          </reference>
        </references>
      </pivotArea>
    </format>
    <format dxfId="7691">
      <pivotArea dataOnly="0" labelOnly="1" outline="0" fieldPosition="0">
        <references count="3">
          <reference field="0" count="1" selected="0">
            <x v="474"/>
          </reference>
          <reference field="2" count="1" selected="0">
            <x v="9"/>
          </reference>
          <reference field="3" count="1">
            <x v="18"/>
          </reference>
        </references>
      </pivotArea>
    </format>
    <format dxfId="7690">
      <pivotArea dataOnly="0" labelOnly="1" outline="0" fieldPosition="0">
        <references count="3">
          <reference field="0" count="1" selected="0">
            <x v="380"/>
          </reference>
          <reference field="2" count="1" selected="0">
            <x v="13"/>
          </reference>
          <reference field="3" count="1">
            <x v="27"/>
          </reference>
        </references>
      </pivotArea>
    </format>
    <format dxfId="7689">
      <pivotArea dataOnly="0" labelOnly="1" outline="0" fieldPosition="0">
        <references count="3">
          <reference field="0" count="1" selected="0">
            <x v="310"/>
          </reference>
          <reference field="2" count="1" selected="0">
            <x v="0"/>
          </reference>
          <reference field="3" count="1">
            <x v="9"/>
          </reference>
        </references>
      </pivotArea>
    </format>
    <format dxfId="7688">
      <pivotArea dataOnly="0" labelOnly="1" outline="0" fieldPosition="0">
        <references count="3">
          <reference field="0" count="1" selected="0">
            <x v="38"/>
          </reference>
          <reference field="2" count="1" selected="0">
            <x v="26"/>
          </reference>
          <reference field="3" count="1">
            <x v="3"/>
          </reference>
        </references>
      </pivotArea>
    </format>
    <format dxfId="7687">
      <pivotArea dataOnly="0" labelOnly="1" outline="0" fieldPosition="0">
        <references count="3">
          <reference field="0" count="1" selected="0">
            <x v="95"/>
          </reference>
          <reference field="2" count="1" selected="0">
            <x v="2"/>
          </reference>
          <reference field="3" count="1">
            <x v="19"/>
          </reference>
        </references>
      </pivotArea>
    </format>
    <format dxfId="7686">
      <pivotArea dataOnly="0" labelOnly="1" outline="0" fieldPosition="0">
        <references count="3">
          <reference field="0" count="1" selected="0">
            <x v="174"/>
          </reference>
          <reference field="2" count="1" selected="0">
            <x v="43"/>
          </reference>
          <reference field="3" count="1">
            <x v="15"/>
          </reference>
        </references>
      </pivotArea>
    </format>
    <format dxfId="7685">
      <pivotArea dataOnly="0" labelOnly="1" outline="0" fieldPosition="0">
        <references count="3">
          <reference field="0" count="1" selected="0">
            <x v="193"/>
          </reference>
          <reference field="2" count="1" selected="0">
            <x v="43"/>
          </reference>
          <reference field="3" count="1">
            <x v="10"/>
          </reference>
        </references>
      </pivotArea>
    </format>
    <format dxfId="7684">
      <pivotArea dataOnly="0" labelOnly="1" outline="0" fieldPosition="0">
        <references count="3">
          <reference field="0" count="1" selected="0">
            <x v="166"/>
          </reference>
          <reference field="2" count="1" selected="0">
            <x v="21"/>
          </reference>
          <reference field="3" count="1">
            <x v="5"/>
          </reference>
        </references>
      </pivotArea>
    </format>
    <format dxfId="7683">
      <pivotArea dataOnly="0" labelOnly="1" outline="0" fieldPosition="0">
        <references count="3">
          <reference field="0" count="1" selected="0">
            <x v="41"/>
          </reference>
          <reference field="2" count="1" selected="0">
            <x v="0"/>
          </reference>
          <reference field="3" count="1">
            <x v="26"/>
          </reference>
        </references>
      </pivotArea>
    </format>
    <format dxfId="7682">
      <pivotArea dataOnly="0" labelOnly="1" outline="0" fieldPosition="0">
        <references count="3">
          <reference field="0" count="1" selected="0">
            <x v="126"/>
          </reference>
          <reference field="2" count="1" selected="0">
            <x v="12"/>
          </reference>
          <reference field="3" count="1">
            <x v="27"/>
          </reference>
        </references>
      </pivotArea>
    </format>
    <format dxfId="7681">
      <pivotArea dataOnly="0" labelOnly="1" outline="0" fieldPosition="0">
        <references count="3">
          <reference field="0" count="1" selected="0">
            <x v="252"/>
          </reference>
          <reference field="2" count="1" selected="0">
            <x v="28"/>
          </reference>
          <reference field="3" count="1">
            <x v="15"/>
          </reference>
        </references>
      </pivotArea>
    </format>
    <format dxfId="7680">
      <pivotArea dataOnly="0" labelOnly="1" outline="0" fieldPosition="0">
        <references count="3">
          <reference field="0" count="1" selected="0">
            <x v="267"/>
          </reference>
          <reference field="2" count="1" selected="0">
            <x v="48"/>
          </reference>
          <reference field="3" count="1">
            <x v="48"/>
          </reference>
        </references>
      </pivotArea>
    </format>
    <format dxfId="7679">
      <pivotArea dataOnly="0" labelOnly="1" outline="0" fieldPosition="0">
        <references count="3">
          <reference field="0" count="1" selected="0">
            <x v="6"/>
          </reference>
          <reference field="2" count="1" selected="0">
            <x v="6"/>
          </reference>
          <reference field="3" count="1">
            <x v="5"/>
          </reference>
        </references>
      </pivotArea>
    </format>
    <format dxfId="7678">
      <pivotArea dataOnly="0" labelOnly="1" outline="0" fieldPosition="0">
        <references count="3">
          <reference field="0" count="1" selected="0">
            <x v="110"/>
          </reference>
          <reference field="2" count="1" selected="0">
            <x v="10"/>
          </reference>
          <reference field="3" count="1">
            <x v="3"/>
          </reference>
        </references>
      </pivotArea>
    </format>
    <format dxfId="7677">
      <pivotArea dataOnly="0" labelOnly="1" outline="0" fieldPosition="0">
        <references count="3">
          <reference field="0" count="1" selected="0">
            <x v="163"/>
          </reference>
          <reference field="2" count="1" selected="0">
            <x v="6"/>
          </reference>
          <reference field="3" count="1">
            <x v="27"/>
          </reference>
        </references>
      </pivotArea>
    </format>
    <format dxfId="7676">
      <pivotArea dataOnly="0" labelOnly="1" outline="0" fieldPosition="0">
        <references count="3">
          <reference field="0" count="1" selected="0">
            <x v="18"/>
          </reference>
          <reference field="2" count="1" selected="0">
            <x v="16"/>
          </reference>
          <reference field="3" count="1">
            <x v="15"/>
          </reference>
        </references>
      </pivotArea>
    </format>
    <format dxfId="7675">
      <pivotArea dataOnly="0" labelOnly="1" outline="0" fieldPosition="0">
        <references count="3">
          <reference field="0" count="1" selected="0">
            <x v="288"/>
          </reference>
          <reference field="2" count="1" selected="0">
            <x v="2"/>
          </reference>
          <reference field="3" count="1">
            <x v="6"/>
          </reference>
        </references>
      </pivotArea>
    </format>
    <format dxfId="7674">
      <pivotArea dataOnly="0" labelOnly="1" outline="0" fieldPosition="0">
        <references count="3">
          <reference field="0" count="1" selected="0">
            <x v="55"/>
          </reference>
          <reference field="2" count="1" selected="0">
            <x v="31"/>
          </reference>
          <reference field="3" count="1">
            <x v="21"/>
          </reference>
        </references>
      </pivotArea>
    </format>
    <format dxfId="7673">
      <pivotArea dataOnly="0" labelOnly="1" outline="0" fieldPosition="0">
        <references count="3">
          <reference field="0" count="1" selected="0">
            <x v="74"/>
          </reference>
          <reference field="2" count="1" selected="0">
            <x v="33"/>
          </reference>
          <reference field="3" count="1">
            <x v="35"/>
          </reference>
        </references>
      </pivotArea>
    </format>
    <format dxfId="7672">
      <pivotArea dataOnly="0" labelOnly="1" outline="0" fieldPosition="0">
        <references count="3">
          <reference field="0" count="1" selected="0">
            <x v="246"/>
          </reference>
          <reference field="2" count="1" selected="0">
            <x v="6"/>
          </reference>
          <reference field="3" count="1">
            <x v="25"/>
          </reference>
        </references>
      </pivotArea>
    </format>
    <format dxfId="7671">
      <pivotArea dataOnly="0" labelOnly="1" outline="0" fieldPosition="0">
        <references count="3">
          <reference field="0" count="1" selected="0">
            <x v="155"/>
          </reference>
          <reference field="2" count="1" selected="0">
            <x v="8"/>
          </reference>
          <reference field="3" count="1">
            <x v="13"/>
          </reference>
        </references>
      </pivotArea>
    </format>
    <format dxfId="7670">
      <pivotArea dataOnly="0" labelOnly="1" outline="0" fieldPosition="0">
        <references count="3">
          <reference field="0" count="1" selected="0">
            <x v="120"/>
          </reference>
          <reference field="2" count="1" selected="0">
            <x v="23"/>
          </reference>
          <reference field="3" count="1">
            <x v="44"/>
          </reference>
        </references>
      </pivotArea>
    </format>
    <format dxfId="7669">
      <pivotArea dataOnly="0" labelOnly="1" outline="0" fieldPosition="0">
        <references count="3">
          <reference field="0" count="1" selected="0">
            <x v="236"/>
          </reference>
          <reference field="2" count="1" selected="0">
            <x v="23"/>
          </reference>
          <reference field="3" count="1">
            <x v="10"/>
          </reference>
        </references>
      </pivotArea>
    </format>
    <format dxfId="7668">
      <pivotArea dataOnly="0" labelOnly="1" outline="0" fieldPosition="0">
        <references count="3">
          <reference field="0" count="1" selected="0">
            <x v="188"/>
          </reference>
          <reference field="2" count="1" selected="0">
            <x v="18"/>
          </reference>
          <reference field="3" count="1">
            <x v="29"/>
          </reference>
        </references>
      </pivotArea>
    </format>
    <format dxfId="7667">
      <pivotArea dataOnly="0" labelOnly="1" outline="0" fieldPosition="0">
        <references count="3">
          <reference field="0" count="1" selected="0">
            <x v="441"/>
          </reference>
          <reference field="2" count="1" selected="0">
            <x v="50"/>
          </reference>
          <reference field="3" count="1">
            <x v="15"/>
          </reference>
        </references>
      </pivotArea>
    </format>
    <format dxfId="7666">
      <pivotArea dataOnly="0" labelOnly="1" outline="0" fieldPosition="0">
        <references count="3">
          <reference field="0" count="1" selected="0">
            <x v="426"/>
          </reference>
          <reference field="2" count="1" selected="0">
            <x v="30"/>
          </reference>
          <reference field="3" count="1">
            <x v="33"/>
          </reference>
        </references>
      </pivotArea>
    </format>
    <format dxfId="7665">
      <pivotArea dataOnly="0" labelOnly="1" outline="0" fieldPosition="0">
        <references count="3">
          <reference field="0" count="1" selected="0">
            <x v="499"/>
          </reference>
          <reference field="2" count="1" selected="0">
            <x v="26"/>
          </reference>
          <reference field="3" count="1">
            <x v="15"/>
          </reference>
        </references>
      </pivotArea>
    </format>
    <format dxfId="7664">
      <pivotArea dataOnly="0" labelOnly="1" outline="0" fieldPosition="0">
        <references count="3">
          <reference field="0" count="1" selected="0">
            <x v="403"/>
          </reference>
          <reference field="2" count="1" selected="0">
            <x v="8"/>
          </reference>
          <reference field="3" count="1">
            <x v="39"/>
          </reference>
        </references>
      </pivotArea>
    </format>
    <format dxfId="7663">
      <pivotArea dataOnly="0" labelOnly="1" outline="0" fieldPosition="0">
        <references count="3">
          <reference field="0" count="1" selected="0">
            <x v="303"/>
          </reference>
          <reference field="2" count="1" selected="0">
            <x v="35"/>
          </reference>
          <reference field="3" count="1">
            <x v="40"/>
          </reference>
        </references>
      </pivotArea>
    </format>
    <format dxfId="7662">
      <pivotArea dataOnly="0" labelOnly="1" outline="0" fieldPosition="0">
        <references count="3">
          <reference field="0" count="1" selected="0">
            <x v="234"/>
          </reference>
          <reference field="2" count="1" selected="0">
            <x v="9"/>
          </reference>
          <reference field="3" count="1">
            <x v="33"/>
          </reference>
        </references>
      </pivotArea>
    </format>
    <format dxfId="7661">
      <pivotArea dataOnly="0" labelOnly="1" outline="0" fieldPosition="0">
        <references count="3">
          <reference field="0" count="1" selected="0">
            <x v="448"/>
          </reference>
          <reference field="2" count="1" selected="0">
            <x v="23"/>
          </reference>
          <reference field="3" count="1">
            <x v="49"/>
          </reference>
        </references>
      </pivotArea>
    </format>
    <format dxfId="7660">
      <pivotArea dataOnly="0" labelOnly="1" outline="0" fieldPosition="0">
        <references count="3">
          <reference field="0" count="1" selected="0">
            <x v="442"/>
          </reference>
          <reference field="2" count="1" selected="0">
            <x v="23"/>
          </reference>
          <reference field="3" count="1">
            <x v="34"/>
          </reference>
        </references>
      </pivotArea>
    </format>
    <format dxfId="7659">
      <pivotArea dataOnly="0" labelOnly="1" outline="0" fieldPosition="0">
        <references count="3">
          <reference field="0" count="1" selected="0">
            <x v="530"/>
          </reference>
          <reference field="2" count="1" selected="0">
            <x v="18"/>
          </reference>
          <reference field="3" count="1">
            <x v="7"/>
          </reference>
        </references>
      </pivotArea>
    </format>
    <format dxfId="7658">
      <pivotArea dataOnly="0" labelOnly="1" outline="0" fieldPosition="0">
        <references count="3">
          <reference field="0" count="1" selected="0">
            <x v="342"/>
          </reference>
          <reference field="2" count="1" selected="0">
            <x v="2"/>
          </reference>
          <reference field="3" count="1">
            <x v="18"/>
          </reference>
        </references>
      </pivotArea>
    </format>
    <format dxfId="7657">
      <pivotArea dataOnly="0" labelOnly="1" outline="0" fieldPosition="0">
        <references count="3">
          <reference field="0" count="1" selected="0">
            <x v="501"/>
          </reference>
          <reference field="2" count="1" selected="0">
            <x v="46"/>
          </reference>
          <reference field="3" count="1">
            <x v="8"/>
          </reference>
        </references>
      </pivotArea>
    </format>
    <format dxfId="7656">
      <pivotArea dataOnly="0" labelOnly="1" outline="0" fieldPosition="0">
        <references count="3">
          <reference field="0" count="1" selected="0">
            <x v="541"/>
          </reference>
          <reference field="2" count="1" selected="0">
            <x v="18"/>
          </reference>
          <reference field="3" count="1">
            <x v="13"/>
          </reference>
        </references>
      </pivotArea>
    </format>
    <format dxfId="7655">
      <pivotArea dataOnly="0" labelOnly="1" outline="0" fieldPosition="0">
        <references count="3">
          <reference field="0" count="1" selected="0">
            <x v="412"/>
          </reference>
          <reference field="2" count="1" selected="0">
            <x v="17"/>
          </reference>
          <reference field="3" count="1">
            <x v="31"/>
          </reference>
        </references>
      </pivotArea>
    </format>
    <format dxfId="7654">
      <pivotArea dataOnly="0" labelOnly="1" outline="0" fieldPosition="0">
        <references count="3">
          <reference field="0" count="1" selected="0">
            <x v="586"/>
          </reference>
          <reference field="2" count="1" selected="0">
            <x v="37"/>
          </reference>
          <reference field="3" count="1">
            <x v="48"/>
          </reference>
        </references>
      </pivotArea>
    </format>
    <format dxfId="7653">
      <pivotArea dataOnly="0" labelOnly="1" outline="0" fieldPosition="0">
        <references count="3">
          <reference field="0" count="1" selected="0">
            <x v="469"/>
          </reference>
          <reference field="2" count="1" selected="0">
            <x v="20"/>
          </reference>
          <reference field="3" count="1">
            <x v="26"/>
          </reference>
        </references>
      </pivotArea>
    </format>
    <format dxfId="7652">
      <pivotArea dataOnly="0" labelOnly="1" outline="0" fieldPosition="0">
        <references count="3">
          <reference field="0" count="1" selected="0">
            <x v="604"/>
          </reference>
          <reference field="2" count="1" selected="0">
            <x v="31"/>
          </reference>
          <reference field="3" count="1">
            <x v="21"/>
          </reference>
        </references>
      </pivotArea>
    </format>
    <format dxfId="7651">
      <pivotArea dataOnly="0" labelOnly="1" outline="0" fieldPosition="0">
        <references count="3">
          <reference field="0" count="1" selected="0">
            <x v="489"/>
          </reference>
          <reference field="2" count="1" selected="0">
            <x v="16"/>
          </reference>
          <reference field="3" count="1">
            <x v="45"/>
          </reference>
        </references>
      </pivotArea>
    </format>
    <format dxfId="7650">
      <pivotArea dataOnly="0" labelOnly="1" outline="0" fieldPosition="0">
        <references count="3">
          <reference field="0" count="1" selected="0">
            <x v="498"/>
          </reference>
          <reference field="2" count="1" selected="0">
            <x v="36"/>
          </reference>
          <reference field="3" count="1">
            <x v="19"/>
          </reference>
        </references>
      </pivotArea>
    </format>
    <format dxfId="7649">
      <pivotArea dataOnly="0" labelOnly="1" outline="0" fieldPosition="0">
        <references count="3">
          <reference field="0" count="1" selected="0">
            <x v="4"/>
          </reference>
          <reference field="2" count="1" selected="0">
            <x v="4"/>
          </reference>
          <reference field="3" count="1">
            <x v="3"/>
          </reference>
        </references>
      </pivotArea>
    </format>
    <format dxfId="7648">
      <pivotArea dataOnly="0" labelOnly="1" outline="0" fieldPosition="0">
        <references count="3">
          <reference field="0" count="1" selected="0">
            <x v="94"/>
          </reference>
          <reference field="2" count="1" selected="0">
            <x v="41"/>
          </reference>
          <reference field="3" count="1">
            <x v="23"/>
          </reference>
        </references>
      </pivotArea>
    </format>
    <format dxfId="7647">
      <pivotArea dataOnly="0" labelOnly="1" outline="0" fieldPosition="0">
        <references count="3">
          <reference field="0" count="1" selected="0">
            <x v="161"/>
          </reference>
          <reference field="2" count="1" selected="0">
            <x v="35"/>
          </reference>
          <reference field="3" count="1">
            <x v="47"/>
          </reference>
        </references>
      </pivotArea>
    </format>
    <format dxfId="7646">
      <pivotArea dataOnly="0" labelOnly="1" outline="0" fieldPosition="0">
        <references count="3">
          <reference field="0" count="1" selected="0">
            <x v="172"/>
          </reference>
          <reference field="2" count="1" selected="0">
            <x v="33"/>
          </reference>
          <reference field="3" count="1">
            <x v="6"/>
          </reference>
        </references>
      </pivotArea>
    </format>
    <format dxfId="7645">
      <pivotArea dataOnly="0" labelOnly="1" outline="0" fieldPosition="0">
        <references count="3">
          <reference field="0" count="1" selected="0">
            <x v="220"/>
          </reference>
          <reference field="2" count="1" selected="0">
            <x v="8"/>
          </reference>
          <reference field="3" count="1">
            <x v="4"/>
          </reference>
        </references>
      </pivotArea>
    </format>
    <format dxfId="7644">
      <pivotArea dataOnly="0" labelOnly="1" outline="0" fieldPosition="0">
        <references count="3">
          <reference field="0" count="1" selected="0">
            <x v="173"/>
          </reference>
          <reference field="2" count="1" selected="0">
            <x v="4"/>
          </reference>
          <reference field="3" count="1">
            <x v="3"/>
          </reference>
        </references>
      </pivotArea>
    </format>
    <format dxfId="7643">
      <pivotArea dataOnly="0" labelOnly="1" outline="0" fieldPosition="0">
        <references count="3">
          <reference field="0" count="1" selected="0">
            <x v="271"/>
          </reference>
          <reference field="2" count="1" selected="0">
            <x v="1"/>
          </reference>
          <reference field="3" count="1">
            <x v="18"/>
          </reference>
        </references>
      </pivotArea>
    </format>
    <format dxfId="7642">
      <pivotArea dataOnly="0" labelOnly="1" outline="0" fieldPosition="0">
        <references count="3">
          <reference field="0" count="1" selected="0">
            <x v="186"/>
          </reference>
          <reference field="2" count="1" selected="0">
            <x v="21"/>
          </reference>
          <reference field="3" count="1">
            <x v="46"/>
          </reference>
        </references>
      </pivotArea>
    </format>
    <format dxfId="7641">
      <pivotArea dataOnly="0" labelOnly="1" outline="0" fieldPosition="0">
        <references count="3">
          <reference field="0" count="1" selected="0">
            <x v="256"/>
          </reference>
          <reference field="2" count="1" selected="0">
            <x v="15"/>
          </reference>
          <reference field="3" count="1">
            <x v="8"/>
          </reference>
        </references>
      </pivotArea>
    </format>
    <format dxfId="7640">
      <pivotArea dataOnly="0" labelOnly="1" outline="0" fieldPosition="0">
        <references count="3">
          <reference field="0" count="1" selected="0">
            <x v="203"/>
          </reference>
          <reference field="2" count="1" selected="0">
            <x v="37"/>
          </reference>
          <reference field="3" count="1">
            <x v="14"/>
          </reference>
        </references>
      </pivotArea>
    </format>
    <format dxfId="7639">
      <pivotArea dataOnly="0" labelOnly="1" outline="0" fieldPosition="0">
        <references count="3">
          <reference field="0" count="1" selected="0">
            <x v="264"/>
          </reference>
          <reference field="2" count="1" selected="0">
            <x v="36"/>
          </reference>
          <reference field="3" count="1">
            <x v="23"/>
          </reference>
        </references>
      </pivotArea>
    </format>
    <format dxfId="7638">
      <pivotArea dataOnly="0" labelOnly="1" outline="0" fieldPosition="0">
        <references count="3">
          <reference field="0" count="1" selected="0">
            <x v="484"/>
          </reference>
          <reference field="2" count="1" selected="0">
            <x v="20"/>
          </reference>
          <reference field="3" count="1">
            <x v="46"/>
          </reference>
        </references>
      </pivotArea>
    </format>
    <format dxfId="7637">
      <pivotArea dataOnly="0" labelOnly="1" outline="0" fieldPosition="0">
        <references count="3">
          <reference field="0" count="1" selected="0">
            <x v="537"/>
          </reference>
          <reference field="2" count="1" selected="0">
            <x v="11"/>
          </reference>
          <reference field="3" count="1">
            <x v="18"/>
          </reference>
        </references>
      </pivotArea>
    </format>
    <format dxfId="7636">
      <pivotArea dataOnly="0" labelOnly="1" outline="0" fieldPosition="0">
        <references count="3">
          <reference field="0" count="1" selected="0">
            <x v="82"/>
          </reference>
          <reference field="2" count="1" selected="0">
            <x v="20"/>
          </reference>
          <reference field="3" count="1">
            <x v="9"/>
          </reference>
        </references>
      </pivotArea>
    </format>
    <format dxfId="7635">
      <pivotArea dataOnly="0" labelOnly="1" outline="0" fieldPosition="0">
        <references count="3">
          <reference field="0" count="1" selected="0">
            <x v="198"/>
          </reference>
          <reference field="2" count="1" selected="0">
            <x v="8"/>
          </reference>
          <reference field="3" count="1">
            <x v="34"/>
          </reference>
        </references>
      </pivotArea>
    </format>
    <format dxfId="7634">
      <pivotArea dataOnly="0" labelOnly="1" outline="0" fieldPosition="0">
        <references count="3">
          <reference field="0" count="1" selected="0">
            <x v="463"/>
          </reference>
          <reference field="2" count="1" selected="0">
            <x v="5"/>
          </reference>
          <reference field="3" count="1">
            <x v="47"/>
          </reference>
        </references>
      </pivotArea>
    </format>
    <format dxfId="7633">
      <pivotArea dataOnly="0" labelOnly="1" outline="0" fieldPosition="0">
        <references count="3">
          <reference field="0" count="1" selected="0">
            <x v="385"/>
          </reference>
          <reference field="2" count="1" selected="0">
            <x v="31"/>
          </reference>
          <reference field="3" count="1">
            <x v="8"/>
          </reference>
        </references>
      </pivotArea>
    </format>
    <format dxfId="7632">
      <pivotArea dataOnly="0" labelOnly="1" outline="0" fieldPosition="0">
        <references count="3">
          <reference field="0" count="1" selected="0">
            <x v="492"/>
          </reference>
          <reference field="2" count="1" selected="0">
            <x v="36"/>
          </reference>
          <reference field="3" count="1">
            <x v="0"/>
          </reference>
        </references>
      </pivotArea>
    </format>
    <format dxfId="7631">
      <pivotArea dataOnly="0" labelOnly="1" outline="0" fieldPosition="0">
        <references count="3">
          <reference field="0" count="1" selected="0">
            <x v="494"/>
          </reference>
          <reference field="2" count="1" selected="0">
            <x v="2"/>
          </reference>
          <reference field="3" count="1">
            <x v="15"/>
          </reference>
        </references>
      </pivotArea>
    </format>
    <format dxfId="7630">
      <pivotArea dataOnly="0" labelOnly="1" outline="0" fieldPosition="0">
        <references count="3">
          <reference field="0" count="1" selected="0">
            <x v="549"/>
          </reference>
          <reference field="2" count="1" selected="0">
            <x v="49"/>
          </reference>
          <reference field="3" count="1">
            <x v="8"/>
          </reference>
        </references>
      </pivotArea>
    </format>
    <format dxfId="7629">
      <pivotArea dataOnly="0" labelOnly="1" outline="0" fieldPosition="0">
        <references count="3">
          <reference field="0" count="1" selected="0">
            <x v="464"/>
          </reference>
          <reference field="2" count="1" selected="0">
            <x v="37"/>
          </reference>
          <reference field="3" count="1">
            <x v="28"/>
          </reference>
        </references>
      </pivotArea>
    </format>
    <format dxfId="7628">
      <pivotArea dataOnly="0" labelOnly="1" outline="0" fieldPosition="0">
        <references count="3">
          <reference field="0" count="1" selected="0">
            <x v="393"/>
          </reference>
          <reference field="2" count="1" selected="0">
            <x v="50"/>
          </reference>
          <reference field="3" count="1">
            <x v="17"/>
          </reference>
        </references>
      </pivotArea>
    </format>
    <format dxfId="7627">
      <pivotArea dataOnly="0" labelOnly="1" outline="0" fieldPosition="0">
        <references count="3">
          <reference field="0" count="1" selected="0">
            <x v="359"/>
          </reference>
          <reference field="2" count="1" selected="0">
            <x v="10"/>
          </reference>
          <reference field="3" count="1">
            <x v="3"/>
          </reference>
        </references>
      </pivotArea>
    </format>
    <format dxfId="7626">
      <pivotArea dataOnly="0" labelOnly="1" outline="0" fieldPosition="0">
        <references count="3">
          <reference field="0" count="1" selected="0">
            <x v="428"/>
          </reference>
          <reference field="2" count="1" selected="0">
            <x v="1"/>
          </reference>
          <reference field="3" count="1">
            <x v="35"/>
          </reference>
        </references>
      </pivotArea>
    </format>
    <format dxfId="7625">
      <pivotArea dataOnly="0" labelOnly="1" outline="0" fieldPosition="0">
        <references count="3">
          <reference field="0" count="1" selected="0">
            <x v="471"/>
          </reference>
          <reference field="2" count="1" selected="0">
            <x v="43"/>
          </reference>
          <reference field="3" count="1">
            <x v="49"/>
          </reference>
        </references>
      </pivotArea>
    </format>
    <format dxfId="7624">
      <pivotArea dataOnly="0" labelOnly="1" outline="0" fieldPosition="0">
        <references count="3">
          <reference field="0" count="1" selected="0">
            <x v="538"/>
          </reference>
          <reference field="2" count="1" selected="0">
            <x v="48"/>
          </reference>
          <reference field="3" count="1">
            <x v="7"/>
          </reference>
        </references>
      </pivotArea>
    </format>
    <format dxfId="7623">
      <pivotArea dataOnly="0" labelOnly="1" outline="0" fieldPosition="0">
        <references count="3">
          <reference field="0" count="1" selected="0">
            <x v="505"/>
          </reference>
          <reference field="2" count="1" selected="0">
            <x v="16"/>
          </reference>
          <reference field="3" count="1">
            <x v="18"/>
          </reference>
        </references>
      </pivotArea>
    </format>
    <format dxfId="7622">
      <pivotArea dataOnly="0" labelOnly="1" outline="0" fieldPosition="0">
        <references count="3">
          <reference field="0" count="1" selected="0">
            <x v="432"/>
          </reference>
          <reference field="2" count="1" selected="0">
            <x v="49"/>
          </reference>
          <reference field="3" count="1">
            <x v="42"/>
          </reference>
        </references>
      </pivotArea>
    </format>
    <format dxfId="7621">
      <pivotArea dataOnly="0" labelOnly="1" outline="0" fieldPosition="0">
        <references count="3">
          <reference field="0" count="1" selected="0">
            <x v="477"/>
          </reference>
          <reference field="2" count="1" selected="0">
            <x v="35"/>
          </reference>
          <reference field="3" count="1">
            <x v="48"/>
          </reference>
        </references>
      </pivotArea>
    </format>
    <format dxfId="7620">
      <pivotArea dataOnly="0" labelOnly="1" outline="0" fieldPosition="0">
        <references count="3">
          <reference field="0" count="1" selected="0">
            <x v="554"/>
          </reference>
          <reference field="2" count="1" selected="0">
            <x v="4"/>
          </reference>
          <reference field="3" count="1">
            <x v="36"/>
          </reference>
        </references>
      </pivotArea>
    </format>
    <format dxfId="7619">
      <pivotArea dataOnly="0" labelOnly="1" outline="0" fieldPosition="0">
        <references count="3">
          <reference field="0" count="1" selected="0">
            <x v="322"/>
          </reference>
          <reference field="2" count="1" selected="0">
            <x v="47"/>
          </reference>
          <reference field="3" count="1">
            <x v="7"/>
          </reference>
        </references>
      </pivotArea>
    </format>
    <format dxfId="7618">
      <pivotArea dataOnly="0" labelOnly="1" outline="0" fieldPosition="0">
        <references count="3">
          <reference field="0" count="1" selected="0">
            <x v="388"/>
          </reference>
          <reference field="2" count="1" selected="0">
            <x v="37"/>
          </reference>
          <reference field="3" count="1">
            <x v="1"/>
          </reference>
        </references>
      </pivotArea>
    </format>
    <format dxfId="7617">
      <pivotArea dataOnly="0" labelOnly="1" outline="0" fieldPosition="0">
        <references count="3">
          <reference field="0" count="1" selected="0">
            <x v="320"/>
          </reference>
          <reference field="2" count="1" selected="0">
            <x v="6"/>
          </reference>
          <reference field="3" count="1">
            <x v="21"/>
          </reference>
        </references>
      </pivotArea>
    </format>
    <format dxfId="7616">
      <pivotArea dataOnly="0" labelOnly="1" outline="0" fieldPosition="0">
        <references count="3">
          <reference field="0" count="1" selected="0">
            <x v="485"/>
          </reference>
          <reference field="2" count="1" selected="0">
            <x v="17"/>
          </reference>
          <reference field="3" count="1">
            <x v="7"/>
          </reference>
        </references>
      </pivotArea>
    </format>
    <format dxfId="7615">
      <pivotArea dataOnly="0" labelOnly="1" outline="0" fieldPosition="0">
        <references count="3">
          <reference field="0" count="1" selected="0">
            <x v="377"/>
          </reference>
          <reference field="2" count="1" selected="0">
            <x v="22"/>
          </reference>
          <reference field="3" count="1">
            <x v="22"/>
          </reference>
        </references>
      </pivotArea>
    </format>
    <format dxfId="7614">
      <pivotArea dataOnly="0" labelOnly="1" outline="0" fieldPosition="0">
        <references count="3">
          <reference field="0" count="1" selected="0">
            <x v="354"/>
          </reference>
          <reference field="2" count="1" selected="0">
            <x v="14"/>
          </reference>
          <reference field="3" count="1">
            <x v="33"/>
          </reference>
        </references>
      </pivotArea>
    </format>
    <format dxfId="7613">
      <pivotArea dataOnly="0" labelOnly="1" outline="0" fieldPosition="0">
        <references count="3">
          <reference field="0" count="1" selected="0">
            <x v="522"/>
          </reference>
          <reference field="2" count="1" selected="0">
            <x v="26"/>
          </reference>
          <reference field="3" count="1">
            <x v="16"/>
          </reference>
        </references>
      </pivotArea>
    </format>
    <format dxfId="7612">
      <pivotArea dataOnly="0" labelOnly="1" outline="0" fieldPosition="0">
        <references count="3">
          <reference field="0" count="1" selected="0">
            <x v="139"/>
          </reference>
          <reference field="2" count="1" selected="0">
            <x v="9"/>
          </reference>
          <reference field="3" count="1">
            <x v="19"/>
          </reference>
        </references>
      </pivotArea>
    </format>
    <format dxfId="7611">
      <pivotArea dataOnly="0" labelOnly="1" outline="0" fieldPosition="0">
        <references count="3">
          <reference field="0" count="1" selected="0">
            <x v="135"/>
          </reference>
          <reference field="2" count="1" selected="0">
            <x v="33"/>
          </reference>
          <reference field="3" count="1">
            <x v="43"/>
          </reference>
        </references>
      </pivotArea>
    </format>
    <format dxfId="7610">
      <pivotArea dataOnly="0" labelOnly="1" outline="0" fieldPosition="0">
        <references count="3">
          <reference field="0" count="1" selected="0">
            <x v="59"/>
          </reference>
          <reference field="2" count="1" selected="0">
            <x v="20"/>
          </reference>
          <reference field="3" count="1">
            <x v="15"/>
          </reference>
        </references>
      </pivotArea>
    </format>
    <format dxfId="7609">
      <pivotArea dataOnly="0" labelOnly="1" outline="0" fieldPosition="0">
        <references count="3">
          <reference field="0" count="1" selected="0">
            <x v="47"/>
          </reference>
          <reference field="2" count="1" selected="0">
            <x v="3"/>
          </reference>
          <reference field="3" count="1">
            <x v="2"/>
          </reference>
        </references>
      </pivotArea>
    </format>
    <format dxfId="7608">
      <pivotArea dataOnly="0" labelOnly="1" outline="0" fieldPosition="0">
        <references count="3">
          <reference field="0" count="1" selected="0">
            <x v="13"/>
          </reference>
          <reference field="2" count="1" selected="0">
            <x v="12"/>
          </reference>
          <reference field="3" count="1">
            <x v="12"/>
          </reference>
        </references>
      </pivotArea>
    </format>
    <format dxfId="7607">
      <pivotArea dataOnly="0" labelOnly="1" outline="0" fieldPosition="0">
        <references count="3">
          <reference field="0" count="1" selected="0">
            <x v="189"/>
          </reference>
          <reference field="2" count="1" selected="0">
            <x v="39"/>
          </reference>
          <reference field="3" count="1">
            <x v="40"/>
          </reference>
        </references>
      </pivotArea>
    </format>
    <format dxfId="7606">
      <pivotArea dataOnly="0" labelOnly="1" outline="0" fieldPosition="0">
        <references count="3">
          <reference field="0" count="1" selected="0">
            <x v="258"/>
          </reference>
          <reference field="2" count="1" selected="0">
            <x v="1"/>
          </reference>
          <reference field="3" count="1">
            <x v="25"/>
          </reference>
        </references>
      </pivotArea>
    </format>
    <format dxfId="7605">
      <pivotArea dataOnly="0" labelOnly="1" outline="0" fieldPosition="0">
        <references count="3">
          <reference field="0" count="1" selected="0">
            <x v="265"/>
          </reference>
          <reference field="2" count="1" selected="0">
            <x v="9"/>
          </reference>
          <reference field="3" count="1">
            <x v="4"/>
          </reference>
        </references>
      </pivotArea>
    </format>
    <format dxfId="7604">
      <pivotArea dataOnly="0" labelOnly="1" outline="0" fieldPosition="0">
        <references count="3">
          <reference field="0" count="1" selected="0">
            <x v="204"/>
          </reference>
          <reference field="2" count="1" selected="0">
            <x v="32"/>
          </reference>
          <reference field="3" count="1">
            <x v="15"/>
          </reference>
        </references>
      </pivotArea>
    </format>
    <format dxfId="7603">
      <pivotArea dataOnly="0" labelOnly="1" outline="0" fieldPosition="0">
        <references count="3">
          <reference field="0" count="1" selected="0">
            <x v="115"/>
          </reference>
          <reference field="2" count="1" selected="0">
            <x v="37"/>
          </reference>
          <reference field="3" count="1">
            <x v="31"/>
          </reference>
        </references>
      </pivotArea>
    </format>
    <format dxfId="7602">
      <pivotArea dataOnly="0" labelOnly="1" outline="0" fieldPosition="0">
        <references count="3">
          <reference field="0" count="1" selected="0">
            <x v="248"/>
          </reference>
          <reference field="2" count="1" selected="0">
            <x v="33"/>
          </reference>
          <reference field="3" count="1">
            <x v="18"/>
          </reference>
        </references>
      </pivotArea>
    </format>
    <format dxfId="7601">
      <pivotArea dataOnly="0" labelOnly="1" outline="0" fieldPosition="0">
        <references count="3">
          <reference field="0" count="1" selected="0">
            <x v="281"/>
          </reference>
          <reference field="2" count="1" selected="0">
            <x v="24"/>
          </reference>
          <reference field="3" count="1">
            <x v="31"/>
          </reference>
        </references>
      </pivotArea>
    </format>
    <format dxfId="7600">
      <pivotArea dataOnly="0" labelOnly="1" outline="0" fieldPosition="0">
        <references count="3">
          <reference field="0" count="1" selected="0">
            <x v="137"/>
          </reference>
          <reference field="2" count="1" selected="0">
            <x v="47"/>
          </reference>
          <reference field="3" count="1">
            <x v="22"/>
          </reference>
        </references>
      </pivotArea>
    </format>
    <format dxfId="7599">
      <pivotArea dataOnly="0" labelOnly="1" outline="0" fieldPosition="0">
        <references count="3">
          <reference field="0" count="1" selected="0">
            <x v="0"/>
          </reference>
          <reference field="2" count="1" selected="0">
            <x v="0"/>
          </reference>
          <reference field="3" count="1">
            <x v="0"/>
          </reference>
        </references>
      </pivotArea>
    </format>
    <format dxfId="7598">
      <pivotArea dataOnly="0" labelOnly="1" outline="0" fieldPosition="0">
        <references count="3">
          <reference field="0" count="1" selected="0">
            <x v="91"/>
          </reference>
          <reference field="2" count="1" selected="0">
            <x v="27"/>
          </reference>
          <reference field="3" count="1">
            <x v="31"/>
          </reference>
        </references>
      </pivotArea>
    </format>
    <format dxfId="7597">
      <pivotArea dataOnly="0" labelOnly="1" outline="0" fieldPosition="0">
        <references count="3">
          <reference field="0" count="1" selected="0">
            <x v="179"/>
          </reference>
          <reference field="2" count="1" selected="0">
            <x v="29"/>
          </reference>
          <reference field="3" count="1">
            <x v="48"/>
          </reference>
        </references>
      </pivotArea>
    </format>
    <format dxfId="7596">
      <pivotArea dataOnly="0" labelOnly="1" outline="0" fieldPosition="0">
        <references count="3">
          <reference field="0" count="1" selected="0">
            <x v="181"/>
          </reference>
          <reference field="2" count="1" selected="0">
            <x v="8"/>
          </reference>
          <reference field="3" count="1">
            <x v="27"/>
          </reference>
        </references>
      </pivotArea>
    </format>
    <format dxfId="7595">
      <pivotArea dataOnly="0" labelOnly="1" outline="0" fieldPosition="0">
        <references count="3">
          <reference field="0" count="1" selected="0">
            <x v="294"/>
          </reference>
          <reference field="2" count="1" selected="0">
            <x v="24"/>
          </reference>
          <reference field="3" count="1">
            <x v="13"/>
          </reference>
        </references>
      </pivotArea>
    </format>
    <format dxfId="7594">
      <pivotArea dataOnly="0" labelOnly="1" outline="0" fieldPosition="0">
        <references count="3">
          <reference field="0" count="1" selected="0">
            <x v="228"/>
          </reference>
          <reference field="2" count="1" selected="0">
            <x v="38"/>
          </reference>
          <reference field="3" count="1">
            <x v="27"/>
          </reference>
        </references>
      </pivotArea>
    </format>
    <format dxfId="7593">
      <pivotArea dataOnly="0" labelOnly="1" outline="0" fieldPosition="0">
        <references count="3">
          <reference field="0" count="1" selected="0">
            <x v="147"/>
          </reference>
          <reference field="2" count="1" selected="0">
            <x v="32"/>
          </reference>
          <reference field="3" count="1">
            <x v="9"/>
          </reference>
        </references>
      </pivotArea>
    </format>
    <format dxfId="7592">
      <pivotArea dataOnly="0" labelOnly="1" outline="0" fieldPosition="0">
        <references count="3">
          <reference field="0" count="1" selected="0">
            <x v="29"/>
          </reference>
          <reference field="2" count="1" selected="0">
            <x v="23"/>
          </reference>
          <reference field="3" count="1">
            <x v="20"/>
          </reference>
        </references>
      </pivotArea>
    </format>
    <format dxfId="7591">
      <pivotArea dataOnly="0" labelOnly="1" outline="0" fieldPosition="0">
        <references count="3">
          <reference field="0" count="1" selected="0">
            <x v="67"/>
          </reference>
          <reference field="2" count="1" selected="0">
            <x v="5"/>
          </reference>
          <reference field="3" count="1">
            <x v="12"/>
          </reference>
        </references>
      </pivotArea>
    </format>
    <format dxfId="7590">
      <pivotArea dataOnly="0" labelOnly="1" outline="0" fieldPosition="0">
        <references count="3">
          <reference field="0" count="1" selected="0">
            <x v="127"/>
          </reference>
          <reference field="2" count="1" selected="0">
            <x v="32"/>
          </reference>
          <reference field="3" count="1">
            <x v="26"/>
          </reference>
        </references>
      </pivotArea>
    </format>
    <format dxfId="7589">
      <pivotArea dataOnly="0" labelOnly="1" outline="0" fieldPosition="0">
        <references count="3">
          <reference field="0" count="1" selected="0">
            <x v="68"/>
          </reference>
          <reference field="2" count="1" selected="0">
            <x v="34"/>
          </reference>
          <reference field="3" count="1">
            <x v="4"/>
          </reference>
        </references>
      </pivotArea>
    </format>
    <format dxfId="7588">
      <pivotArea dataOnly="0" labelOnly="1" outline="0" fieldPosition="0">
        <references count="3">
          <reference field="0" count="1" selected="0">
            <x v="107"/>
          </reference>
          <reference field="2" count="1" selected="0">
            <x v="10"/>
          </reference>
          <reference field="3" count="1">
            <x v="23"/>
          </reference>
        </references>
      </pivotArea>
    </format>
    <format dxfId="7587">
      <pivotArea dataOnly="0" labelOnly="1" outline="0" fieldPosition="0">
        <references count="3">
          <reference field="0" count="1" selected="0">
            <x v="32"/>
          </reference>
          <reference field="2" count="1" selected="0">
            <x v="23"/>
          </reference>
          <reference field="3" count="1">
            <x v="23"/>
          </reference>
        </references>
      </pivotArea>
    </format>
    <format dxfId="7586">
      <pivotArea dataOnly="0" labelOnly="1" outline="0" fieldPosition="0">
        <references count="3">
          <reference field="0" count="1" selected="0">
            <x v="130"/>
          </reference>
          <reference field="2" count="1" selected="0">
            <x v="7"/>
          </reference>
          <reference field="3" count="1">
            <x v="26"/>
          </reference>
        </references>
      </pivotArea>
    </format>
    <format dxfId="7585">
      <pivotArea dataOnly="0" labelOnly="1" outline="0" fieldPosition="0">
        <references count="3">
          <reference field="0" count="1" selected="0">
            <x v="165"/>
          </reference>
          <reference field="2" count="1" selected="0">
            <x v="31"/>
          </reference>
          <reference field="3" count="1">
            <x v="9"/>
          </reference>
        </references>
      </pivotArea>
    </format>
    <format dxfId="7584">
      <pivotArea dataOnly="0" labelOnly="1" outline="0" fieldPosition="0">
        <references count="3">
          <reference field="0" count="1" selected="0">
            <x v="25"/>
          </reference>
          <reference field="2" count="1" selected="0">
            <x v="19"/>
          </reference>
          <reference field="3" count="1">
            <x v="19"/>
          </reference>
        </references>
      </pivotArea>
    </format>
    <format dxfId="7583">
      <pivotArea dataOnly="0" labelOnly="1" outline="0" fieldPosition="0">
        <references count="3">
          <reference field="0" count="1" selected="0">
            <x v="576"/>
          </reference>
          <reference field="2" count="1" selected="0">
            <x v="39"/>
          </reference>
          <reference field="3" count="1">
            <x v="43"/>
          </reference>
        </references>
      </pivotArea>
    </format>
    <format dxfId="7582">
      <pivotArea dataOnly="0" labelOnly="1" outline="0" fieldPosition="0">
        <references count="3">
          <reference field="0" count="1" selected="0">
            <x v="606"/>
          </reference>
          <reference field="2" count="1" selected="0">
            <x v="10"/>
          </reference>
          <reference field="3" count="1">
            <x v="38"/>
          </reference>
        </references>
      </pivotArea>
    </format>
    <format dxfId="7581">
      <pivotArea dataOnly="0" labelOnly="1" outline="0" fieldPosition="0">
        <references count="3">
          <reference field="0" count="1" selected="0">
            <x v="439"/>
          </reference>
          <reference field="2" count="1" selected="0">
            <x v="46"/>
          </reference>
          <reference field="3" count="1">
            <x v="47"/>
          </reference>
        </references>
      </pivotArea>
    </format>
    <format dxfId="7580">
      <pivotArea dataOnly="0" labelOnly="1" outline="0" fieldPosition="0">
        <references count="3">
          <reference field="0" count="1" selected="0">
            <x v="520"/>
          </reference>
          <reference field="2" count="1" selected="0">
            <x v="43"/>
          </reference>
          <reference field="3" count="1">
            <x v="7"/>
          </reference>
        </references>
      </pivotArea>
    </format>
    <format dxfId="7579">
      <pivotArea dataOnly="0" labelOnly="1" outline="0" fieldPosition="0">
        <references count="3">
          <reference field="0" count="1" selected="0">
            <x v="88"/>
          </reference>
          <reference field="2" count="1" selected="0">
            <x v="38"/>
          </reference>
          <reference field="3" count="1">
            <x v="40"/>
          </reference>
        </references>
      </pivotArea>
    </format>
    <format dxfId="7578">
      <pivotArea dataOnly="0" labelOnly="1" outline="0" fieldPosition="0">
        <references count="3">
          <reference field="0" count="1" selected="0">
            <x v="231"/>
          </reference>
          <reference field="2" count="1" selected="0">
            <x v="22"/>
          </reference>
          <reference field="3" count="1">
            <x v="24"/>
          </reference>
        </references>
      </pivotArea>
    </format>
    <format dxfId="7577">
      <pivotArea dataOnly="0" labelOnly="1" outline="0" fieldPosition="0">
        <references count="3">
          <reference field="0" count="1" selected="0">
            <x v="250"/>
          </reference>
          <reference field="2" count="1" selected="0">
            <x v="34"/>
          </reference>
          <reference field="3" count="1">
            <x v="0"/>
          </reference>
        </references>
      </pivotArea>
    </format>
    <format dxfId="7576">
      <pivotArea dataOnly="0" labelOnly="1" outline="0" fieldPosition="0">
        <references count="3">
          <reference field="0" count="1" selected="0">
            <x v="268"/>
          </reference>
          <reference field="2" count="1" selected="0">
            <x v="37"/>
          </reference>
          <reference field="3" count="1">
            <x v="34"/>
          </reference>
        </references>
      </pivotArea>
    </format>
    <format dxfId="7575">
      <pivotArea dataOnly="0" labelOnly="1" outline="0" fieldPosition="0">
        <references count="3">
          <reference field="0" count="1" selected="0">
            <x v="19"/>
          </reference>
          <reference field="2" count="1" selected="0">
            <x v="17"/>
          </reference>
          <reference field="3" count="1">
            <x v="16"/>
          </reference>
        </references>
      </pivotArea>
    </format>
    <format dxfId="7574">
      <pivotArea dataOnly="0" labelOnly="1" outline="0" fieldPosition="0">
        <references count="3">
          <reference field="0" count="1" selected="0">
            <x v="313"/>
          </reference>
          <reference field="2" count="1" selected="0">
            <x v="14"/>
          </reference>
          <reference field="3" count="1">
            <x v="10"/>
          </reference>
        </references>
      </pivotArea>
    </format>
    <format dxfId="7573">
      <pivotArea dataOnly="0" labelOnly="1" outline="0" fieldPosition="0">
        <references count="3">
          <reference field="0" count="1" selected="0">
            <x v="533"/>
          </reference>
          <reference field="2" count="1" selected="0">
            <x v="27"/>
          </reference>
          <reference field="3" count="1">
            <x v="46"/>
          </reference>
        </references>
      </pivotArea>
    </format>
    <format dxfId="7572">
      <pivotArea dataOnly="0" labelOnly="1" outline="0" fieldPosition="0">
        <references count="3">
          <reference field="0" count="1" selected="0">
            <x v="386"/>
          </reference>
          <reference field="2" count="1" selected="0">
            <x v="37"/>
          </reference>
          <reference field="3" count="1">
            <x v="30"/>
          </reference>
        </references>
      </pivotArea>
    </format>
    <format dxfId="7571">
      <pivotArea dataOnly="0" labelOnly="1" outline="0" fieldPosition="0">
        <references count="3">
          <reference field="0" count="1" selected="0">
            <x v="411"/>
          </reference>
          <reference field="2" count="1" selected="0">
            <x v="12"/>
          </reference>
          <reference field="3" count="1">
            <x v="23"/>
          </reference>
        </references>
      </pivotArea>
    </format>
    <format dxfId="7570">
      <pivotArea dataOnly="0" labelOnly="1" outline="0" fieldPosition="0">
        <references count="3">
          <reference field="0" count="1" selected="0">
            <x v="325"/>
          </reference>
          <reference field="2" count="1" selected="0">
            <x v="6"/>
          </reference>
          <reference field="3" count="1">
            <x v="40"/>
          </reference>
        </references>
      </pivotArea>
    </format>
    <format dxfId="7569">
      <pivotArea dataOnly="0" labelOnly="1" outline="0" fieldPosition="0">
        <references count="3">
          <reference field="0" count="1" selected="0">
            <x v="525"/>
          </reference>
          <reference field="2" count="1" selected="0">
            <x v="28"/>
          </reference>
          <reference field="3" count="1">
            <x v="12"/>
          </reference>
        </references>
      </pivotArea>
    </format>
    <format dxfId="7568">
      <pivotArea dataOnly="0" labelOnly="1" outline="0" fieldPosition="0">
        <references count="3">
          <reference field="0" count="1" selected="0">
            <x v="562"/>
          </reference>
          <reference field="2" count="1" selected="0">
            <x v="28"/>
          </reference>
          <reference field="3" count="1">
            <x v="13"/>
          </reference>
        </references>
      </pivotArea>
    </format>
    <format dxfId="7567">
      <pivotArea dataOnly="0" labelOnly="1" outline="0" fieldPosition="0">
        <references count="3">
          <reference field="0" count="1" selected="0">
            <x v="330"/>
          </reference>
          <reference field="2" count="1" selected="0">
            <x v="32"/>
          </reference>
          <reference field="3" count="1">
            <x v="43"/>
          </reference>
        </references>
      </pivotArea>
    </format>
    <format dxfId="7566">
      <pivotArea dataOnly="0" labelOnly="1" outline="0" fieldPosition="0">
        <references count="3">
          <reference field="0" count="1" selected="0">
            <x v="399"/>
          </reference>
          <reference field="2" count="1" selected="0">
            <x v="0"/>
          </reference>
          <reference field="3" count="1">
            <x v="47"/>
          </reference>
        </references>
      </pivotArea>
    </format>
    <format dxfId="7565">
      <pivotArea dataOnly="0" labelOnly="1" outline="0" fieldPosition="0">
        <references count="3">
          <reference field="0" count="1" selected="0">
            <x v="556"/>
          </reference>
          <reference field="2" count="1" selected="0">
            <x v="29"/>
          </reference>
          <reference field="3" count="1">
            <x v="42"/>
          </reference>
        </references>
      </pivotArea>
    </format>
    <format dxfId="7564">
      <pivotArea dataOnly="0" labelOnly="1" outline="0" fieldPosition="0">
        <references count="3">
          <reference field="0" count="1" selected="0">
            <x v="112"/>
          </reference>
          <reference field="2" count="1" selected="0">
            <x v="43"/>
          </reference>
          <reference field="3" count="1">
            <x v="31"/>
          </reference>
        </references>
      </pivotArea>
    </format>
    <format dxfId="7563">
      <pivotArea dataOnly="0" labelOnly="1" outline="0" fieldPosition="0">
        <references count="3">
          <reference field="0" count="1" selected="0">
            <x v="60"/>
          </reference>
          <reference field="2" count="1" selected="0">
            <x v="20"/>
          </reference>
          <reference field="3" count="1">
            <x v="29"/>
          </reference>
        </references>
      </pivotArea>
    </format>
    <format dxfId="7562">
      <pivotArea dataOnly="0" labelOnly="1" outline="0" fieldPosition="0">
        <references count="3">
          <reference field="0" count="1" selected="0">
            <x v="259"/>
          </reference>
          <reference field="2" count="1" selected="0">
            <x v="26"/>
          </reference>
          <reference field="3" count="1">
            <x v="16"/>
          </reference>
        </references>
      </pivotArea>
    </format>
    <format dxfId="7561">
      <pivotArea dataOnly="0" labelOnly="1" outline="0" fieldPosition="0">
        <references count="3">
          <reference field="0" count="1" selected="0">
            <x v="26"/>
          </reference>
          <reference field="2" count="1" selected="0">
            <x v="20"/>
          </reference>
          <reference field="3" count="1">
            <x v="12"/>
          </reference>
        </references>
      </pivotArea>
    </format>
    <format dxfId="7560">
      <pivotArea dataOnly="0" labelOnly="1" outline="0" fieldPosition="0">
        <references count="3">
          <reference field="0" count="1" selected="0">
            <x v="72"/>
          </reference>
          <reference field="2" count="1" selected="0">
            <x v="8"/>
          </reference>
          <reference field="3" count="1">
            <x v="28"/>
          </reference>
        </references>
      </pivotArea>
    </format>
    <format dxfId="7559">
      <pivotArea dataOnly="0" labelOnly="1" outline="0" fieldPosition="0">
        <references count="3">
          <reference field="0" count="1" selected="0">
            <x v="129"/>
          </reference>
          <reference field="2" count="1" selected="0">
            <x v="4"/>
          </reference>
          <reference field="3" count="1">
            <x v="21"/>
          </reference>
        </references>
      </pivotArea>
    </format>
    <format dxfId="7558">
      <pivotArea dataOnly="0" labelOnly="1" outline="0" fieldPosition="0">
        <references count="3">
          <reference field="0" count="1" selected="0">
            <x v="43"/>
          </reference>
          <reference field="2" count="1" selected="0">
            <x v="18"/>
          </reference>
          <reference field="3" count="1">
            <x v="28"/>
          </reference>
        </references>
      </pivotArea>
    </format>
    <format dxfId="7557">
      <pivotArea dataOnly="0" labelOnly="1" outline="0" fieldPosition="0">
        <references count="3">
          <reference field="0" count="1" selected="0">
            <x v="69"/>
          </reference>
          <reference field="2" count="1" selected="0">
            <x v="14"/>
          </reference>
          <reference field="3" count="1">
            <x v="0"/>
          </reference>
        </references>
      </pivotArea>
    </format>
    <format dxfId="7556">
      <pivotArea dataOnly="0" labelOnly="1" outline="0" fieldPosition="0">
        <references count="3">
          <reference field="0" count="1" selected="0">
            <x v="132"/>
          </reference>
          <reference field="2" count="1" selected="0">
            <x v="45"/>
          </reference>
          <reference field="3" count="1">
            <x v="10"/>
          </reference>
        </references>
      </pivotArea>
    </format>
    <format dxfId="7555">
      <pivotArea dataOnly="0" labelOnly="1" outline="0" fieldPosition="0">
        <references count="3">
          <reference field="0" count="1" selected="0">
            <x v="483"/>
          </reference>
          <reference field="2" count="1" selected="0">
            <x v="4"/>
          </reference>
          <reference field="3" count="1">
            <x v="36"/>
          </reference>
        </references>
      </pivotArea>
    </format>
    <format dxfId="7554">
      <pivotArea dataOnly="0" labelOnly="1" outline="0" fieldPosition="0">
        <references count="3">
          <reference field="0" count="1" selected="0">
            <x v="390"/>
          </reference>
          <reference field="2" count="1" selected="0">
            <x v="42"/>
          </reference>
          <reference field="3" count="1">
            <x v="13"/>
          </reference>
        </references>
      </pivotArea>
    </format>
    <format dxfId="7553">
      <pivotArea dataOnly="0" labelOnly="1" outline="0" fieldPosition="0">
        <references count="3">
          <reference field="0" count="1" selected="0">
            <x v="539"/>
          </reference>
          <reference field="2" count="1" selected="0">
            <x v="43"/>
          </reference>
          <reference field="3" count="1">
            <x v="21"/>
          </reference>
        </references>
      </pivotArea>
    </format>
    <format dxfId="7552">
      <pivotArea dataOnly="0" labelOnly="1" outline="0" fieldPosition="0">
        <references count="3">
          <reference field="0" count="1" selected="0">
            <x v="424"/>
          </reference>
          <reference field="2" count="1" selected="0">
            <x v="40"/>
          </reference>
          <reference field="3" count="1">
            <x v="46"/>
          </reference>
        </references>
      </pivotArea>
    </format>
    <format dxfId="7551">
      <pivotArea dataOnly="0" labelOnly="1" outline="0" fieldPosition="0">
        <references count="3">
          <reference field="0" count="1" selected="0">
            <x v="316"/>
          </reference>
          <reference field="2" count="1" selected="0">
            <x v="32"/>
          </reference>
          <reference field="3" count="1">
            <x v="35"/>
          </reference>
        </references>
      </pivotArea>
    </format>
    <format dxfId="7550">
      <pivotArea dataOnly="0" labelOnly="1" outline="0" fieldPosition="0">
        <references count="3">
          <reference field="0" count="1" selected="0">
            <x v="466"/>
          </reference>
          <reference field="2" count="1" selected="0">
            <x v="18"/>
          </reference>
          <reference field="3" count="1">
            <x v="47"/>
          </reference>
        </references>
      </pivotArea>
    </format>
    <format dxfId="7549">
      <pivotArea dataOnly="0" labelOnly="1" outline="0" fieldPosition="0">
        <references count="3">
          <reference field="0" count="1" selected="0">
            <x v="75"/>
          </reference>
          <reference field="2" count="1" selected="0">
            <x v="9"/>
          </reference>
          <reference field="3" count="1">
            <x v="24"/>
          </reference>
        </references>
      </pivotArea>
    </format>
    <format dxfId="7548">
      <pivotArea dataOnly="0" labelOnly="1" outline="0" fieldPosition="0">
        <references count="3">
          <reference field="0" count="1" selected="0">
            <x v="293"/>
          </reference>
          <reference field="2" count="1" selected="0">
            <x v="19"/>
          </reference>
          <reference field="3" count="1">
            <x v="24"/>
          </reference>
        </references>
      </pivotArea>
    </format>
    <format dxfId="7547">
      <pivotArea dataOnly="0" labelOnly="1" outline="0" fieldPosition="0">
        <references count="3">
          <reference field="0" count="1" selected="0">
            <x v="244"/>
          </reference>
          <reference field="2" count="1" selected="0">
            <x v="30"/>
          </reference>
          <reference field="3" count="1">
            <x v="3"/>
          </reference>
        </references>
      </pivotArea>
    </format>
    <format dxfId="7546">
      <pivotArea dataOnly="0" labelOnly="1" outline="0" fieldPosition="0">
        <references count="3">
          <reference field="0" count="1" selected="0">
            <x v="77"/>
          </reference>
          <reference field="2" count="1" selected="0">
            <x v="11"/>
          </reference>
          <reference field="3" count="1">
            <x v="36"/>
          </reference>
        </references>
      </pivotArea>
    </format>
    <format dxfId="7545">
      <pivotArea dataOnly="0" labelOnly="1" outline="0" fieldPosition="0">
        <references count="3">
          <reference field="0" count="1" selected="0">
            <x v="239"/>
          </reference>
          <reference field="2" count="1" selected="0">
            <x v="3"/>
          </reference>
          <reference field="3" count="1">
            <x v="17"/>
          </reference>
        </references>
      </pivotArea>
    </format>
    <format dxfId="7544">
      <pivotArea dataOnly="0" labelOnly="1" outline="0" fieldPosition="0">
        <references count="3">
          <reference field="0" count="1" selected="0">
            <x v="572"/>
          </reference>
          <reference field="2" count="1" selected="0">
            <x v="29"/>
          </reference>
          <reference field="3" count="1">
            <x v="7"/>
          </reference>
        </references>
      </pivotArea>
    </format>
    <format dxfId="7543">
      <pivotArea dataOnly="0" labelOnly="1" outline="0" fieldPosition="0">
        <references count="3">
          <reference field="0" count="1" selected="0">
            <x v="351"/>
          </reference>
          <reference field="2" count="1" selected="0">
            <x v="0"/>
          </reference>
          <reference field="3" count="1">
            <x v="7"/>
          </reference>
        </references>
      </pivotArea>
    </format>
    <format dxfId="7542">
      <pivotArea dataOnly="0" labelOnly="1" outline="0" fieldPosition="0">
        <references count="3">
          <reference field="0" count="1" selected="0">
            <x v="319"/>
          </reference>
          <reference field="2" count="1" selected="0">
            <x v="30"/>
          </reference>
          <reference field="3" count="1">
            <x v="23"/>
          </reference>
        </references>
      </pivotArea>
    </format>
    <format dxfId="7541">
      <pivotArea dataOnly="0" labelOnly="1" outline="0" fieldPosition="0">
        <references count="3">
          <reference field="0" count="1" selected="0">
            <x v="487"/>
          </reference>
          <reference field="2" count="1" selected="0">
            <x v="20"/>
          </reference>
          <reference field="3" count="1">
            <x v="42"/>
          </reference>
        </references>
      </pivotArea>
    </format>
    <format dxfId="7540">
      <pivotArea dataOnly="0" labelOnly="1" outline="0" fieldPosition="0">
        <references count="3">
          <reference field="0" count="1" selected="0">
            <x v="512"/>
          </reference>
          <reference field="2" count="1" selected="0">
            <x v="14"/>
          </reference>
          <reference field="3" count="1">
            <x v="13"/>
          </reference>
        </references>
      </pivotArea>
    </format>
    <format dxfId="7539">
      <pivotArea dataOnly="0" labelOnly="1" outline="0" fieldPosition="0">
        <references count="3">
          <reference field="0" count="1" selected="0">
            <x v="516"/>
          </reference>
          <reference field="2" count="1" selected="0">
            <x v="39"/>
          </reference>
          <reference field="3" count="1">
            <x v="23"/>
          </reference>
        </references>
      </pivotArea>
    </format>
    <format dxfId="7538">
      <pivotArea dataOnly="0" labelOnly="1" outline="0" fieldPosition="0">
        <references count="3">
          <reference field="0" count="1" selected="0">
            <x v="435"/>
          </reference>
          <reference field="2" count="1" selected="0">
            <x v="36"/>
          </reference>
          <reference field="3" count="1">
            <x v="30"/>
          </reference>
        </references>
      </pivotArea>
    </format>
    <format dxfId="7537">
      <pivotArea dataOnly="0" labelOnly="1" outline="0" fieldPosition="0">
        <references count="3">
          <reference field="0" count="1" selected="0">
            <x v="585"/>
          </reference>
          <reference field="2" count="1" selected="0">
            <x v="37"/>
          </reference>
          <reference field="3" count="1">
            <x v="19"/>
          </reference>
        </references>
      </pivotArea>
    </format>
    <format dxfId="7536">
      <pivotArea dataOnly="0" labelOnly="1" outline="0" fieldPosition="0">
        <references count="3">
          <reference field="0" count="1" selected="0">
            <x v="521"/>
          </reference>
          <reference field="2" count="1" selected="0">
            <x v="43"/>
          </reference>
          <reference field="3" count="1">
            <x v="14"/>
          </reference>
        </references>
      </pivotArea>
    </format>
    <format dxfId="7535">
      <pivotArea dataOnly="0" labelOnly="1" outline="0" fieldPosition="0">
        <references count="3">
          <reference field="0" count="1" selected="0">
            <x v="394"/>
          </reference>
          <reference field="2" count="1" selected="0">
            <x v="42"/>
          </reference>
          <reference field="3" count="1">
            <x v="27"/>
          </reference>
        </references>
      </pivotArea>
    </format>
    <format dxfId="7534">
      <pivotArea dataOnly="0" labelOnly="1" outline="0" fieldPosition="0">
        <references count="3">
          <reference field="0" count="1" selected="0">
            <x v="326"/>
          </reference>
          <reference field="2" count="1" selected="0">
            <x v="9"/>
          </reference>
          <reference field="3" count="1">
            <x v="41"/>
          </reference>
        </references>
      </pivotArea>
    </format>
    <format dxfId="7533">
      <pivotArea dataOnly="0" labelOnly="1" outline="0" fieldPosition="0">
        <references count="3">
          <reference field="0" count="1" selected="0">
            <x v="315"/>
          </reference>
          <reference field="2" count="1" selected="0">
            <x v="14"/>
          </reference>
          <reference field="3" count="1">
            <x v="21"/>
          </reference>
        </references>
      </pivotArea>
    </format>
    <format dxfId="7532">
      <pivotArea dataOnly="0" labelOnly="1" outline="0" fieldPosition="0">
        <references count="3">
          <reference field="0" count="1" selected="0">
            <x v="602"/>
          </reference>
          <reference field="2" count="1" selected="0">
            <x v="40"/>
          </reference>
          <reference field="3" count="1">
            <x v="9"/>
          </reference>
        </references>
      </pivotArea>
    </format>
    <format dxfId="7531">
      <pivotArea dataOnly="0" labelOnly="1" outline="0" fieldPosition="0">
        <references count="3">
          <reference field="0" count="1" selected="0">
            <x v="365"/>
          </reference>
          <reference field="2" count="1" selected="0">
            <x v="38"/>
          </reference>
          <reference field="3" count="1">
            <x v="13"/>
          </reference>
        </references>
      </pivotArea>
    </format>
    <format dxfId="7530">
      <pivotArea dataOnly="0" labelOnly="1" outline="0" fieldPosition="0">
        <references count="3">
          <reference field="0" count="1" selected="0">
            <x v="353"/>
          </reference>
          <reference field="2" count="1" selected="0">
            <x v="40"/>
          </reference>
          <reference field="3" count="1">
            <x v="42"/>
          </reference>
        </references>
      </pivotArea>
    </format>
    <format dxfId="7529">
      <pivotArea dataOnly="0" labelOnly="1" outline="0" fieldPosition="0">
        <references count="3">
          <reference field="0" count="1" selected="0">
            <x v="332"/>
          </reference>
          <reference field="2" count="1" selected="0">
            <x v="12"/>
          </reference>
          <reference field="3" count="1">
            <x v="4"/>
          </reference>
        </references>
      </pivotArea>
    </format>
    <format dxfId="7528">
      <pivotArea dataOnly="0" labelOnly="1" outline="0" fieldPosition="0">
        <references count="3">
          <reference field="0" count="1" selected="0">
            <x v="543"/>
          </reference>
          <reference field="2" count="1" selected="0">
            <x v="34"/>
          </reference>
          <reference field="3" count="1">
            <x v="29"/>
          </reference>
        </references>
      </pivotArea>
    </format>
    <format dxfId="7527">
      <pivotArea dataOnly="0" labelOnly="1" outline="0" fieldPosition="0">
        <references count="3">
          <reference field="0" count="1" selected="0">
            <x v="468"/>
          </reference>
          <reference field="2" count="1" selected="0">
            <x v="19"/>
          </reference>
          <reference field="3" count="1">
            <x v="9"/>
          </reference>
        </references>
      </pivotArea>
    </format>
    <format dxfId="7526">
      <pivotArea dataOnly="0" labelOnly="1" outline="0" fieldPosition="0">
        <references count="3">
          <reference field="0" count="1" selected="0">
            <x v="431"/>
          </reference>
          <reference field="2" count="1" selected="0">
            <x v="13"/>
          </reference>
          <reference field="3" count="1">
            <x v="13"/>
          </reference>
        </references>
      </pivotArea>
    </format>
    <format dxfId="7525">
      <pivotArea dataOnly="0" labelOnly="1" outline="0" fieldPosition="0">
        <references count="3">
          <reference field="0" count="1" selected="0">
            <x v="570"/>
          </reference>
          <reference field="2" count="1" selected="0">
            <x v="21"/>
          </reference>
          <reference field="3" count="1">
            <x v="27"/>
          </reference>
        </references>
      </pivotArea>
    </format>
    <format dxfId="7524">
      <pivotArea dataOnly="0" labelOnly="1" outline="0" fieldPosition="0">
        <references count="3">
          <reference field="0" count="1" selected="0">
            <x v="433"/>
          </reference>
          <reference field="2" count="1" selected="0">
            <x v="41"/>
          </reference>
          <reference field="3" count="1">
            <x v="2"/>
          </reference>
        </references>
      </pivotArea>
    </format>
    <format dxfId="7523">
      <pivotArea dataOnly="0" labelOnly="1" outline="0" fieldPosition="0">
        <references count="3">
          <reference field="0" count="1" selected="0">
            <x v="517"/>
          </reference>
          <reference field="2" count="1" selected="0">
            <x v="5"/>
          </reference>
          <reference field="3" count="1">
            <x v="3"/>
          </reference>
        </references>
      </pivotArea>
    </format>
    <format dxfId="7522">
      <pivotArea dataOnly="0" labelOnly="1" outline="0" fieldPosition="0">
        <references count="3">
          <reference field="0" count="1" selected="0">
            <x v="170"/>
          </reference>
          <reference field="2" count="1" selected="0">
            <x v="39"/>
          </reference>
          <reference field="3" count="1">
            <x v="30"/>
          </reference>
        </references>
      </pivotArea>
    </format>
    <format dxfId="7521">
      <pivotArea dataOnly="0" labelOnly="1" outline="0" fieldPosition="0">
        <references count="3">
          <reference field="0" count="1" selected="0">
            <x v="206"/>
          </reference>
          <reference field="2" count="1" selected="0">
            <x v="29"/>
          </reference>
          <reference field="3" count="1">
            <x v="39"/>
          </reference>
        </references>
      </pivotArea>
    </format>
    <format dxfId="7520">
      <pivotArea dataOnly="0" labelOnly="1" outline="0" fieldPosition="0">
        <references count="3">
          <reference field="0" count="1" selected="0">
            <x v="11"/>
          </reference>
          <reference field="2" count="1" selected="0">
            <x v="6"/>
          </reference>
          <reference field="3" count="1">
            <x v="10"/>
          </reference>
        </references>
      </pivotArea>
    </format>
    <format dxfId="7519">
      <pivotArea dataOnly="0" labelOnly="1" outline="0" fieldPosition="0">
        <references count="3">
          <reference field="0" count="1" selected="0">
            <x v="56"/>
          </reference>
          <reference field="2" count="1" selected="0">
            <x v="17"/>
          </reference>
          <reference field="3" count="1">
            <x v="6"/>
          </reference>
        </references>
      </pivotArea>
    </format>
    <format dxfId="7518">
      <pivotArea dataOnly="0" labelOnly="1" outline="0" fieldPosition="0">
        <references count="3">
          <reference field="0" count="1" selected="0">
            <x v="121"/>
          </reference>
          <reference field="2" count="1" selected="0">
            <x v="17"/>
          </reference>
          <reference field="3" count="1">
            <x v="24"/>
          </reference>
        </references>
      </pivotArea>
    </format>
    <format dxfId="7517">
      <pivotArea dataOnly="0" labelOnly="1" outline="0" fieldPosition="0">
        <references count="3">
          <reference field="0" count="1" selected="0">
            <x v="273"/>
          </reference>
          <reference field="2" count="1" selected="0">
            <x v="23"/>
          </reference>
          <reference field="3" count="1">
            <x v="10"/>
          </reference>
        </references>
      </pivotArea>
    </format>
    <format dxfId="7516">
      <pivotArea dataOnly="0" labelOnly="1" outline="0" fieldPosition="0">
        <references count="3">
          <reference field="0" count="1" selected="0">
            <x v="183"/>
          </reference>
          <reference field="2" count="1" selected="0">
            <x v="41"/>
          </reference>
          <reference field="3" count="1">
            <x v="17"/>
          </reference>
        </references>
      </pivotArea>
    </format>
    <format dxfId="7515">
      <pivotArea dataOnly="0" labelOnly="1" outline="0" fieldPosition="0">
        <references count="3">
          <reference field="0" count="1" selected="0">
            <x v="57"/>
          </reference>
          <reference field="2" count="1" selected="0">
            <x v="32"/>
          </reference>
          <reference field="3" count="1">
            <x v="30"/>
          </reference>
        </references>
      </pivotArea>
    </format>
    <format dxfId="7514">
      <pivotArea dataOnly="0" labelOnly="1" outline="0" fieldPosition="0">
        <references count="3">
          <reference field="0" count="1" selected="0">
            <x v="205"/>
          </reference>
          <reference field="2" count="1" selected="0">
            <x v="6"/>
          </reference>
          <reference field="3" count="1">
            <x v="40"/>
          </reference>
        </references>
      </pivotArea>
    </format>
    <format dxfId="7513">
      <pivotArea dataOnly="0" labelOnly="1" outline="0" fieldPosition="0">
        <references count="3">
          <reference field="0" count="1" selected="0">
            <x v="278"/>
          </reference>
          <reference field="2" count="1" selected="0">
            <x v="38"/>
          </reference>
          <reference field="3" count="1">
            <x v="10"/>
          </reference>
        </references>
      </pivotArea>
    </format>
    <format dxfId="7512">
      <pivotArea dataOnly="0" labelOnly="1" outline="0" fieldPosition="0">
        <references count="3">
          <reference field="0" count="1" selected="0">
            <x v="27"/>
          </reference>
          <reference field="2" count="1" selected="0">
            <x v="21"/>
          </reference>
          <reference field="3" count="1">
            <x v="20"/>
          </reference>
        </references>
      </pivotArea>
    </format>
    <format dxfId="7511">
      <pivotArea dataOnly="0" labelOnly="1" outline="0" fieldPosition="0">
        <references count="3">
          <reference field="0" count="1" selected="0">
            <x v="171"/>
          </reference>
          <reference field="2" count="1" selected="0">
            <x v="5"/>
          </reference>
          <reference field="3" count="1">
            <x v="45"/>
          </reference>
        </references>
      </pivotArea>
    </format>
    <format dxfId="7510">
      <pivotArea dataOnly="0" labelOnly="1" outline="0" fieldPosition="0">
        <references count="3">
          <reference field="0" count="1" selected="0">
            <x v="295"/>
          </reference>
          <reference field="2" count="1" selected="0">
            <x v="17"/>
          </reference>
          <reference field="3" count="1">
            <x v="24"/>
          </reference>
        </references>
      </pivotArea>
    </format>
    <format dxfId="7509">
      <pivotArea dataOnly="0" labelOnly="1" outline="0" fieldPosition="0">
        <references count="3">
          <reference field="0" count="1" selected="0">
            <x v="141"/>
          </reference>
          <reference field="2" count="1" selected="0">
            <x v="16"/>
          </reference>
          <reference field="3" count="1">
            <x v="46"/>
          </reference>
        </references>
      </pivotArea>
    </format>
    <format dxfId="7508">
      <pivotArea dataOnly="0" labelOnly="1" outline="0" fieldPosition="0">
        <references count="3">
          <reference field="0" count="1" selected="0">
            <x v="251"/>
          </reference>
          <reference field="2" count="1" selected="0">
            <x v="20"/>
          </reference>
          <reference field="3" count="1">
            <x v="6"/>
          </reference>
        </references>
      </pivotArea>
    </format>
    <format dxfId="7507">
      <pivotArea dataOnly="0" labelOnly="1" outline="0" fieldPosition="0">
        <references count="3">
          <reference field="0" count="1" selected="0">
            <x v="225"/>
          </reference>
          <reference field="2" count="1" selected="0">
            <x v="27"/>
          </reference>
          <reference field="3" count="1">
            <x v="3"/>
          </reference>
        </references>
      </pivotArea>
    </format>
    <format dxfId="7506">
      <pivotArea dataOnly="0" labelOnly="1" outline="0" fieldPosition="0">
        <references count="3">
          <reference field="0" count="1" selected="0">
            <x v="128"/>
          </reference>
          <reference field="2" count="1" selected="0">
            <x v="29"/>
          </reference>
          <reference field="3" count="1">
            <x v="39"/>
          </reference>
        </references>
      </pivotArea>
    </format>
    <format dxfId="7505">
      <pivotArea dataOnly="0" labelOnly="1" outline="0" fieldPosition="0">
        <references count="3">
          <reference field="0" count="1" selected="0">
            <x v="401"/>
          </reference>
          <reference field="2" count="1" selected="0">
            <x v="34"/>
          </reference>
          <reference field="3" count="1">
            <x v="26"/>
          </reference>
        </references>
      </pivotArea>
    </format>
    <format dxfId="7504">
      <pivotArea dataOnly="0" labelOnly="1" outline="0" fieldPosition="0">
        <references count="3">
          <reference field="0" count="1" selected="0">
            <x v="573"/>
          </reference>
          <reference field="2" count="1" selected="0">
            <x v="23"/>
          </reference>
          <reference field="3" count="1">
            <x v="12"/>
          </reference>
        </references>
      </pivotArea>
    </format>
    <format dxfId="7503">
      <pivotArea dataOnly="0" labelOnly="1" outline="0" fieldPosition="0">
        <references count="3">
          <reference field="0" count="1" selected="0">
            <x v="318"/>
          </reference>
          <reference field="2" count="1" selected="0">
            <x v="26"/>
          </reference>
          <reference field="3" count="1">
            <x v="19"/>
          </reference>
        </references>
      </pivotArea>
    </format>
    <format dxfId="7502">
      <pivotArea dataOnly="0" labelOnly="1" outline="0" fieldPosition="0">
        <references count="3">
          <reference field="0" count="1" selected="0">
            <x v="540"/>
          </reference>
          <reference field="2" count="1" selected="0">
            <x v="2"/>
          </reference>
          <reference field="3" count="1">
            <x v="6"/>
          </reference>
        </references>
      </pivotArea>
    </format>
    <format dxfId="7501">
      <pivotArea dataOnly="0" labelOnly="1" outline="0" fieldPosition="0">
        <references count="3">
          <reference field="0" count="1" selected="0">
            <x v="375"/>
          </reference>
          <reference field="2" count="1" selected="0">
            <x v="24"/>
          </reference>
          <reference field="3" count="1">
            <x v="40"/>
          </reference>
        </references>
      </pivotArea>
    </format>
    <format dxfId="7500">
      <pivotArea dataOnly="0" labelOnly="1" outline="0" fieldPosition="0">
        <references count="3">
          <reference field="0" count="1" selected="0">
            <x v="349"/>
          </reference>
          <reference field="2" count="1" selected="0">
            <x v="41"/>
          </reference>
          <reference field="3" count="1">
            <x v="8"/>
          </reference>
        </references>
      </pivotArea>
    </format>
    <format dxfId="7499">
      <pivotArea dataOnly="0" labelOnly="1" outline="0" fieldPosition="0">
        <references count="3">
          <reference field="0" count="1" selected="0">
            <x v="361"/>
          </reference>
          <reference field="2" count="1" selected="0">
            <x v="43"/>
          </reference>
          <reference field="3" count="1">
            <x v="11"/>
          </reference>
        </references>
      </pivotArea>
    </format>
    <format dxfId="7498">
      <pivotArea dataOnly="0" labelOnly="1" outline="0" fieldPosition="0">
        <references count="3">
          <reference field="0" count="1" selected="0">
            <x v="413"/>
          </reference>
          <reference field="2" count="1" selected="0">
            <x v="15"/>
          </reference>
          <reference field="3" count="1">
            <x v="2"/>
          </reference>
        </references>
      </pivotArea>
    </format>
    <format dxfId="7497">
      <pivotArea dataOnly="0" labelOnly="1" outline="0" fieldPosition="0">
        <references count="3">
          <reference field="0" count="1" selected="0">
            <x v="475"/>
          </reference>
          <reference field="2" count="1" selected="0">
            <x v="32"/>
          </reference>
          <reference field="3" count="1">
            <x v="9"/>
          </reference>
        </references>
      </pivotArea>
    </format>
    <format dxfId="7496">
      <pivotArea dataOnly="0" labelOnly="1" outline="0" fieldPosition="0">
        <references count="3">
          <reference field="0" count="1" selected="0">
            <x v="553"/>
          </reference>
          <reference field="2" count="1" selected="0">
            <x v="46"/>
          </reference>
          <reference field="3" count="1">
            <x v="27"/>
          </reference>
        </references>
      </pivotArea>
    </format>
    <format dxfId="7495">
      <pivotArea dataOnly="0" labelOnly="1" outline="0" fieldPosition="0">
        <references count="3">
          <reference field="0" count="1" selected="0">
            <x v="461"/>
          </reference>
          <reference field="2" count="1" selected="0">
            <x v="11"/>
          </reference>
          <reference field="3" count="1">
            <x v="43"/>
          </reference>
        </references>
      </pivotArea>
    </format>
    <format dxfId="7494">
      <pivotArea dataOnly="0" labelOnly="1" outline="0" fieldPosition="0">
        <references count="3">
          <reference field="0" count="1" selected="0">
            <x v="473"/>
          </reference>
          <reference field="2" count="1" selected="0">
            <x v="24"/>
          </reference>
          <reference field="3" count="1">
            <x v="31"/>
          </reference>
        </references>
      </pivotArea>
    </format>
    <format dxfId="7493">
      <pivotArea dataOnly="0" labelOnly="1" outline="0" fieldPosition="0">
        <references count="3">
          <reference field="0" count="1" selected="0">
            <x v="526"/>
          </reference>
          <reference field="2" count="1" selected="0">
            <x v="27"/>
          </reference>
          <reference field="3" count="1">
            <x v="18"/>
          </reference>
        </references>
      </pivotArea>
    </format>
    <format dxfId="7492">
      <pivotArea dataOnly="0" labelOnly="1" outline="0" fieldPosition="0">
        <references count="3">
          <reference field="0" count="1" selected="0">
            <x v="506"/>
          </reference>
          <reference field="2" count="1" selected="0">
            <x v="41"/>
          </reference>
          <reference field="3" count="1">
            <x v="32"/>
          </reference>
        </references>
      </pivotArea>
    </format>
    <format dxfId="7491">
      <pivotArea dataOnly="0" labelOnly="1" outline="0" fieldPosition="0">
        <references count="3">
          <reference field="0" count="1" selected="0">
            <x v="384"/>
          </reference>
          <reference field="2" count="1" selected="0">
            <x v="33"/>
          </reference>
          <reference field="3" count="1">
            <x v="43"/>
          </reference>
        </references>
      </pivotArea>
    </format>
    <format dxfId="7490">
      <pivotArea dataOnly="0" labelOnly="1" outline="0" fieldPosition="0">
        <references count="3">
          <reference field="0" count="1" selected="0">
            <x v="279"/>
          </reference>
          <reference field="2" count="1" selected="0">
            <x v="10"/>
          </reference>
          <reference field="3" count="1">
            <x v="27"/>
          </reference>
        </references>
      </pivotArea>
    </format>
    <format dxfId="7489">
      <pivotArea dataOnly="0" labelOnly="1" outline="0" fieldPosition="0">
        <references count="3">
          <reference field="0" count="1" selected="0">
            <x v="119"/>
          </reference>
          <reference field="2" count="1" selected="0">
            <x v="24"/>
          </reference>
          <reference field="3" count="1">
            <x v="43"/>
          </reference>
        </references>
      </pivotArea>
    </format>
    <format dxfId="7488">
      <pivotArea dataOnly="0" labelOnly="1" outline="0" fieldPosition="0">
        <references count="3">
          <reference field="0" count="1" selected="0">
            <x v="229"/>
          </reference>
          <reference field="2" count="1" selected="0">
            <x v="48"/>
          </reference>
          <reference field="3" count="1">
            <x v="49"/>
          </reference>
        </references>
      </pivotArea>
    </format>
    <format dxfId="7487">
      <pivotArea dataOnly="0" labelOnly="1" outline="0" fieldPosition="0">
        <references count="3">
          <reference field="0" count="1" selected="0">
            <x v="182"/>
          </reference>
          <reference field="2" count="1" selected="0">
            <x v="9"/>
          </reference>
          <reference field="3" count="1">
            <x v="1"/>
          </reference>
        </references>
      </pivotArea>
    </format>
    <format dxfId="7486">
      <pivotArea dataOnly="0" labelOnly="1" outline="0" fieldPosition="0">
        <references count="3">
          <reference field="0" count="1" selected="0">
            <x v="257"/>
          </reference>
          <reference field="2" count="1" selected="0">
            <x v="25"/>
          </reference>
          <reference field="3" count="1">
            <x v="17"/>
          </reference>
        </references>
      </pivotArea>
    </format>
    <format dxfId="7485">
      <pivotArea dataOnly="0" labelOnly="1" outline="0" fieldPosition="0">
        <references count="3">
          <reference field="0" count="1" selected="0">
            <x v="65"/>
          </reference>
          <reference field="2" count="1" selected="0">
            <x v="3"/>
          </reference>
          <reference field="3" count="1">
            <x v="21"/>
          </reference>
        </references>
      </pivotArea>
    </format>
    <format dxfId="7484">
      <pivotArea dataOnly="0" labelOnly="1" outline="0" fieldPosition="0">
        <references count="3">
          <reference field="0" count="1" selected="0">
            <x v="180"/>
          </reference>
          <reference field="2" count="1" selected="0">
            <x v="7"/>
          </reference>
          <reference field="3" count="1">
            <x v="39"/>
          </reference>
        </references>
      </pivotArea>
    </format>
    <format dxfId="7483">
      <pivotArea dataOnly="0" labelOnly="1" outline="0" fieldPosition="0">
        <references count="3">
          <reference field="0" count="1" selected="0">
            <x v="224"/>
          </reference>
          <reference field="2" count="1" selected="0">
            <x v="33"/>
          </reference>
          <reference field="3" count="1">
            <x v="0"/>
          </reference>
        </references>
      </pivotArea>
    </format>
    <format dxfId="7482">
      <pivotArea dataOnly="0" labelOnly="1" outline="0" fieldPosition="0">
        <references count="3">
          <reference field="0" count="1" selected="0">
            <x v="111"/>
          </reference>
          <reference field="2" count="1" selected="0">
            <x v="17"/>
          </reference>
          <reference field="3" count="1">
            <x v="1"/>
          </reference>
        </references>
      </pivotArea>
    </format>
    <format dxfId="7481">
      <pivotArea dataOnly="0" labelOnly="1" outline="0" fieldPosition="0">
        <references count="3">
          <reference field="0" count="1" selected="0">
            <x v="201"/>
          </reference>
          <reference field="2" count="1" selected="0">
            <x v="38"/>
          </reference>
          <reference field="3" count="1">
            <x v="34"/>
          </reference>
        </references>
      </pivotArea>
    </format>
    <format dxfId="7480">
      <pivotArea dataOnly="0" labelOnly="1" outline="0" fieldPosition="0">
        <references count="3">
          <reference field="0" count="1" selected="0">
            <x v="53"/>
          </reference>
          <reference field="2" count="1" selected="0">
            <x v="13"/>
          </reference>
          <reference field="3" count="1">
            <x v="1"/>
          </reference>
        </references>
      </pivotArea>
    </format>
    <format dxfId="7479">
      <pivotArea dataOnly="0" labelOnly="1" outline="0" fieldPosition="0">
        <references count="3">
          <reference field="0" count="1" selected="0">
            <x v="12"/>
          </reference>
          <reference field="2" count="1" selected="0">
            <x v="11"/>
          </reference>
          <reference field="3" count="1">
            <x v="11"/>
          </reference>
        </references>
      </pivotArea>
    </format>
    <format dxfId="7478">
      <pivotArea dataOnly="0" labelOnly="1" outline="0" fieldPosition="0">
        <references count="3">
          <reference field="0" count="1" selected="0">
            <x v="73"/>
          </reference>
          <reference field="2" count="1" selected="0">
            <x v="10"/>
          </reference>
          <reference field="3" count="1">
            <x v="34"/>
          </reference>
        </references>
      </pivotArea>
    </format>
    <format dxfId="7477">
      <pivotArea dataOnly="0" labelOnly="1" outline="0" fieldPosition="0">
        <references count="3">
          <reference field="0" count="1" selected="0">
            <x v="277"/>
          </reference>
          <reference field="2" count="1" selected="0">
            <x v="21"/>
          </reference>
          <reference field="3" count="1">
            <x v="1"/>
          </reference>
        </references>
      </pivotArea>
    </format>
    <format dxfId="7476">
      <pivotArea dataOnly="0" labelOnly="1" outline="0" fieldPosition="0">
        <references count="3">
          <reference field="0" count="1" selected="0">
            <x v="196"/>
          </reference>
          <reference field="2" count="1" selected="0">
            <x v="1"/>
          </reference>
          <reference field="3" count="1">
            <x v="49"/>
          </reference>
        </references>
      </pivotArea>
    </format>
    <format dxfId="7475">
      <pivotArea dataOnly="0" labelOnly="1" outline="0" fieldPosition="0">
        <references count="3">
          <reference field="0" count="1" selected="0">
            <x v="486"/>
          </reference>
          <reference field="2" count="1" selected="0">
            <x v="34"/>
          </reference>
          <reference field="3" count="1">
            <x v="35"/>
          </reference>
        </references>
      </pivotArea>
    </format>
    <format dxfId="7474">
      <pivotArea dataOnly="0" labelOnly="1" outline="0" fieldPosition="0">
        <references count="3">
          <reference field="0" count="1" selected="0">
            <x v="418"/>
          </reference>
          <reference field="2" count="1" selected="0">
            <x v="34"/>
          </reference>
          <reference field="3" count="1">
            <x v="16"/>
          </reference>
        </references>
      </pivotArea>
    </format>
    <format dxfId="7473">
      <pivotArea dataOnly="0" labelOnly="1" outline="0" fieldPosition="0">
        <references count="3">
          <reference field="0" count="1" selected="0">
            <x v="90"/>
          </reference>
          <reference field="2" count="1" selected="0">
            <x v="13"/>
          </reference>
          <reference field="3" count="1">
            <x v="16"/>
          </reference>
        </references>
      </pivotArea>
    </format>
    <format dxfId="7472">
      <pivotArea dataOnly="0" labelOnly="1" outline="0" fieldPosition="0">
        <references count="3">
          <reference field="0" count="1" selected="0">
            <x v="46"/>
          </reference>
          <reference field="2" count="1" selected="0">
            <x v="29"/>
          </reference>
          <reference field="3" count="1">
            <x v="22"/>
          </reference>
        </references>
      </pivotArea>
    </format>
    <format dxfId="7471">
      <pivotArea dataOnly="0" labelOnly="1" outline="0" fieldPosition="0">
        <references count="3">
          <reference field="0" count="1" selected="0">
            <x v="454"/>
          </reference>
          <reference field="2" count="1" selected="0">
            <x v="6"/>
          </reference>
          <reference field="3" count="1">
            <x v="15"/>
          </reference>
        </references>
      </pivotArea>
    </format>
    <format dxfId="7470">
      <pivotArea dataOnly="0" labelOnly="1" outline="0" fieldPosition="0">
        <references count="3">
          <reference field="0" count="1" selected="0">
            <x v="391"/>
          </reference>
          <reference field="2" count="1" selected="0">
            <x v="12"/>
          </reference>
          <reference field="3" count="1">
            <x v="43"/>
          </reference>
        </references>
      </pivotArea>
    </format>
    <format dxfId="7469">
      <pivotArea dataOnly="0" labelOnly="1" outline="0" fieldPosition="0">
        <references count="3">
          <reference field="0" count="1" selected="0">
            <x v="378"/>
          </reference>
          <reference field="2" count="1" selected="0">
            <x v="34"/>
          </reference>
          <reference field="3" count="1">
            <x v="2"/>
          </reference>
        </references>
      </pivotArea>
    </format>
    <format dxfId="7468">
      <pivotArea dataOnly="0" labelOnly="1" outline="0" fieldPosition="0">
        <references count="3">
          <reference field="0" count="1" selected="0">
            <x v="445"/>
          </reference>
          <reference field="2" count="1" selected="0">
            <x v="22"/>
          </reference>
          <reference field="3" count="1">
            <x v="46"/>
          </reference>
        </references>
      </pivotArea>
    </format>
    <format dxfId="7467">
      <pivotArea dataOnly="0" labelOnly="1" outline="0" fieldPosition="0">
        <references count="3">
          <reference field="0" count="1" selected="0">
            <x v="370"/>
          </reference>
          <reference field="2" count="1" selected="0">
            <x v="9"/>
          </reference>
          <reference field="3" count="1">
            <x v="22"/>
          </reference>
        </references>
      </pivotArea>
    </format>
    <format dxfId="7466">
      <pivotArea dataOnly="0" labelOnly="1" outline="0" fieldPosition="0">
        <references count="3">
          <reference field="0" count="1" selected="0">
            <x v="453"/>
          </reference>
          <reference field="2" count="1" selected="0">
            <x v="24"/>
          </reference>
          <reference field="3" count="1">
            <x v="38"/>
          </reference>
        </references>
      </pivotArea>
    </format>
    <format dxfId="7465">
      <pivotArea dataOnly="0" labelOnly="1" outline="0" fieldPosition="0">
        <references count="3">
          <reference field="0" count="1" selected="0">
            <x v="552"/>
          </reference>
          <reference field="2" count="1" selected="0">
            <x v="2"/>
          </reference>
          <reference field="3" count="1">
            <x v="35"/>
          </reference>
        </references>
      </pivotArea>
    </format>
    <format dxfId="7464">
      <pivotArea dataOnly="0" labelOnly="1" outline="0" fieldPosition="0">
        <references count="3">
          <reference field="0" count="1" selected="0">
            <x v="334"/>
          </reference>
          <reference field="2" count="1" selected="0">
            <x v="15"/>
          </reference>
          <reference field="3" count="1">
            <x v="36"/>
          </reference>
        </references>
      </pivotArea>
    </format>
    <format dxfId="7463">
      <pivotArea dataOnly="0" labelOnly="1" outline="0" fieldPosition="0">
        <references count="3">
          <reference field="0" count="1" selected="0">
            <x v="440"/>
          </reference>
          <reference field="2" count="1" selected="0">
            <x v="50"/>
          </reference>
          <reference field="3" count="1">
            <x v="30"/>
          </reference>
        </references>
      </pivotArea>
    </format>
    <format dxfId="7462">
      <pivotArea dataOnly="0" labelOnly="1" outline="0" fieldPosition="0">
        <references count="3">
          <reference field="0" count="1" selected="0">
            <x v="456"/>
          </reference>
          <reference field="2" count="1" selected="0">
            <x v="42"/>
          </reference>
          <reference field="3" count="1">
            <x v="28"/>
          </reference>
        </references>
      </pivotArea>
    </format>
    <format dxfId="7461">
      <pivotArea dataOnly="0" labelOnly="1" outline="0" fieldPosition="0">
        <references count="3">
          <reference field="0" count="1" selected="0">
            <x v="547"/>
          </reference>
          <reference field="2" count="1" selected="0">
            <x v="27"/>
          </reference>
          <reference field="3" count="1">
            <x v="41"/>
          </reference>
        </references>
      </pivotArea>
    </format>
    <format dxfId="7460">
      <pivotArea dataOnly="0" labelOnly="1" outline="0" fieldPosition="0">
        <references count="3">
          <reference field="0" count="1" selected="0">
            <x v="417"/>
          </reference>
          <reference field="2" count="1" selected="0">
            <x v="22"/>
          </reference>
          <reference field="3" count="1">
            <x v="10"/>
          </reference>
        </references>
      </pivotArea>
    </format>
    <format dxfId="7459">
      <pivotArea dataOnly="0" labelOnly="1" outline="0" fieldPosition="0">
        <references count="3">
          <reference field="0" count="1" selected="0">
            <x v="311"/>
          </reference>
          <reference field="2" count="1" selected="0">
            <x v="31"/>
          </reference>
          <reference field="3" count="1">
            <x v="0"/>
          </reference>
        </references>
      </pivotArea>
    </format>
    <format dxfId="7458">
      <pivotArea dataOnly="0" labelOnly="1" outline="0" fieldPosition="0">
        <references count="3">
          <reference field="0" count="1" selected="0">
            <x v="509"/>
          </reference>
          <reference field="2" count="1" selected="0">
            <x v="30"/>
          </reference>
          <reference field="3" count="1">
            <x v="28"/>
          </reference>
        </references>
      </pivotArea>
    </format>
    <format dxfId="7457">
      <pivotArea dataOnly="0" labelOnly="1" outline="0" fieldPosition="0">
        <references count="3">
          <reference field="0" count="1" selected="0">
            <x v="566"/>
          </reference>
          <reference field="2" count="1" selected="0">
            <x v="10"/>
          </reference>
          <reference field="3" count="1">
            <x v="48"/>
          </reference>
        </references>
      </pivotArea>
    </format>
    <format dxfId="7456">
      <pivotArea dataOnly="0" labelOnly="1" outline="0" fieldPosition="0">
        <references count="3">
          <reference field="0" count="1" selected="0">
            <x v="85"/>
          </reference>
          <reference field="2" count="1" selected="0">
            <x v="37"/>
          </reference>
          <reference field="3" count="1">
            <x v="38"/>
          </reference>
        </references>
      </pivotArea>
    </format>
    <format dxfId="7455">
      <pivotArea dataOnly="0" labelOnly="1" outline="0" fieldPosition="0">
        <references count="3">
          <reference field="0" count="1" selected="0">
            <x v="83"/>
          </reference>
          <reference field="2" count="1" selected="0">
            <x v="37"/>
          </reference>
          <reference field="3" count="1">
            <x v="33"/>
          </reference>
        </references>
      </pivotArea>
    </format>
    <format dxfId="7454">
      <pivotArea dataOnly="0" labelOnly="1" outline="0" fieldPosition="0">
        <references count="3">
          <reference field="0" count="1" selected="0">
            <x v="169"/>
          </reference>
          <reference field="2" count="1" selected="0">
            <x v="47"/>
          </reference>
          <reference field="3" count="1">
            <x v="40"/>
          </reference>
        </references>
      </pivotArea>
    </format>
    <format dxfId="7453">
      <pivotArea dataOnly="0" labelOnly="1" outline="0" fieldPosition="0">
        <references count="3">
          <reference field="0" count="1" selected="0">
            <x v="102"/>
          </reference>
          <reference field="2" count="1" selected="0">
            <x v="23"/>
          </reference>
          <reference field="3" count="1">
            <x v="7"/>
          </reference>
        </references>
      </pivotArea>
    </format>
    <format dxfId="7452">
      <pivotArea dataOnly="0" labelOnly="1" outline="0" fieldPosition="0">
        <references count="3">
          <reference field="0" count="1" selected="0">
            <x v="105"/>
          </reference>
          <reference field="2" count="1" selected="0">
            <x v="41"/>
          </reference>
          <reference field="3" count="1">
            <x v="7"/>
          </reference>
        </references>
      </pivotArea>
    </format>
    <format dxfId="7451">
      <pivotArea dataOnly="0" labelOnly="1" outline="0" fieldPosition="0">
        <references count="3">
          <reference field="0" count="1" selected="0">
            <x v="168"/>
          </reference>
          <reference field="2" count="1" selected="0">
            <x v="34"/>
          </reference>
          <reference field="3" count="1">
            <x v="8"/>
          </reference>
        </references>
      </pivotArea>
    </format>
    <format dxfId="7450">
      <pivotArea dataOnly="0" labelOnly="1" outline="0" fieldPosition="0">
        <references count="3">
          <reference field="0" count="1" selected="0">
            <x v="66"/>
          </reference>
          <reference field="2" count="1" selected="0">
            <x v="27"/>
          </reference>
          <reference field="3" count="1">
            <x v="14"/>
          </reference>
        </references>
      </pivotArea>
    </format>
    <format dxfId="7449">
      <pivotArea dataOnly="0" labelOnly="1" outline="0" fieldPosition="0">
        <references count="3">
          <reference field="0" count="1" selected="0">
            <x v="232"/>
          </reference>
          <reference field="2" count="1" selected="0">
            <x v="10"/>
          </reference>
          <reference field="3" count="1">
            <x v="44"/>
          </reference>
        </references>
      </pivotArea>
    </format>
    <format dxfId="7448">
      <pivotArea dataOnly="0" labelOnly="1" outline="0" fieldPosition="0">
        <references count="3">
          <reference field="0" count="1" selected="0">
            <x v="54"/>
          </reference>
          <reference field="2" count="1" selected="0">
            <x v="30"/>
          </reference>
          <reference field="3" count="1">
            <x v="26"/>
          </reference>
        </references>
      </pivotArea>
    </format>
    <format dxfId="7447">
      <pivotArea dataOnly="0" labelOnly="1" outline="0" fieldPosition="0">
        <references count="3">
          <reference field="0" count="1" selected="0">
            <x v="280"/>
          </reference>
          <reference field="2" count="1" selected="0">
            <x v="41"/>
          </reference>
          <reference field="3" count="1">
            <x v="2"/>
          </reference>
        </references>
      </pivotArea>
    </format>
    <format dxfId="7446">
      <pivotArea dataOnly="0" labelOnly="1" outline="0" fieldPosition="0">
        <references count="3">
          <reference field="0" count="1" selected="0">
            <x v="50"/>
          </reference>
          <reference field="2" count="1" selected="0">
            <x v="2"/>
          </reference>
          <reference field="3" count="1">
            <x v="18"/>
          </reference>
        </references>
      </pivotArea>
    </format>
    <format dxfId="7445">
      <pivotArea dataOnly="0" labelOnly="1" outline="0" fieldPosition="0">
        <references count="3">
          <reference field="0" count="1" selected="0">
            <x v="164"/>
          </reference>
          <reference field="2" count="1" selected="0">
            <x v="5"/>
          </reference>
          <reference field="3" count="1">
            <x v="14"/>
          </reference>
        </references>
      </pivotArea>
    </format>
    <format dxfId="7444">
      <pivotArea dataOnly="0" labelOnly="1" outline="0" fieldPosition="0">
        <references count="3">
          <reference field="0" count="1" selected="0">
            <x v="87"/>
          </reference>
          <reference field="2" count="1" selected="0">
            <x v="39"/>
          </reference>
          <reference field="3" count="1">
            <x v="39"/>
          </reference>
        </references>
      </pivotArea>
    </format>
    <format dxfId="7443">
      <pivotArea dataOnly="0" labelOnly="1" outline="0" fieldPosition="0">
        <references count="3">
          <reference field="0" count="1" selected="0">
            <x v="16"/>
          </reference>
          <reference field="2" count="1" selected="0">
            <x v="11"/>
          </reference>
          <reference field="3" count="1">
            <x v="14"/>
          </reference>
        </references>
      </pivotArea>
    </format>
    <format dxfId="7442">
      <pivotArea dataOnly="0" labelOnly="1" outline="0" fieldPosition="0">
        <references count="3">
          <reference field="0" count="1" selected="0">
            <x v="51"/>
          </reference>
          <reference field="2" count="1" selected="0">
            <x v="3"/>
          </reference>
          <reference field="3" count="1">
            <x v="1"/>
          </reference>
        </references>
      </pivotArea>
    </format>
    <format dxfId="7441">
      <pivotArea dataOnly="0" labelOnly="1" outline="0" fieldPosition="0">
        <references count="3">
          <reference field="0" count="1" selected="0">
            <x v="149"/>
          </reference>
          <reference field="2" count="1" selected="0">
            <x v="48"/>
          </reference>
          <reference field="3" count="1">
            <x v="21"/>
          </reference>
        </references>
      </pivotArea>
    </format>
    <format dxfId="7440">
      <pivotArea dataOnly="0" labelOnly="1" outline="0" fieldPosition="0">
        <references count="3">
          <reference field="0" count="1" selected="0">
            <x v="589"/>
          </reference>
          <reference field="2" count="1" selected="0">
            <x v="1"/>
          </reference>
          <reference field="3" count="1">
            <x v="26"/>
          </reference>
        </references>
      </pivotArea>
    </format>
    <format dxfId="7439">
      <pivotArea dataOnly="0" labelOnly="1" outline="0" fieldPosition="0">
        <references count="3">
          <reference field="0" count="1" selected="0">
            <x v="160"/>
          </reference>
          <reference field="2" count="1" selected="0">
            <x v="28"/>
          </reference>
          <reference field="3" count="1">
            <x v="1"/>
          </reference>
        </references>
      </pivotArea>
    </format>
    <format dxfId="7438">
      <pivotArea dataOnly="0" labelOnly="1" outline="0" fieldPosition="0">
        <references count="3">
          <reference field="0" count="1" selected="0">
            <x v="178"/>
          </reference>
          <reference field="2" count="1" selected="0">
            <x v="19"/>
          </reference>
          <reference field="3" count="1">
            <x v="41"/>
          </reference>
        </references>
      </pivotArea>
    </format>
    <format dxfId="7437">
      <pivotArea dataOnly="0" labelOnly="1" outline="0" fieldPosition="0">
        <references count="3">
          <reference field="0" count="1" selected="0">
            <x v="28"/>
          </reference>
          <reference field="2" count="1" selected="0">
            <x v="22"/>
          </reference>
          <reference field="3" count="1">
            <x v="21"/>
          </reference>
        </references>
      </pivotArea>
    </format>
    <format dxfId="7436">
      <pivotArea dataOnly="0" labelOnly="1" outline="0" fieldPosition="0">
        <references count="3">
          <reference field="0" count="1" selected="0">
            <x v="151"/>
          </reference>
          <reference field="2" count="1" selected="0">
            <x v="41"/>
          </reference>
          <reference field="3" count="1">
            <x v="41"/>
          </reference>
        </references>
      </pivotArea>
    </format>
    <format dxfId="7435">
      <pivotArea dataOnly="0" labelOnly="1" outline="0" fieldPosition="0">
        <references count="3">
          <reference field="0" count="1" selected="0">
            <x v="534"/>
          </reference>
          <reference field="2" count="1" selected="0">
            <x v="7"/>
          </reference>
          <reference field="3" count="1">
            <x v="6"/>
          </reference>
        </references>
      </pivotArea>
    </format>
    <format dxfId="7434">
      <pivotArea dataOnly="0" labelOnly="1" outline="0" fieldPosition="0">
        <references count="3">
          <reference field="0" count="1" selected="0">
            <x v="592"/>
          </reference>
          <reference field="2" count="1" selected="0">
            <x v="38"/>
          </reference>
          <reference field="3" count="1">
            <x v="11"/>
          </reference>
        </references>
      </pivotArea>
    </format>
    <format dxfId="7433">
      <pivotArea dataOnly="0" labelOnly="1" outline="0" fieldPosition="0">
        <references count="3">
          <reference field="0" count="1" selected="0">
            <x v="366"/>
          </reference>
          <reference field="2" count="1" selected="0">
            <x v="5"/>
          </reference>
          <reference field="3" count="1">
            <x v="2"/>
          </reference>
        </references>
      </pivotArea>
    </format>
    <format dxfId="7432">
      <pivotArea dataOnly="0" labelOnly="1" outline="0" fieldPosition="0">
        <references count="3">
          <reference field="0" count="1" selected="0">
            <x v="496"/>
          </reference>
          <reference field="2" count="1" selected="0">
            <x v="13"/>
          </reference>
          <reference field="3" count="1">
            <x v="31"/>
          </reference>
        </references>
      </pivotArea>
    </format>
    <format dxfId="7431">
      <pivotArea dataOnly="0" labelOnly="1" outline="0" fieldPosition="0">
        <references count="3">
          <reference field="0" count="1" selected="0">
            <x v="577"/>
          </reference>
          <reference field="2" count="1" selected="0">
            <x v="16"/>
          </reference>
          <reference field="3" count="1">
            <x v="20"/>
          </reference>
        </references>
      </pivotArea>
    </format>
    <format dxfId="7430">
      <pivotArea dataOnly="0" labelOnly="1" outline="0" fieldPosition="0">
        <references count="3">
          <reference field="0" count="1" selected="0">
            <x v="407"/>
          </reference>
          <reference field="2" count="1" selected="0">
            <x v="26"/>
          </reference>
          <reference field="3" count="1">
            <x v="19"/>
          </reference>
        </references>
      </pivotArea>
    </format>
    <format dxfId="7429">
      <pivotArea dataOnly="0" labelOnly="1" outline="0" fieldPosition="0">
        <references count="3">
          <reference field="0" count="1" selected="0">
            <x v="309"/>
          </reference>
          <reference field="2" count="1" selected="0">
            <x v="49"/>
          </reference>
          <reference field="3" count="1">
            <x v="42"/>
          </reference>
        </references>
      </pivotArea>
    </format>
    <format dxfId="7428">
      <pivotArea dataOnly="0" labelOnly="1" outline="0" fieldPosition="0">
        <references count="3">
          <reference field="0" count="1" selected="0">
            <x v="410"/>
          </reference>
          <reference field="2" count="1" selected="0">
            <x v="4"/>
          </reference>
          <reference field="3" count="1">
            <x v="16"/>
          </reference>
        </references>
      </pivotArea>
    </format>
    <format dxfId="7427">
      <pivotArea dataOnly="0" labelOnly="1" outline="0" fieldPosition="0">
        <references count="3">
          <reference field="0" count="1" selected="0">
            <x v="24"/>
          </reference>
          <reference field="2" count="1" selected="0">
            <x v="18"/>
          </reference>
          <reference field="3" count="1">
            <x v="11"/>
          </reference>
        </references>
      </pivotArea>
    </format>
    <format dxfId="7426">
      <pivotArea dataOnly="0" labelOnly="1" outline="0" fieldPosition="0">
        <references count="3">
          <reference field="0" count="1" selected="0">
            <x v="81"/>
          </reference>
          <reference field="2" count="1" selected="0">
            <x v="36"/>
          </reference>
          <reference field="3" count="1">
            <x v="11"/>
          </reference>
        </references>
      </pivotArea>
    </format>
    <format dxfId="7425">
      <pivotArea dataOnly="0" labelOnly="1" outline="0" fieldPosition="0">
        <references count="3">
          <reference field="0" count="1" selected="0">
            <x v="143"/>
          </reference>
          <reference field="2" count="1" selected="0">
            <x v="45"/>
          </reference>
          <reference field="3" count="1">
            <x v="26"/>
          </reference>
        </references>
      </pivotArea>
    </format>
    <format dxfId="7424">
      <pivotArea dataOnly="0" labelOnly="1" outline="0" fieldPosition="0">
        <references count="3">
          <reference field="0" count="1" selected="0">
            <x v="35"/>
          </reference>
          <reference field="2" count="1" selected="0">
            <x v="5"/>
          </reference>
          <reference field="3" count="1">
            <x v="15"/>
          </reference>
        </references>
      </pivotArea>
    </format>
    <format dxfId="7423">
      <pivotArea dataOnly="0" labelOnly="1" outline="0" fieldPosition="0">
        <references count="3">
          <reference field="0" count="1" selected="0">
            <x v="150"/>
          </reference>
          <reference field="2" count="1" selected="0">
            <x v="40"/>
          </reference>
          <reference field="3" count="1">
            <x v="11"/>
          </reference>
        </references>
      </pivotArea>
    </format>
    <format dxfId="7422">
      <pivotArea dataOnly="0" labelOnly="1" outline="0" fieldPosition="0">
        <references count="3">
          <reference field="0" count="1" selected="0">
            <x v="15"/>
          </reference>
          <reference field="2" count="1" selected="0">
            <x v="14"/>
          </reference>
          <reference field="3" count="1">
            <x v="13"/>
          </reference>
        </references>
      </pivotArea>
    </format>
    <format dxfId="7421">
      <pivotArea dataOnly="0" labelOnly="1" outline="0" fieldPosition="0">
        <references count="3">
          <reference field="0" count="1" selected="0">
            <x v="44"/>
          </reference>
          <reference field="2" count="1" selected="0">
            <x v="17"/>
          </reference>
          <reference field="3" count="1">
            <x v="12"/>
          </reference>
        </references>
      </pivotArea>
    </format>
    <format dxfId="7420">
      <pivotArea dataOnly="0" labelOnly="1" outline="0" fieldPosition="0">
        <references count="3">
          <reference field="0" count="1" selected="0">
            <x v="61"/>
          </reference>
          <reference field="2" count="1" selected="0">
            <x v="27"/>
          </reference>
          <reference field="3" count="1">
            <x v="31"/>
          </reference>
        </references>
      </pivotArea>
    </format>
    <format dxfId="7419">
      <pivotArea dataOnly="0" labelOnly="1" outline="0" fieldPosition="0">
        <references count="3">
          <reference field="0" count="1" selected="0">
            <x v="30"/>
          </reference>
          <reference field="2" count="1" selected="0">
            <x v="16"/>
          </reference>
          <reference field="3" count="1">
            <x v="17"/>
          </reference>
        </references>
      </pivotArea>
    </format>
    <format dxfId="7418">
      <pivotArea dataOnly="0" labelOnly="1" outline="0" fieldPosition="0">
        <references count="3">
          <reference field="0" count="1" selected="0">
            <x v="211"/>
          </reference>
          <reference field="2" count="1" selected="0">
            <x v="32"/>
          </reference>
          <reference field="3" count="1">
            <x v="23"/>
          </reference>
        </references>
      </pivotArea>
    </format>
    <format dxfId="7417">
      <pivotArea dataOnly="0" labelOnly="1" outline="0" fieldPosition="0">
        <references count="3">
          <reference field="0" count="1" selected="0">
            <x v="100"/>
          </reference>
          <reference field="2" count="1" selected="0">
            <x v="42"/>
          </reference>
          <reference field="3" count="1">
            <x v="14"/>
          </reference>
        </references>
      </pivotArea>
    </format>
    <format dxfId="7416">
      <pivotArea dataOnly="0" labelOnly="1" outline="0" fieldPosition="0">
        <references count="3">
          <reference field="0" count="1" selected="0">
            <x v="216"/>
          </reference>
          <reference field="2" count="1" selected="0">
            <x v="51"/>
          </reference>
          <reference field="3" count="1">
            <x v="9"/>
          </reference>
        </references>
      </pivotArea>
    </format>
    <format dxfId="7415">
      <pivotArea dataOnly="0" labelOnly="1" outline="0" fieldPosition="0">
        <references count="3">
          <reference field="0" count="1" selected="0">
            <x v="237"/>
          </reference>
          <reference field="2" count="1" selected="0">
            <x v="26"/>
          </reference>
          <reference field="3" count="1">
            <x v="45"/>
          </reference>
        </references>
      </pivotArea>
    </format>
    <format dxfId="7414">
      <pivotArea dataOnly="0" labelOnly="1" outline="0" fieldPosition="0">
        <references count="3">
          <reference field="0" count="1" selected="0">
            <x v="86"/>
          </reference>
          <reference field="2" count="1" selected="0">
            <x v="38"/>
          </reference>
          <reference field="3" count="1">
            <x v="29"/>
          </reference>
        </references>
      </pivotArea>
    </format>
    <format dxfId="7413">
      <pivotArea dataOnly="0" labelOnly="1" outline="0" fieldPosition="0">
        <references count="3">
          <reference field="0" count="1" selected="0">
            <x v="195"/>
          </reference>
          <reference field="2" count="1" selected="0">
            <x v="29"/>
          </reference>
          <reference field="3" count="1">
            <x v="37"/>
          </reference>
        </references>
      </pivotArea>
    </format>
    <format dxfId="7412">
      <pivotArea dataOnly="0" labelOnly="1" outline="0" fieldPosition="0">
        <references count="3">
          <reference field="0" count="1" selected="0">
            <x v="274"/>
          </reference>
          <reference field="2" count="1" selected="0">
            <x v="40"/>
          </reference>
          <reference field="3" count="1">
            <x v="48"/>
          </reference>
        </references>
      </pivotArea>
    </format>
    <format dxfId="7411">
      <pivotArea dataOnly="0" labelOnly="1" outline="0" fieldPosition="0">
        <references count="3">
          <reference field="0" count="1" selected="0">
            <x v="245"/>
          </reference>
          <reference field="2" count="1" selected="0">
            <x v="2"/>
          </reference>
          <reference field="3" count="1">
            <x v="20"/>
          </reference>
        </references>
      </pivotArea>
    </format>
    <format dxfId="7410">
      <pivotArea dataOnly="0" labelOnly="1" outline="0" fieldPosition="0">
        <references count="3">
          <reference field="0" count="1" selected="0">
            <x v="223"/>
          </reference>
          <reference field="2" count="1" selected="0">
            <x v="48"/>
          </reference>
          <reference field="3" count="1">
            <x v="12"/>
          </reference>
        </references>
      </pivotArea>
    </format>
    <format dxfId="7409">
      <pivotArea dataOnly="0" labelOnly="1" outline="0" fieldPosition="0">
        <references count="3">
          <reference field="0" count="1" selected="0">
            <x v="5"/>
          </reference>
          <reference field="2" count="1" selected="0">
            <x v="5"/>
          </reference>
          <reference field="3" count="1">
            <x v="4"/>
          </reference>
        </references>
      </pivotArea>
    </format>
    <format dxfId="7408">
      <pivotArea dataOnly="0" labelOnly="1" outline="0" fieldPosition="0">
        <references count="3">
          <reference field="0" count="1" selected="0">
            <x v="336"/>
          </reference>
          <reference field="2" count="1" selected="0">
            <x v="25"/>
          </reference>
          <reference field="3" count="1">
            <x v="11"/>
          </reference>
        </references>
      </pivotArea>
    </format>
    <format dxfId="7407">
      <pivotArea dataOnly="0" labelOnly="1" outline="0" fieldPosition="0">
        <references count="3">
          <reference field="0" count="1" selected="0">
            <x v="3"/>
          </reference>
          <reference field="2" count="1" selected="0">
            <x v="3"/>
          </reference>
          <reference field="3" count="1">
            <x v="0"/>
          </reference>
        </references>
      </pivotArea>
    </format>
    <format dxfId="7406">
      <pivotArea dataOnly="0" labelOnly="1" outline="0" fieldPosition="0">
        <references count="3">
          <reference field="0" count="1" selected="0">
            <x v="190"/>
          </reference>
          <reference field="2" count="1" selected="0">
            <x v="34"/>
          </reference>
          <reference field="3" count="1">
            <x v="2"/>
          </reference>
        </references>
      </pivotArea>
    </format>
    <format dxfId="7405">
      <pivotArea dataOnly="0" labelOnly="1" outline="0" fieldPosition="0">
        <references count="3">
          <reference field="0" count="1" selected="0">
            <x v="262"/>
          </reference>
          <reference field="2" count="1" selected="0">
            <x v="42"/>
          </reference>
          <reference field="3" count="1">
            <x v="41"/>
          </reference>
        </references>
      </pivotArea>
    </format>
    <format dxfId="7404">
      <pivotArea dataOnly="0" labelOnly="1" outline="0" fieldPosition="0">
        <references count="3">
          <reference field="0" count="1" selected="0">
            <x v="306"/>
          </reference>
          <reference field="2" count="1" selected="0">
            <x v="17"/>
          </reference>
          <reference field="3" count="1">
            <x v="28"/>
          </reference>
        </references>
      </pivotArea>
    </format>
    <format dxfId="7403">
      <pivotArea dataOnly="0" labelOnly="1" outline="0" fieldPosition="0">
        <references count="3">
          <reference field="0" count="1" selected="0">
            <x v="345"/>
          </reference>
          <reference field="2" count="1" selected="0">
            <x v="37"/>
          </reference>
          <reference field="3" count="1">
            <x v="46"/>
          </reference>
        </references>
      </pivotArea>
    </format>
    <format dxfId="7402">
      <pivotArea dataOnly="0" labelOnly="1" outline="0" fieldPosition="0">
        <references count="3">
          <reference field="0" count="1" selected="0">
            <x v="362"/>
          </reference>
          <reference field="2" count="1" selected="0">
            <x v="9"/>
          </reference>
          <reference field="3" count="1">
            <x v="20"/>
          </reference>
        </references>
      </pivotArea>
    </format>
    <format dxfId="7401">
      <pivotArea dataOnly="0" labelOnly="1" outline="0" fieldPosition="0">
        <references count="3">
          <reference field="0" count="1" selected="0">
            <x v="408"/>
          </reference>
          <reference field="2" count="1" selected="0">
            <x v="13"/>
          </reference>
          <reference field="3" count="1">
            <x v="6"/>
          </reference>
        </references>
      </pivotArea>
    </format>
    <format dxfId="7400">
      <pivotArea dataOnly="0" labelOnly="1" outline="0" fieldPosition="0">
        <references count="3">
          <reference field="0" count="1" selected="0">
            <x v="357"/>
          </reference>
          <reference field="2" count="1" selected="0">
            <x v="45"/>
          </reference>
          <reference field="3" count="1">
            <x v="32"/>
          </reference>
        </references>
      </pivotArea>
    </format>
    <format dxfId="7399">
      <pivotArea dataOnly="0" labelOnly="1" outline="0" fieldPosition="0">
        <references count="3">
          <reference field="0" count="1" selected="0">
            <x v="404"/>
          </reference>
          <reference field="2" count="1" selected="0">
            <x v="6"/>
          </reference>
          <reference field="3" count="1">
            <x v="3"/>
          </reference>
        </references>
      </pivotArea>
    </format>
    <format dxfId="7398">
      <pivotArea dataOnly="0" labelOnly="1" outline="0" fieldPosition="0">
        <references count="3">
          <reference field="0" count="1" selected="0">
            <x v="479"/>
          </reference>
          <reference field="2" count="1" selected="0">
            <x v="10"/>
          </reference>
          <reference field="3" count="1">
            <x v="7"/>
          </reference>
        </references>
      </pivotArea>
    </format>
    <format dxfId="7397">
      <pivotArea dataOnly="0" labelOnly="1" outline="0" fieldPosition="0">
        <references count="3">
          <reference field="0" count="1" selected="0">
            <x v="331"/>
          </reference>
          <reference field="2" count="1" selected="0">
            <x v="34"/>
          </reference>
          <reference field="3" count="1">
            <x v="25"/>
          </reference>
        </references>
      </pivotArea>
    </format>
    <format dxfId="7396">
      <pivotArea dataOnly="0" labelOnly="1" outline="0" fieldPosition="0">
        <references count="3">
          <reference field="0" count="1" selected="0">
            <x v="515"/>
          </reference>
          <reference field="2" count="1" selected="0">
            <x v="3"/>
          </reference>
          <reference field="3" count="1">
            <x v="40"/>
          </reference>
        </references>
      </pivotArea>
    </format>
    <format dxfId="7395">
      <pivotArea dataOnly="0" labelOnly="1" outline="0" fieldPosition="0">
        <references count="3">
          <reference field="0" count="1" selected="0">
            <x v="360"/>
          </reference>
          <reference field="2" count="1" selected="0">
            <x v="38"/>
          </reference>
          <reference field="3" count="1">
            <x v="12"/>
          </reference>
        </references>
      </pivotArea>
    </format>
    <format dxfId="7394">
      <pivotArea dataOnly="0" labelOnly="1" outline="0" fieldPosition="0">
        <references count="3">
          <reference field="0" count="1" selected="0">
            <x v="578"/>
          </reference>
          <reference field="2" count="1" selected="0">
            <x v="37"/>
          </reference>
          <reference field="3" count="1">
            <x v="8"/>
          </reference>
        </references>
      </pivotArea>
    </format>
    <format dxfId="7393">
      <pivotArea dataOnly="0" labelOnly="1" outline="0" fieldPosition="0">
        <references count="3">
          <reference field="0" count="1" selected="0">
            <x v="561"/>
          </reference>
          <reference field="2" count="1" selected="0">
            <x v="23"/>
          </reference>
          <reference field="3" count="1">
            <x v="49"/>
          </reference>
        </references>
      </pivotArea>
    </format>
    <format dxfId="7392">
      <pivotArea dataOnly="0" labelOnly="1" outline="0" fieldPosition="0">
        <references count="3">
          <reference field="0" count="1" selected="0">
            <x v="476"/>
          </reference>
          <reference field="2" count="1" selected="0">
            <x v="4"/>
          </reference>
          <reference field="3" count="1">
            <x v="27"/>
          </reference>
        </references>
      </pivotArea>
    </format>
    <format dxfId="7391">
      <pivotArea dataOnly="0" labelOnly="1" outline="0" fieldPosition="0">
        <references count="3">
          <reference field="0" count="1" selected="0">
            <x v="460"/>
          </reference>
          <reference field="2" count="1" selected="0">
            <x v="11"/>
          </reference>
          <reference field="3" count="1">
            <x v="33"/>
          </reference>
        </references>
      </pivotArea>
    </format>
    <format dxfId="7390">
      <pivotArea dataOnly="0" labelOnly="1" outline="0" fieldPosition="0">
        <references count="3">
          <reference field="0" count="1" selected="0">
            <x v="571"/>
          </reference>
          <reference field="2" count="1" selected="0">
            <x v="50"/>
          </reference>
          <reference field="3" count="1">
            <x v="9"/>
          </reference>
        </references>
      </pivotArea>
    </format>
    <format dxfId="7389">
      <pivotArea dataOnly="0" labelOnly="1" outline="0" fieldPosition="0">
        <references count="3">
          <reference field="0" count="1" selected="0">
            <x v="321"/>
          </reference>
          <reference field="2" count="1" selected="0">
            <x v="13"/>
          </reference>
          <reference field="3" count="1">
            <x v="42"/>
          </reference>
        </references>
      </pivotArea>
    </format>
    <format dxfId="7388">
      <pivotArea dataOnly="0" labelOnly="1" outline="0" fieldPosition="0">
        <references count="3">
          <reference field="0" count="1" selected="0">
            <x v="523"/>
          </reference>
          <reference field="2" count="1" selected="0">
            <x v="50"/>
          </reference>
          <reference field="3" count="1">
            <x v="39"/>
          </reference>
        </references>
      </pivotArea>
    </format>
    <format dxfId="7387">
      <pivotArea dataOnly="0" labelOnly="1" outline="0" fieldPosition="0">
        <references count="3">
          <reference field="0" count="1" selected="0">
            <x v="20"/>
          </reference>
          <reference field="2" count="1" selected="0">
            <x v="3"/>
          </reference>
          <reference field="3" count="1">
            <x v="14"/>
          </reference>
        </references>
      </pivotArea>
    </format>
    <format dxfId="7386">
      <pivotArea dataOnly="0" labelOnly="1" outline="0" fieldPosition="0">
        <references count="3">
          <reference field="0" count="1" selected="0">
            <x v="33"/>
          </reference>
          <reference field="2" count="1" selected="0">
            <x v="25"/>
          </reference>
          <reference field="3" count="1">
            <x v="24"/>
          </reference>
        </references>
      </pivotArea>
    </format>
    <format dxfId="7385">
      <pivotArea dataOnly="0" labelOnly="1" outline="0" fieldPosition="0">
        <references count="3">
          <reference field="0" count="1" selected="0">
            <x v="49"/>
          </reference>
          <reference field="2" count="1" selected="0">
            <x v="23"/>
          </reference>
          <reference field="3" count="1">
            <x v="13"/>
          </reference>
        </references>
      </pivotArea>
    </format>
    <format dxfId="7384">
      <pivotArea dataOnly="0" labelOnly="1" outline="0" fieldPosition="0">
        <references count="3">
          <reference field="0" count="1" selected="0">
            <x v="145"/>
          </reference>
          <reference field="2" count="1" selected="0">
            <x v="5"/>
          </reference>
          <reference field="3" count="1">
            <x v="45"/>
          </reference>
        </references>
      </pivotArea>
    </format>
    <format dxfId="7383">
      <pivotArea dataOnly="0" labelOnly="1" outline="0" fieldPosition="0">
        <references count="3">
          <reference field="0" count="1" selected="0">
            <x v="154"/>
          </reference>
          <reference field="2" count="1" selected="0">
            <x v="8"/>
          </reference>
          <reference field="3" count="1">
            <x v="29"/>
          </reference>
        </references>
      </pivotArea>
    </format>
    <format dxfId="7382">
      <pivotArea dataOnly="0" labelOnly="1" outline="0" fieldPosition="0">
        <references count="3">
          <reference field="0" count="1" selected="0">
            <x v="71"/>
          </reference>
          <reference field="2" count="1" selected="0">
            <x v="10"/>
          </reference>
          <reference field="3" count="1">
            <x v="33"/>
          </reference>
        </references>
      </pivotArea>
    </format>
    <format dxfId="7381">
      <pivotArea dataOnly="0" labelOnly="1" outline="0" fieldPosition="0">
        <references count="3">
          <reference field="0" count="1" selected="0">
            <x v="291"/>
          </reference>
          <reference field="2" count="1" selected="0">
            <x v="3"/>
          </reference>
          <reference field="3" count="1">
            <x v="39"/>
          </reference>
        </references>
      </pivotArea>
    </format>
    <format dxfId="7380">
      <pivotArea dataOnly="0" labelOnly="1" outline="0" fieldPosition="0">
        <references count="3">
          <reference field="0" count="1" selected="0">
            <x v="261"/>
          </reference>
          <reference field="2" count="1" selected="0">
            <x v="40"/>
          </reference>
          <reference field="3" count="1">
            <x v="37"/>
          </reference>
        </references>
      </pivotArea>
    </format>
    <format dxfId="7379">
      <pivotArea dataOnly="0" labelOnly="1" outline="0" fieldPosition="0">
        <references count="3">
          <reference field="0" count="1" selected="0">
            <x v="214"/>
          </reference>
          <reference field="2" count="1" selected="0">
            <x v="37"/>
          </reference>
          <reference field="3" count="1">
            <x v="26"/>
          </reference>
        </references>
      </pivotArea>
    </format>
    <format dxfId="7378">
      <pivotArea dataOnly="0" labelOnly="1" outline="0" fieldPosition="0">
        <references count="3">
          <reference field="0" count="1" selected="0">
            <x v="249"/>
          </reference>
          <reference field="2" count="1" selected="0">
            <x v="36"/>
          </reference>
          <reference field="3" count="1">
            <x v="49"/>
          </reference>
        </references>
      </pivotArea>
    </format>
    <format dxfId="7377">
      <pivotArea dataOnly="0" labelOnly="1" outline="0" fieldPosition="0">
        <references count="3">
          <reference field="0" count="1" selected="0">
            <x v="118"/>
          </reference>
          <reference field="2" count="1" selected="0">
            <x v="4"/>
          </reference>
          <reference field="3" count="1">
            <x v="13"/>
          </reference>
        </references>
      </pivotArea>
    </format>
    <format dxfId="7376">
      <pivotArea dataOnly="0" labelOnly="1" outline="0" fieldPosition="0">
        <references count="3">
          <reference field="0" count="1" selected="0">
            <x v="140"/>
          </reference>
          <reference field="2" count="1" selected="0">
            <x v="34"/>
          </reference>
          <reference field="3" count="1">
            <x v="1"/>
          </reference>
        </references>
      </pivotArea>
    </format>
    <format dxfId="7375">
      <pivotArea dataOnly="0" labelOnly="1" outline="0" fieldPosition="0">
        <references count="3">
          <reference field="0" count="1" selected="0">
            <x v="17"/>
          </reference>
          <reference field="2" count="1" selected="0">
            <x v="15"/>
          </reference>
          <reference field="3" count="1">
            <x v="15"/>
          </reference>
        </references>
      </pivotArea>
    </format>
    <format dxfId="7374">
      <pivotArea dataOnly="0" labelOnly="1" outline="0" fieldPosition="0">
        <references count="3">
          <reference field="0" count="1" selected="0">
            <x v="599"/>
          </reference>
          <reference field="2" count="1" selected="0">
            <x v="6"/>
          </reference>
          <reference field="3" count="1">
            <x v="10"/>
          </reference>
        </references>
      </pivotArea>
    </format>
    <format dxfId="7373">
      <pivotArea dataOnly="0" labelOnly="1" outline="0" fieldPosition="0">
        <references count="3">
          <reference field="0" count="1" selected="0">
            <x v="371"/>
          </reference>
          <reference field="2" count="1" selected="0">
            <x v="43"/>
          </reference>
          <reference field="3" count="1">
            <x v="45"/>
          </reference>
        </references>
      </pivotArea>
    </format>
    <format dxfId="7372">
      <pivotArea dataOnly="0" labelOnly="1" outline="0" fieldPosition="0">
        <references count="3">
          <reference field="0" count="1" selected="0">
            <x v="395"/>
          </reference>
          <reference field="2" count="1" selected="0">
            <x v="32"/>
          </reference>
          <reference field="3" count="1">
            <x v="7"/>
          </reference>
        </references>
      </pivotArea>
    </format>
    <format dxfId="7371">
      <pivotArea dataOnly="0" labelOnly="1" outline="0" fieldPosition="0">
        <references count="3">
          <reference field="0" count="1" selected="0">
            <x v="551"/>
          </reference>
          <reference field="2" count="1" selected="0">
            <x v="1"/>
          </reference>
          <reference field="3" count="1">
            <x v="31"/>
          </reference>
        </references>
      </pivotArea>
    </format>
    <format dxfId="7370">
      <pivotArea dataOnly="0" labelOnly="1" outline="0" fieldPosition="0">
        <references count="3">
          <reference field="0" count="1" selected="0">
            <x v="575"/>
          </reference>
          <reference field="2" count="1" selected="0">
            <x v="9"/>
          </reference>
          <reference field="3" count="1">
            <x v="19"/>
          </reference>
        </references>
      </pivotArea>
    </format>
    <format dxfId="7369">
      <pivotArea dataOnly="0" labelOnly="1" outline="0" fieldPosition="0">
        <references count="3">
          <reference field="0" count="1" selected="0">
            <x v="434"/>
          </reference>
          <reference field="2" count="1" selected="0">
            <x v="45"/>
          </reference>
          <reference field="3" count="1">
            <x v="38"/>
          </reference>
        </references>
      </pivotArea>
    </format>
    <format dxfId="7368">
      <pivotArea dataOnly="0" labelOnly="1" outline="0" fieldPosition="0">
        <references count="3">
          <reference field="0" count="1" selected="0">
            <x v="389"/>
          </reference>
          <reference field="2" count="1" selected="0">
            <x v="38"/>
          </reference>
          <reference field="3" count="1">
            <x v="3"/>
          </reference>
        </references>
      </pivotArea>
    </format>
    <format dxfId="7367">
      <pivotArea dataOnly="0" labelOnly="1" outline="0" fieldPosition="0">
        <references count="3">
          <reference field="0" count="1" selected="0">
            <x v="467"/>
          </reference>
          <reference field="2" count="1" selected="0">
            <x v="46"/>
          </reference>
          <reference field="3" count="1">
            <x v="33"/>
          </reference>
        </references>
      </pivotArea>
    </format>
    <format dxfId="7366">
      <pivotArea dataOnly="0" labelOnly="1" outline="0" fieldPosition="0">
        <references count="3">
          <reference field="0" count="1" selected="0">
            <x v="555"/>
          </reference>
          <reference field="2" count="1" selected="0">
            <x v="0"/>
          </reference>
          <reference field="3" count="1">
            <x v="34"/>
          </reference>
        </references>
      </pivotArea>
    </format>
    <format dxfId="7365">
      <pivotArea dataOnly="0" labelOnly="1" outline="0" fieldPosition="0">
        <references count="3">
          <reference field="0" count="1" selected="0">
            <x v="138"/>
          </reference>
          <reference field="2" count="1" selected="0">
            <x v="29"/>
          </reference>
          <reference field="3" count="1">
            <x v="22"/>
          </reference>
        </references>
      </pivotArea>
    </format>
    <format dxfId="7364">
      <pivotArea dataOnly="0" labelOnly="1" outline="0" fieldPosition="0">
        <references count="3">
          <reference field="0" count="1" selected="0">
            <x v="21"/>
          </reference>
          <reference field="2" count="1" selected="0">
            <x v="5"/>
          </reference>
          <reference field="3" count="1">
            <x v="17"/>
          </reference>
        </references>
      </pivotArea>
    </format>
    <format dxfId="7363">
      <pivotArea dataOnly="0" labelOnly="1" outline="0" fieldPosition="0">
        <references count="3">
          <reference field="0" count="1" selected="0">
            <x v="202"/>
          </reference>
          <reference field="2" count="1" selected="0">
            <x v="22"/>
          </reference>
          <reference field="3" count="1">
            <x v="9"/>
          </reference>
        </references>
      </pivotArea>
    </format>
    <format dxfId="7362">
      <pivotArea dataOnly="0" labelOnly="1" outline="0" fieldPosition="0">
        <references count="3">
          <reference field="0" count="1" selected="0">
            <x v="103"/>
          </reference>
          <reference field="2" count="1" selected="0">
            <x v="26"/>
          </reference>
          <reference field="3" count="1">
            <x v="38"/>
          </reference>
        </references>
      </pivotArea>
    </format>
    <format dxfId="7361">
      <pivotArea dataOnly="0" labelOnly="1" outline="0" fieldPosition="0">
        <references count="3">
          <reference field="0" count="1" selected="0">
            <x v="92"/>
          </reference>
          <reference field="2" count="1" selected="0">
            <x v="9"/>
          </reference>
          <reference field="3" count="1">
            <x v="31"/>
          </reference>
        </references>
      </pivotArea>
    </format>
    <format dxfId="7360">
      <pivotArea dataOnly="0" labelOnly="1" outline="0" fieldPosition="0">
        <references count="3">
          <reference field="0" count="1" selected="0">
            <x v="297"/>
          </reference>
          <reference field="2" count="1" selected="0">
            <x v="34"/>
          </reference>
          <reference field="3" count="1">
            <x v="25"/>
          </reference>
        </references>
      </pivotArea>
    </format>
    <format dxfId="7359">
      <pivotArea dataOnly="0" labelOnly="1" outline="0" fieldPosition="0">
        <references count="3">
          <reference field="0" count="1" selected="0">
            <x v="133"/>
          </reference>
          <reference field="2" count="1" selected="0">
            <x v="23"/>
          </reference>
          <reference field="3" count="1">
            <x v="10"/>
          </reference>
        </references>
      </pivotArea>
    </format>
    <format dxfId="7358">
      <pivotArea dataOnly="0" labelOnly="1" outline="0" fieldPosition="0">
        <references count="3">
          <reference field="0" count="1" selected="0">
            <x v="222"/>
          </reference>
          <reference field="2" count="1" selected="0">
            <x v="45"/>
          </reference>
          <reference field="3" count="1">
            <x v="36"/>
          </reference>
        </references>
      </pivotArea>
    </format>
    <format dxfId="7357">
      <pivotArea dataOnly="0" labelOnly="1" outline="0" fieldPosition="0">
        <references count="3">
          <reference field="0" count="1" selected="0">
            <x v="430"/>
          </reference>
          <reference field="2" count="1" selected="0">
            <x v="23"/>
          </reference>
          <reference field="3" count="1">
            <x v="13"/>
          </reference>
        </references>
      </pivotArea>
    </format>
    <format dxfId="7356">
      <pivotArea dataOnly="0" labelOnly="1" outline="0" fieldPosition="0">
        <references count="3">
          <reference field="0" count="1" selected="0">
            <x v="535"/>
          </reference>
          <reference field="2" count="1" selected="0">
            <x v="24"/>
          </reference>
          <reference field="3" count="1">
            <x v="5"/>
          </reference>
        </references>
      </pivotArea>
    </format>
    <format dxfId="7355">
      <pivotArea dataOnly="0" labelOnly="1" outline="0" fieldPosition="0">
        <references count="3">
          <reference field="0" count="1" selected="0">
            <x v="510"/>
          </reference>
          <reference field="2" count="1" selected="0">
            <x v="41"/>
          </reference>
          <reference field="3" count="1">
            <x v="5"/>
          </reference>
        </references>
      </pivotArea>
    </format>
    <format dxfId="7354">
      <pivotArea dataOnly="0" labelOnly="1" outline="0" fieldPosition="0">
        <references count="3">
          <reference field="0" count="1" selected="0">
            <x v="587"/>
          </reference>
          <reference field="2" count="1" selected="0">
            <x v="48"/>
          </reference>
          <reference field="3" count="1">
            <x v="3"/>
          </reference>
        </references>
      </pivotArea>
    </format>
    <format dxfId="7353">
      <pivotArea dataOnly="0" labelOnly="1" outline="0" fieldPosition="0">
        <references count="3">
          <reference field="0" count="1" selected="0">
            <x v="465"/>
          </reference>
          <reference field="2" count="1" selected="0">
            <x v="37"/>
          </reference>
          <reference field="3" count="1">
            <x v="27"/>
          </reference>
        </references>
      </pivotArea>
    </format>
    <format dxfId="7352">
      <pivotArea dataOnly="0" labelOnly="1" outline="0" fieldPosition="0">
        <references count="3">
          <reference field="0" count="1" selected="0">
            <x v="518"/>
          </reference>
          <reference field="2" count="1" selected="0">
            <x v="8"/>
          </reference>
          <reference field="3" count="1">
            <x v="11"/>
          </reference>
        </references>
      </pivotArea>
    </format>
    <format dxfId="7351">
      <pivotArea dataOnly="0" labelOnly="1" outline="0" fieldPosition="0">
        <references count="3">
          <reference field="0" count="1" selected="0">
            <x v="560"/>
          </reference>
          <reference field="2" count="1" selected="0">
            <x v="2"/>
          </reference>
          <reference field="3" count="1">
            <x v="12"/>
          </reference>
        </references>
      </pivotArea>
    </format>
    <format dxfId="7350">
      <pivotArea dataOnly="0" labelOnly="1" outline="0" fieldPosition="0">
        <references count="3">
          <reference field="0" count="1" selected="0">
            <x v="358"/>
          </reference>
          <reference field="2" count="1" selected="0">
            <x v="21"/>
          </reference>
          <reference field="3" count="1">
            <x v="25"/>
          </reference>
        </references>
      </pivotArea>
    </format>
    <format dxfId="7349">
      <pivotArea dataOnly="0" labelOnly="1" outline="0" fieldPosition="0">
        <references count="3">
          <reference field="0" count="1" selected="0">
            <x v="337"/>
          </reference>
          <reference field="2" count="1" selected="0">
            <x v="25"/>
          </reference>
          <reference field="3" count="1">
            <x v="34"/>
          </reference>
        </references>
      </pivotArea>
    </format>
    <format dxfId="7348">
      <pivotArea dataOnly="0" labelOnly="1" outline="0" fieldPosition="0">
        <references count="3">
          <reference field="0" count="1" selected="0">
            <x v="584"/>
          </reference>
          <reference field="2" count="1" selected="0">
            <x v="9"/>
          </reference>
          <reference field="3" count="1">
            <x v="17"/>
          </reference>
        </references>
      </pivotArea>
    </format>
    <format dxfId="7347">
      <pivotArea dataOnly="0" labelOnly="1" outline="0" fieldPosition="0">
        <references count="3">
          <reference field="0" count="1" selected="0">
            <x v="480"/>
          </reference>
          <reference field="2" count="1" selected="0">
            <x v="42"/>
          </reference>
          <reference field="3" count="1">
            <x v="2"/>
          </reference>
        </references>
      </pivotArea>
    </format>
    <format dxfId="7346">
      <pivotArea dataOnly="0" labelOnly="1" outline="0" fieldPosition="0">
        <references count="3">
          <reference field="0" count="1" selected="0">
            <x v="488"/>
          </reference>
          <reference field="2" count="1" selected="0">
            <x v="21"/>
          </reference>
          <reference field="3" count="1">
            <x v="41"/>
          </reference>
        </references>
      </pivotArea>
    </format>
    <format dxfId="7345">
      <pivotArea dataOnly="0" labelOnly="1" outline="0" fieldPosition="0">
        <references count="3">
          <reference field="0" count="1" selected="0">
            <x v="218"/>
          </reference>
          <reference field="2" count="1" selected="0">
            <x v="9"/>
          </reference>
          <reference field="3" count="1">
            <x v="50"/>
          </reference>
        </references>
      </pivotArea>
    </format>
    <format dxfId="7344">
      <pivotArea dataOnly="0" labelOnly="1" outline="0" fieldPosition="0">
        <references count="3">
          <reference field="0" count="1" selected="0">
            <x v="302"/>
          </reference>
          <reference field="2" count="1" selected="0">
            <x v="36"/>
          </reference>
          <reference field="3" count="1">
            <x v="33"/>
          </reference>
        </references>
      </pivotArea>
    </format>
    <format dxfId="7343">
      <pivotArea dataOnly="0" labelOnly="1" outline="0" fieldPosition="0">
        <references count="3">
          <reference field="0" count="1" selected="0">
            <x v="152"/>
          </reference>
          <reference field="2" count="1" selected="0">
            <x v="37"/>
          </reference>
          <reference field="3" count="1">
            <x v="9"/>
          </reference>
        </references>
      </pivotArea>
    </format>
    <format dxfId="7342">
      <pivotArea dataOnly="0" labelOnly="1" outline="0" fieldPosition="0">
        <references count="3">
          <reference field="0" count="1" selected="0">
            <x v="221"/>
          </reference>
          <reference field="2" count="1" selected="0">
            <x v="10"/>
          </reference>
          <reference field="3" count="1">
            <x v="8"/>
          </reference>
        </references>
      </pivotArea>
    </format>
    <format dxfId="7341">
      <pivotArea dataOnly="0" labelOnly="1" outline="0" fieldPosition="0">
        <references count="3">
          <reference field="0" count="1" selected="0">
            <x v="122"/>
          </reference>
          <reference field="2" count="1" selected="0">
            <x v="28"/>
          </reference>
          <reference field="3" count="1">
            <x v="28"/>
          </reference>
        </references>
      </pivotArea>
    </format>
    <format dxfId="7340">
      <pivotArea dataOnly="0" labelOnly="1" outline="0" fieldPosition="0">
        <references count="3">
          <reference field="0" count="1" selected="0">
            <x v="167"/>
          </reference>
          <reference field="2" count="1" selected="0">
            <x v="47"/>
          </reference>
          <reference field="3" count="1">
            <x v="33"/>
          </reference>
        </references>
      </pivotArea>
    </format>
    <format dxfId="7339">
      <pivotArea dataOnly="0" labelOnly="1" outline="0" fieldPosition="0">
        <references count="3">
          <reference field="0" count="1" selected="0">
            <x v="270"/>
          </reference>
          <reference field="2" count="1" selected="0">
            <x v="4"/>
          </reference>
          <reference field="3" count="1">
            <x v="11"/>
          </reference>
        </references>
      </pivotArea>
    </format>
    <format dxfId="7338">
      <pivotArea dataOnly="0" labelOnly="1" outline="0" fieldPosition="0">
        <references count="3">
          <reference field="0" count="1" selected="0">
            <x v="162"/>
          </reference>
          <reference field="2" count="1" selected="0">
            <x v="2"/>
          </reference>
          <reference field="3" count="1">
            <x v="35"/>
          </reference>
        </references>
      </pivotArea>
    </format>
    <format dxfId="7337">
      <pivotArea dataOnly="0" labelOnly="1" outline="0" fieldPosition="0">
        <references count="3">
          <reference field="0" count="1" selected="0">
            <x v="153"/>
          </reference>
          <reference field="2" count="1" selected="0">
            <x v="1"/>
          </reference>
          <reference field="3" count="1">
            <x v="25"/>
          </reference>
        </references>
      </pivotArea>
    </format>
    <format dxfId="7336">
      <pivotArea dataOnly="0" labelOnly="1" outline="0" fieldPosition="0">
        <references count="3">
          <reference field="0" count="1" selected="0">
            <x v="156"/>
          </reference>
          <reference field="2" count="1" selected="0">
            <x v="0"/>
          </reference>
          <reference field="3" count="1">
            <x v="6"/>
          </reference>
        </references>
      </pivotArea>
    </format>
    <format dxfId="7335">
      <pivotArea dataOnly="0" labelOnly="1" outline="0" fieldPosition="0">
        <references count="3">
          <reference field="0" count="1" selected="0">
            <x v="283"/>
          </reference>
          <reference field="2" count="1" selected="0">
            <x v="39"/>
          </reference>
          <reference field="3" count="1">
            <x v="31"/>
          </reference>
        </references>
      </pivotArea>
    </format>
    <format dxfId="7334">
      <pivotArea dataOnly="0" labelOnly="1" outline="0" fieldPosition="0">
        <references count="3">
          <reference field="0" count="1" selected="0">
            <x v="79"/>
          </reference>
          <reference field="2" count="1" selected="0">
            <x v="34"/>
          </reference>
          <reference field="3" count="1">
            <x v="37"/>
          </reference>
        </references>
      </pivotArea>
    </format>
    <format dxfId="7333">
      <pivotArea dataOnly="0" labelOnly="1" outline="0" fieldPosition="0">
        <references count="3">
          <reference field="0" count="1" selected="0">
            <x v="429"/>
          </reference>
          <reference field="2" count="1" selected="0">
            <x v="2"/>
          </reference>
          <reference field="3" count="1">
            <x v="44"/>
          </reference>
        </references>
      </pivotArea>
    </format>
    <format dxfId="7332">
      <pivotArea dataOnly="0" labelOnly="1" outline="0" fieldPosition="0">
        <references count="3">
          <reference field="0" count="1" selected="0">
            <x v="396"/>
          </reference>
          <reference field="2" count="1" selected="0">
            <x v="29"/>
          </reference>
          <reference field="3" count="1">
            <x v="46"/>
          </reference>
        </references>
      </pivotArea>
    </format>
    <format dxfId="7331">
      <pivotArea dataOnly="0" labelOnly="1" outline="0" fieldPosition="0">
        <references count="3">
          <reference field="0" count="1" selected="0">
            <x v="527"/>
          </reference>
          <reference field="2" count="1" selected="0">
            <x v="43"/>
          </reference>
          <reference field="3" count="1">
            <x v="34"/>
          </reference>
        </references>
      </pivotArea>
    </format>
    <format dxfId="7330">
      <pivotArea dataOnly="0" labelOnly="1" outline="0" fieldPosition="0">
        <references count="3">
          <reference field="0" count="1" selected="0">
            <x v="601"/>
          </reference>
          <reference field="2" count="1" selected="0">
            <x v="30"/>
          </reference>
          <reference field="3" count="1">
            <x v="13"/>
          </reference>
        </references>
      </pivotArea>
    </format>
    <format dxfId="7329">
      <pivotArea dataOnly="0" labelOnly="1" outline="0" fieldPosition="0">
        <references count="3">
          <reference field="0" count="1" selected="0">
            <x v="210"/>
          </reference>
          <reference field="2" count="1" selected="0">
            <x v="14"/>
          </reference>
          <reference field="3" count="1">
            <x v="33"/>
          </reference>
        </references>
      </pivotArea>
    </format>
    <format dxfId="7328">
      <pivotArea dataOnly="0" labelOnly="1" outline="0" fieldPosition="0">
        <references count="3">
          <reference field="0" count="1" selected="0">
            <x v="158"/>
          </reference>
          <reference field="2" count="1" selected="0">
            <x v="49"/>
          </reference>
          <reference field="3" count="1">
            <x v="37"/>
          </reference>
        </references>
      </pivotArea>
    </format>
    <format dxfId="7327">
      <pivotArea dataOnly="0" labelOnly="1" outline="0" axis="axisValues" fieldPosition="0"/>
    </format>
  </formats>
  <pivotHierarchies count="40">
    <pivotHierarchy multipleItemSelectionAllowed="1" dragToData="1">
      <members count="1" level="1">
        <member name="[TDepartment].[Department].&amp;[Financ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umulative Hours"/>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2"/>
    <rowHierarchyUsage hierarchyUsage="13"/>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ing_Dashboard.xlsx!TTrainingSource">
        <x15:activeTabTopLevelEntity name="[TTrainingSour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1C3AF8-B5D8-43D3-81DA-A6A13308F613}" name="PTSatiscfaction" cacheId="17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Training Provider">
  <location ref="H36:I44"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i>
    <i>
      <x v="6"/>
    </i>
    <i>
      <x v="3"/>
    </i>
    <i>
      <x v="4"/>
    </i>
    <i>
      <x v="2"/>
    </i>
    <i>
      <x v="5"/>
    </i>
    <i t="grand">
      <x/>
    </i>
  </rowItems>
  <colItems count="1">
    <i/>
  </colItems>
  <dataFields count="1">
    <dataField name="Satisfaction_Score" fld="1" subtotal="average" baseField="0" baseItem="4" numFmtId="165"/>
  </dataFields>
  <chartFormats count="2">
    <chartFormat chart="0"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40">
    <pivotHierarchy multipleItemSelectionAllowed="1" dragToData="1">
      <members count="1" level="1">
        <member name="[TDepartment].[Department].&amp;[Financ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tisfaction_Score2"/>
    <pivotHierarchy dragToData="1" caption="Satisfaction_Score"/>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ing_Dashboard.xlsx!TTrainingSource">
        <x15:activeTabTopLevelEntity name="[TTrainingSour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610EE1-2E41-47C2-9546-CB2936461F5F}" name="PThourPerDepartement" cacheId="16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Department">
  <location ref="H18:I30" firstHeaderRow="1" firstDataRow="1" firstDataCol="1"/>
  <pivotFields count="3">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2">
    <i>
      <x v="8"/>
    </i>
    <i>
      <x v="3"/>
    </i>
    <i>
      <x v="6"/>
    </i>
    <i>
      <x v="10"/>
    </i>
    <i>
      <x v="1"/>
    </i>
    <i>
      <x v="5"/>
    </i>
    <i>
      <x v="4"/>
    </i>
    <i>
      <x v="9"/>
    </i>
    <i>
      <x v="2"/>
    </i>
    <i>
      <x v="7"/>
    </i>
    <i>
      <x/>
    </i>
    <i t="grand">
      <x/>
    </i>
  </rowItems>
  <colItems count="1">
    <i/>
  </colItems>
  <dataFields count="1">
    <dataField name="Cumulative Hour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0">
    <pivotHierarchy multipleItemSelectionAllowed="1" dragToData="1">
      <members count="1" level="1">
        <member name="[TDepartment].[Department].&amp;[Financ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umulative Hou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ing_Dashboard.xlsx!TTrainingSource">
        <x15:activeTabTopLevelEntity name="[TTrainingSource]"/>
        <x15:activeTabTopLevelEntity name="[TDepartment].[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D799BA-D9C7-49F8-833B-98E8BB0DFAF7}" name="PTHourperStatus" cacheId="16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Status">
  <location ref="P77:Q81" firstHeaderRow="1" firstDataRow="1" firstDataCol="1"/>
  <pivotFields count="3">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Hours" fld="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40">
    <pivotHierarchy multipleItemSelectionAllowed="1" dragToData="1">
      <members count="1" level="1">
        <member name="[TDepartment].[Department].&amp;[Financ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Hou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HrList]"/>
        <x15:activeTabTopLevelEntity name="[TTrainingSour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AF464A-FC7A-4066-9093-6877191AF95B}" name="PTReportPerEmployee" cacheId="158" applyNumberFormats="0" applyBorderFormats="0" applyFontFormats="0" applyPatternFormats="0" applyAlignmentFormats="0" applyWidthHeightFormats="1" dataCaption="Values" updatedVersion="8" minRefreshableVersion="5" showDrill="0" useAutoFormatting="1" subtotalHiddenItems="1" itemPrintTitles="1" createdVersion="8" indent="0" compact="0" compactData="0" multipleFieldFilters="0" rowHeaderCaption="Emploree ID">
  <location ref="B18:E626" firstHeaderRow="1" firstDataRow="1" firstDataCol="3"/>
  <pivotFields count="5">
    <pivotField axis="axisRow" compact="0" allDrilled="1" outline="0" subtotalTop="0" showAll="0" sortType="descending" defaultSubtotal="0" defaultAttributeDrillState="1">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s>
      <autoSortScope>
        <pivotArea dataOnly="0" outline="0" fieldPosition="0">
          <references count="1">
            <reference field="4294967294" count="1" selected="0">
              <x v="0"/>
            </reference>
          </references>
        </pivotArea>
      </autoSortScope>
    </pivotField>
    <pivotField dataField="1" compact="0" outline="0" subtotalTop="0" showAll="0" defaultSubtotal="0"/>
    <pivotField axis="axisRow" compact="0" allDrilled="1" outline="0" subtotalTop="0" showAll="0" dataSourceSort="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 axis="axisRow" compact="0" allDrilled="1" outline="0" subtotalTop="0" showAll="0" dataSourceSort="1" defaultSubtotal="0" defaultAttributeDrillState="1">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pivotField>
    <pivotField compact="0" allDrilled="1" outline="0" subtotalTop="0" showAll="0" dataSourceSort="1" defaultSubtotal="0" defaultAttributeDrillState="1"/>
  </pivotFields>
  <rowFields count="3">
    <field x="0"/>
    <field x="2"/>
    <field x="3"/>
  </rowFields>
  <rowItems count="608">
    <i>
      <x v="136"/>
      <x v="46"/>
      <x v="36"/>
    </i>
    <i>
      <x v="40"/>
      <x v="15"/>
      <x v="19"/>
    </i>
    <i>
      <x v="199"/>
      <x v="8"/>
      <x v="35"/>
    </i>
    <i>
      <x v="344"/>
      <x v="33"/>
      <x v="37"/>
    </i>
    <i>
      <x v="364"/>
      <x v="25"/>
      <x v="47"/>
    </i>
    <i>
      <x v="565"/>
      <x v="30"/>
      <x v="4"/>
    </i>
    <i>
      <x v="285"/>
      <x v="34"/>
      <x v="6"/>
    </i>
    <i>
      <x v="298"/>
      <x v="50"/>
      <x v="39"/>
    </i>
    <i>
      <x v="287"/>
      <x v="20"/>
      <x v="23"/>
    </i>
    <i>
      <x v="550"/>
      <x v="25"/>
      <x v="1"/>
    </i>
    <i>
      <x v="350"/>
      <x v="7"/>
      <x v="47"/>
    </i>
    <i>
      <x v="48"/>
      <x v="6"/>
      <x v="29"/>
    </i>
    <i>
      <x v="84"/>
      <x v="37"/>
      <x v="9"/>
    </i>
    <i>
      <x v="536"/>
      <x v="47"/>
      <x v="16"/>
    </i>
    <i>
      <x v="423"/>
      <x v="38"/>
      <x v="21"/>
    </i>
    <i>
      <x v="397"/>
      <x v="41"/>
      <x v="28"/>
    </i>
    <i>
      <x v="8"/>
      <x v="8"/>
      <x v="7"/>
    </i>
    <i>
      <x v="104"/>
      <x v="41"/>
      <x v="14"/>
    </i>
    <i>
      <x v="300"/>
      <x v="35"/>
      <x v="23"/>
    </i>
    <i>
      <x v="392"/>
      <x v="10"/>
      <x v="38"/>
    </i>
    <i>
      <x v="247"/>
      <x v="33"/>
      <x v="10"/>
    </i>
    <i>
      <x v="36"/>
      <x v="26"/>
      <x v="25"/>
    </i>
    <i>
      <x v="78"/>
      <x v="35"/>
      <x v="37"/>
    </i>
    <i>
      <x v="368"/>
      <x v="40"/>
      <x v="34"/>
    </i>
    <i>
      <x v="425"/>
      <x v="31"/>
      <x v="5"/>
    </i>
    <i>
      <x v="116"/>
      <x v="36"/>
      <x v="1"/>
    </i>
    <i>
      <x v="559"/>
      <x v="9"/>
      <x v="21"/>
    </i>
    <i>
      <x v="567"/>
      <x v="40"/>
      <x v="39"/>
    </i>
    <i>
      <x v="208"/>
      <x v="11"/>
      <x v="37"/>
    </i>
    <i>
      <x v="157"/>
      <x v="18"/>
      <x v="17"/>
    </i>
    <i>
      <x v="406"/>
      <x v="7"/>
      <x v="31"/>
    </i>
    <i>
      <x v="373"/>
      <x v="13"/>
      <x v="8"/>
    </i>
    <i>
      <x v="405"/>
      <x v="50"/>
      <x v="38"/>
    </i>
    <i>
      <x v="146"/>
      <x v="5"/>
      <x v="46"/>
    </i>
    <i>
      <x v="568"/>
      <x v="47"/>
      <x v="14"/>
    </i>
    <i>
      <x v="275"/>
      <x v="27"/>
      <x v="3"/>
    </i>
    <i>
      <x v="142"/>
      <x v="6"/>
      <x v="7"/>
    </i>
    <i>
      <x v="80"/>
      <x v="9"/>
      <x v="38"/>
    </i>
    <i>
      <x v="209"/>
      <x v="13"/>
      <x v="14"/>
    </i>
    <i>
      <x v="7"/>
      <x v="7"/>
      <x v="6"/>
    </i>
    <i>
      <x v="289"/>
      <x v="14"/>
      <x v="33"/>
    </i>
    <i>
      <x v="511"/>
      <x v="7"/>
      <x v="7"/>
    </i>
    <i>
      <x v="1"/>
      <x v="1"/>
      <x v="1"/>
    </i>
    <i>
      <x v="457"/>
      <x v="12"/>
      <x v="49"/>
    </i>
    <i>
      <x v="381"/>
      <x v="41"/>
      <x v="21"/>
    </i>
    <i>
      <x v="502"/>
      <x v="32"/>
      <x v="17"/>
    </i>
    <i>
      <x v="524"/>
      <x v="12"/>
      <x/>
    </i>
    <i>
      <x v="581"/>
      <x v="33"/>
      <x v="37"/>
    </i>
    <i>
      <x v="217"/>
      <x v="11"/>
      <x v="25"/>
    </i>
    <i>
      <x v="443"/>
      <x v="27"/>
      <x v="39"/>
    </i>
    <i>
      <x v="504"/>
      <x v="36"/>
      <x v="4"/>
    </i>
    <i>
      <x v="591"/>
      <x v="15"/>
      <x v="31"/>
    </i>
    <i>
      <x v="605"/>
      <x v="49"/>
      <x v="36"/>
    </i>
    <i>
      <x v="76"/>
      <x v="6"/>
      <x v="19"/>
    </i>
    <i>
      <x v="62"/>
      <x v="12"/>
      <x v="26"/>
    </i>
    <i>
      <x v="590"/>
      <x v="15"/>
      <x v="27"/>
    </i>
    <i>
      <x v="314"/>
      <x v="18"/>
      <x v="3"/>
    </i>
    <i>
      <x v="191"/>
      <x v="47"/>
      <x v="10"/>
    </i>
    <i>
      <x v="96"/>
      <x v="27"/>
      <x v="42"/>
    </i>
    <i>
      <x v="39"/>
      <x v="27"/>
      <x v="27"/>
    </i>
    <i>
      <x v="491"/>
      <x v="45"/>
      <x/>
    </i>
    <i>
      <x v="372"/>
      <x v="16"/>
      <x v="35"/>
    </i>
    <i>
      <x v="93"/>
      <x v="40"/>
      <x v="41"/>
    </i>
    <i>
      <x v="14"/>
      <x v="13"/>
      <x v="10"/>
    </i>
    <i>
      <x v="253"/>
      <x v="9"/>
      <x v="8"/>
    </i>
    <i>
      <x v="177"/>
      <x/>
      <x v="36"/>
    </i>
    <i>
      <x v="187"/>
      <x v="24"/>
      <x v="6"/>
    </i>
    <i>
      <x v="427"/>
      <x v="24"/>
      <x v="12"/>
    </i>
    <i>
      <x v="374"/>
      <x v="12"/>
      <x v="20"/>
    </i>
    <i>
      <x v="507"/>
      <x v="23"/>
      <x v="37"/>
    </i>
    <i>
      <x v="455"/>
      <x v="45"/>
      <x v="48"/>
    </i>
    <i>
      <x v="101"/>
      <x v="37"/>
      <x v="36"/>
    </i>
    <i>
      <x v="266"/>
      <x v="26"/>
      <x v="23"/>
    </i>
    <i>
      <x v="52"/>
      <x v="30"/>
      <x v="27"/>
    </i>
    <i>
      <x v="106"/>
      <x v="16"/>
      <x v="42"/>
    </i>
    <i>
      <x v="497"/>
      <x v="43"/>
      <x v="46"/>
    </i>
    <i>
      <x v="108"/>
      <x v="38"/>
      <x v="12"/>
    </i>
    <i>
      <x v="89"/>
      <x v="27"/>
      <x v="23"/>
    </i>
    <i>
      <x v="579"/>
      <x v="19"/>
      <x v="24"/>
    </i>
    <i>
      <x v="339"/>
      <x v="18"/>
      <x v="3"/>
    </i>
    <i>
      <x v="400"/>
      <x v="22"/>
      <x v="22"/>
    </i>
    <i>
      <x v="597"/>
      <x v="22"/>
      <x v="13"/>
    </i>
    <i>
      <x v="421"/>
      <x v="17"/>
      <x v="17"/>
    </i>
    <i>
      <x v="482"/>
      <x v="28"/>
      <x v="38"/>
    </i>
    <i>
      <x v="34"/>
      <x v="5"/>
      <x v="4"/>
    </i>
    <i>
      <x v="213"/>
      <x v="36"/>
      <x v="36"/>
    </i>
    <i>
      <x v="242"/>
      <x v="15"/>
      <x v="8"/>
    </i>
    <i>
      <x v="301"/>
      <x v="4"/>
      <x v="48"/>
    </i>
    <i>
      <x v="117"/>
      <x v="33"/>
      <x v="42"/>
    </i>
    <i>
      <x v="37"/>
      <x v="20"/>
      <x v="26"/>
    </i>
    <i>
      <x v="31"/>
      <x v="24"/>
      <x v="22"/>
    </i>
    <i>
      <x v="580"/>
      <x v="12"/>
      <x v="35"/>
    </i>
    <i>
      <x v="542"/>
      <x v="42"/>
      <x v="9"/>
    </i>
    <i>
      <x v="528"/>
      <x v="47"/>
      <x v="46"/>
    </i>
    <i>
      <x v="382"/>
      <x v="15"/>
      <x v="30"/>
    </i>
    <i>
      <x v="569"/>
      <x v="47"/>
      <x v="3"/>
    </i>
    <i>
      <x v="317"/>
      <x v="50"/>
      <x v="11"/>
    </i>
    <i>
      <x v="356"/>
      <x v="40"/>
      <x v="21"/>
    </i>
    <i>
      <x v="503"/>
      <x v="9"/>
      <x v="22"/>
    </i>
    <i>
      <x v="269"/>
      <x v="14"/>
      <x v="46"/>
    </i>
    <i>
      <x v="563"/>
      <x v="37"/>
      <x/>
    </i>
    <i>
      <x v="490"/>
      <x v="28"/>
      <x v="18"/>
    </i>
    <i>
      <x v="272"/>
      <x v="38"/>
      <x v="49"/>
    </i>
    <i>
      <x v="284"/>
      <x v="36"/>
      <x v="46"/>
    </i>
    <i>
      <x v="124"/>
      <x v="44"/>
      <x v="41"/>
    </i>
    <i>
      <x v="582"/>
      <x v="25"/>
      <x v="6"/>
    </i>
    <i>
      <x v="531"/>
      <x v="38"/>
      <x v="13"/>
    </i>
    <i>
      <x v="558"/>
      <x v="28"/>
      <x v="44"/>
    </i>
    <i>
      <x v="495"/>
      <x v="37"/>
      <x v="39"/>
    </i>
    <i>
      <x v="335"/>
      <x v="3"/>
      <x v="40"/>
    </i>
    <i>
      <x v="588"/>
      <x v="22"/>
      <x v="27"/>
    </i>
    <i>
      <x v="508"/>
      <x v="35"/>
      <x v="30"/>
    </i>
    <i>
      <x v="367"/>
      <x v="14"/>
      <x v="16"/>
    </i>
    <i>
      <x v="255"/>
      <x v="2"/>
      <x v="4"/>
    </i>
    <i>
      <x v="185"/>
      <x v="1"/>
      <x v="40"/>
    </i>
    <i>
      <x v="219"/>
      <x v="33"/>
      <x v="6"/>
    </i>
    <i>
      <x v="238"/>
      <x v="43"/>
      <x v="8"/>
    </i>
    <i>
      <x v="9"/>
      <x v="9"/>
      <x v="8"/>
    </i>
    <i>
      <x v="144"/>
      <x v="11"/>
      <x v="45"/>
    </i>
    <i>
      <x v="148"/>
      <x v="10"/>
      <x v="1"/>
    </i>
    <i>
      <x v="363"/>
      <x v="29"/>
      <x v="33"/>
    </i>
    <i>
      <x v="414"/>
      <x v="7"/>
      <x v="17"/>
    </i>
    <i>
      <x v="45"/>
      <x v="28"/>
      <x v="21"/>
    </i>
    <i>
      <x v="58"/>
      <x v="6"/>
      <x v="26"/>
    </i>
    <i>
      <x v="192"/>
      <x v="34"/>
      <x v="31"/>
    </i>
    <i>
      <x v="343"/>
      <x v="12"/>
      <x v="17"/>
    </i>
    <i>
      <x v="369"/>
      <x v="47"/>
      <x v="47"/>
    </i>
    <i>
      <x v="379"/>
      <x v="3"/>
      <x v="28"/>
    </i>
    <i>
      <x v="449"/>
      <x v="10"/>
      <x v="3"/>
    </i>
    <i>
      <x v="305"/>
      <x v="10"/>
      <x v="22"/>
    </i>
    <i>
      <x v="470"/>
      <x v="22"/>
      <x v="23"/>
    </i>
    <i>
      <x v="415"/>
      <x v="17"/>
      <x v="7"/>
    </i>
    <i>
      <x v="328"/>
      <x v="2"/>
      <x v="38"/>
    </i>
    <i>
      <x v="176"/>
      <x v="46"/>
      <x v="43"/>
    </i>
    <i>
      <x v="99"/>
      <x/>
      <x v="19"/>
    </i>
    <i>
      <x v="235"/>
      <x v="21"/>
      <x v="16"/>
    </i>
    <i>
      <x v="282"/>
      <x v="46"/>
      <x v="4"/>
    </i>
    <i>
      <x v="240"/>
      <x v="24"/>
      <x v="32"/>
    </i>
    <i>
      <x v="286"/>
      <x v="52"/>
      <x v="17"/>
    </i>
    <i>
      <x v="230"/>
      <x v="33"/>
      <x v="15"/>
    </i>
    <i>
      <x v="292"/>
      <x v="29"/>
      <x v="17"/>
    </i>
    <i>
      <x v="299"/>
      <x v="46"/>
      <x v="2"/>
    </i>
    <i>
      <x v="197"/>
      <x v="50"/>
      <x v="4"/>
    </i>
    <i>
      <x v="514"/>
      <x v="3"/>
      <x v="17"/>
    </i>
    <i>
      <x v="338"/>
      <x v="2"/>
      <x v="31"/>
    </i>
    <i>
      <x v="159"/>
      <x v="35"/>
      <x v="42"/>
    </i>
    <i>
      <x v="134"/>
      <x v="3"/>
      <x v="31"/>
    </i>
    <i>
      <x v="42"/>
      <x v="18"/>
      <x v="15"/>
    </i>
    <i>
      <x v="593"/>
      <x v="8"/>
      <x v="35"/>
    </i>
    <i>
      <x v="447"/>
      <x v="47"/>
      <x v="17"/>
    </i>
    <i>
      <x v="595"/>
      <x v="32"/>
      <x v="44"/>
    </i>
    <i>
      <x v="529"/>
      <x v="29"/>
      <x v="32"/>
    </i>
    <i>
      <x v="458"/>
      <x v="27"/>
      <x v="48"/>
    </i>
    <i>
      <x v="341"/>
      <x v="36"/>
      <x v="27"/>
    </i>
    <i>
      <x v="545"/>
      <x v="4"/>
      <x v="13"/>
    </i>
    <i>
      <x v="308"/>
      <x v="28"/>
      <x v="20"/>
    </i>
    <i>
      <x v="23"/>
      <x v="13"/>
      <x v="18"/>
    </i>
    <i>
      <x v="227"/>
      <x v="12"/>
      <x v="49"/>
    </i>
    <i>
      <x v="290"/>
      <x v="45"/>
      <x/>
    </i>
    <i>
      <x v="296"/>
      <x v="14"/>
      <x v="11"/>
    </i>
    <i>
      <x v="109"/>
      <x v="25"/>
      <x v="7"/>
    </i>
    <i>
      <x v="125"/>
      <x v="41"/>
      <x v="45"/>
    </i>
    <i>
      <x v="263"/>
      <x v="30"/>
      <x v="30"/>
    </i>
    <i>
      <x v="194"/>
      <x v="19"/>
      <x v="11"/>
    </i>
    <i>
      <x v="329"/>
      <x v="19"/>
      <x v="39"/>
    </i>
    <i>
      <x v="596"/>
      <x v="29"/>
      <x v="38"/>
    </i>
    <i>
      <x v="340"/>
      <x v="50"/>
      <x v="20"/>
    </i>
    <i>
      <x v="333"/>
      <x v="12"/>
      <x v="16"/>
    </i>
    <i>
      <x v="452"/>
      <x v="16"/>
      <x v="17"/>
    </i>
    <i>
      <x v="451"/>
      <x v="31"/>
      <x v="24"/>
    </i>
    <i>
      <x v="544"/>
      <x v="20"/>
      <x v="21"/>
    </i>
    <i>
      <x v="583"/>
      <x v="21"/>
      <x v="45"/>
    </i>
    <i>
      <x v="532"/>
      <x v="36"/>
      <x v="28"/>
    </i>
    <i>
      <x v="420"/>
      <x v="6"/>
      <x v="25"/>
    </i>
    <i>
      <x v="444"/>
      <x v="35"/>
      <x v="1"/>
    </i>
    <i>
      <x v="462"/>
      <x v="32"/>
      <x v="14"/>
    </i>
    <i>
      <x v="409"/>
      <x v="29"/>
      <x v="5"/>
    </i>
    <i>
      <x v="564"/>
      <x v="26"/>
      <x v="34"/>
    </i>
    <i>
      <x v="383"/>
      <x v="36"/>
      <x v="13"/>
    </i>
    <i>
      <x v="472"/>
      <x v="17"/>
      <x v="11"/>
    </i>
    <i>
      <x v="10"/>
      <x v="10"/>
      <x v="9"/>
    </i>
    <i>
      <x v="276"/>
      <x v="10"/>
      <x v="37"/>
    </i>
    <i>
      <x v="243"/>
      <x v="32"/>
      <x v="38"/>
    </i>
    <i>
      <x v="175"/>
      <x v="19"/>
      <x v="9"/>
    </i>
    <i>
      <x v="70"/>
      <x v="3"/>
      <x v="32"/>
    </i>
    <i>
      <x v="2"/>
      <x v="2"/>
      <x v="2"/>
    </i>
    <i>
      <x v="241"/>
      <x v="10"/>
      <x v="38"/>
    </i>
    <i>
      <x v="113"/>
      <x v="18"/>
      <x v="13"/>
    </i>
    <i>
      <x v="64"/>
      <x v="33"/>
      <x v="16"/>
    </i>
    <i>
      <x v="207"/>
      <x v="11"/>
      <x v="14"/>
    </i>
    <i>
      <x v="215"/>
      <x v="12"/>
      <x v="25"/>
    </i>
    <i>
      <x v="114"/>
      <x v="25"/>
      <x v="28"/>
    </i>
    <i>
      <x v="387"/>
      <x v="32"/>
      <x v="5"/>
    </i>
    <i>
      <x v="347"/>
      <x v="6"/>
      <x v="2"/>
    </i>
    <i>
      <x v="437"/>
      <x v="38"/>
      <x v="36"/>
    </i>
    <i>
      <x v="598"/>
      <x/>
      <x v="6"/>
    </i>
    <i>
      <x v="63"/>
      <x v="16"/>
      <x v="18"/>
    </i>
    <i>
      <x v="233"/>
      <x v="38"/>
      <x v="18"/>
    </i>
    <i>
      <x v="352"/>
      <x v="21"/>
      <x v="4"/>
    </i>
    <i>
      <x v="422"/>
      <x v="20"/>
      <x v="43"/>
    </i>
    <i>
      <x v="376"/>
      <x v="46"/>
      <x v="33"/>
    </i>
    <i>
      <x v="402"/>
      <x v="13"/>
      <x v="32"/>
    </i>
    <i>
      <x v="436"/>
      <x v="40"/>
      <x v="25"/>
    </i>
    <i>
      <x v="438"/>
      <x v="3"/>
      <x v="9"/>
    </i>
    <i>
      <x v="513"/>
      <x v="29"/>
      <x v="29"/>
    </i>
    <i>
      <x v="304"/>
      <x v="11"/>
      <x v="32"/>
    </i>
    <i>
      <x v="348"/>
      <x v="32"/>
      <x v="39"/>
    </i>
    <i>
      <x v="398"/>
      <x v="2"/>
      <x v="38"/>
    </i>
    <i>
      <x v="594"/>
      <x v="13"/>
      <x v="38"/>
    </i>
    <i>
      <x v="355"/>
      <x v="39"/>
      <x v="4"/>
    </i>
    <i>
      <x v="500"/>
      <x v="2"/>
      <x v="20"/>
    </i>
    <i>
      <x v="346"/>
      <x v="13"/>
      <x v="28"/>
    </i>
    <i>
      <x v="493"/>
      <x v="39"/>
      <x v="1"/>
    </i>
    <i>
      <x v="131"/>
      <x v="21"/>
      <x v="10"/>
    </i>
    <i>
      <x v="260"/>
      <x v="11"/>
      <x v="36"/>
    </i>
    <i>
      <x v="254"/>
      <x v="36"/>
      <x v="40"/>
    </i>
    <i>
      <x v="184"/>
      <x/>
      <x v="15"/>
    </i>
    <i>
      <x v="200"/>
      <x v="11"/>
      <x v="47"/>
    </i>
    <i>
      <x v="22"/>
      <x v="5"/>
      <x v="1"/>
    </i>
    <i>
      <x v="123"/>
      <x v="29"/>
      <x v="23"/>
    </i>
    <i>
      <x v="212"/>
      <x v="19"/>
      <x v="10"/>
    </i>
    <i>
      <x v="548"/>
      <x v="49"/>
      <x v="13"/>
    </i>
    <i>
      <x v="459"/>
      <x v="26"/>
      <x v="7"/>
    </i>
    <i>
      <x v="226"/>
      <x v="40"/>
      <x v="45"/>
    </i>
    <i>
      <x v="97"/>
      <x v="28"/>
      <x v="21"/>
    </i>
    <i>
      <x v="98"/>
      <x v="15"/>
      <x v="39"/>
    </i>
    <i>
      <x v="323"/>
      <x v="38"/>
      <x v="39"/>
    </i>
    <i>
      <x v="478"/>
      <x v="17"/>
      <x v="42"/>
    </i>
    <i>
      <x v="307"/>
      <x v="43"/>
      <x v="3"/>
    </i>
    <i>
      <x v="416"/>
      <x v="8"/>
      <x v="51"/>
    </i>
    <i>
      <x v="481"/>
      <x v="28"/>
      <x v="1"/>
    </i>
    <i>
      <x v="327"/>
      <x v="39"/>
      <x v="27"/>
    </i>
    <i>
      <x v="603"/>
      <x v="18"/>
      <x v="29"/>
    </i>
    <i>
      <x v="546"/>
      <x v="15"/>
      <x v="49"/>
    </i>
    <i>
      <x v="324"/>
      <x v="3"/>
      <x v="42"/>
    </i>
    <i>
      <x v="450"/>
      <x v="15"/>
      <x v="36"/>
    </i>
    <i>
      <x v="557"/>
      <x v="16"/>
      <x v="8"/>
    </i>
    <i>
      <x v="312"/>
      <x v="50"/>
      <x v="35"/>
    </i>
    <i>
      <x v="574"/>
      <x v="22"/>
      <x v="3"/>
    </i>
    <i>
      <x v="519"/>
      <x v="4"/>
      <x v="19"/>
    </i>
    <i>
      <x v="446"/>
      <x v="22"/>
      <x v="5"/>
    </i>
    <i>
      <x v="419"/>
      <x v="26"/>
      <x v="19"/>
    </i>
    <i>
      <x v="600"/>
      <x v="10"/>
      <x v="19"/>
    </i>
    <i>
      <x v="474"/>
      <x v="9"/>
      <x v="18"/>
    </i>
    <i>
      <x v="380"/>
      <x v="13"/>
      <x v="27"/>
    </i>
    <i>
      <x v="310"/>
      <x/>
      <x v="9"/>
    </i>
    <i>
      <x v="38"/>
      <x v="26"/>
      <x v="3"/>
    </i>
    <i>
      <x v="95"/>
      <x v="2"/>
      <x v="19"/>
    </i>
    <i>
      <x v="174"/>
      <x v="43"/>
      <x v="15"/>
    </i>
    <i>
      <x v="193"/>
      <x v="43"/>
      <x v="10"/>
    </i>
    <i>
      <x v="166"/>
      <x v="21"/>
      <x v="5"/>
    </i>
    <i>
      <x v="41"/>
      <x/>
      <x v="26"/>
    </i>
    <i>
      <x v="126"/>
      <x v="12"/>
      <x v="27"/>
    </i>
    <i>
      <x v="252"/>
      <x v="28"/>
      <x v="15"/>
    </i>
    <i>
      <x v="267"/>
      <x v="48"/>
      <x v="48"/>
    </i>
    <i>
      <x v="6"/>
      <x v="6"/>
      <x v="5"/>
    </i>
    <i>
      <x v="110"/>
      <x v="10"/>
      <x v="3"/>
    </i>
    <i>
      <x v="163"/>
      <x v="6"/>
      <x v="27"/>
    </i>
    <i>
      <x v="18"/>
      <x v="16"/>
      <x v="15"/>
    </i>
    <i>
      <x v="288"/>
      <x v="2"/>
      <x v="6"/>
    </i>
    <i>
      <x v="55"/>
      <x v="31"/>
      <x v="21"/>
    </i>
    <i>
      <x v="74"/>
      <x v="33"/>
      <x v="35"/>
    </i>
    <i>
      <x v="246"/>
      <x v="6"/>
      <x v="25"/>
    </i>
    <i>
      <x v="155"/>
      <x v="8"/>
      <x v="13"/>
    </i>
    <i>
      <x v="120"/>
      <x v="23"/>
      <x v="44"/>
    </i>
    <i>
      <x v="236"/>
      <x v="23"/>
      <x v="10"/>
    </i>
    <i>
      <x v="188"/>
      <x v="18"/>
      <x v="29"/>
    </i>
    <i>
      <x v="441"/>
      <x v="50"/>
      <x v="15"/>
    </i>
    <i>
      <x v="426"/>
      <x v="30"/>
      <x v="33"/>
    </i>
    <i>
      <x v="499"/>
      <x v="26"/>
      <x v="15"/>
    </i>
    <i>
      <x v="403"/>
      <x v="8"/>
      <x v="39"/>
    </i>
    <i>
      <x v="303"/>
      <x v="35"/>
      <x v="40"/>
    </i>
    <i>
      <x v="234"/>
      <x v="9"/>
      <x v="33"/>
    </i>
    <i>
      <x v="448"/>
      <x v="23"/>
      <x v="49"/>
    </i>
    <i>
      <x v="442"/>
      <x v="23"/>
      <x v="34"/>
    </i>
    <i>
      <x v="530"/>
      <x v="18"/>
      <x v="7"/>
    </i>
    <i>
      <x v="342"/>
      <x v="2"/>
      <x v="18"/>
    </i>
    <i>
      <x v="501"/>
      <x v="46"/>
      <x v="8"/>
    </i>
    <i>
      <x v="541"/>
      <x v="18"/>
      <x v="13"/>
    </i>
    <i>
      <x v="412"/>
      <x v="17"/>
      <x v="31"/>
    </i>
    <i>
      <x v="586"/>
      <x v="37"/>
      <x v="48"/>
    </i>
    <i>
      <x v="469"/>
      <x v="20"/>
      <x v="26"/>
    </i>
    <i>
      <x v="604"/>
      <x v="31"/>
      <x v="21"/>
    </i>
    <i>
      <x v="489"/>
      <x v="16"/>
      <x v="45"/>
    </i>
    <i>
      <x v="498"/>
      <x v="36"/>
      <x v="19"/>
    </i>
    <i>
      <x v="4"/>
      <x v="4"/>
      <x v="3"/>
    </i>
    <i>
      <x v="94"/>
      <x v="41"/>
      <x v="23"/>
    </i>
    <i>
      <x v="161"/>
      <x v="35"/>
      <x v="47"/>
    </i>
    <i>
      <x v="172"/>
      <x v="33"/>
      <x v="6"/>
    </i>
    <i>
      <x v="220"/>
      <x v="8"/>
      <x v="4"/>
    </i>
    <i>
      <x v="173"/>
      <x v="4"/>
      <x v="3"/>
    </i>
    <i>
      <x v="271"/>
      <x v="1"/>
      <x v="18"/>
    </i>
    <i>
      <x v="186"/>
      <x v="21"/>
      <x v="46"/>
    </i>
    <i>
      <x v="256"/>
      <x v="15"/>
      <x v="8"/>
    </i>
    <i>
      <x v="203"/>
      <x v="37"/>
      <x v="14"/>
    </i>
    <i>
      <x v="264"/>
      <x v="36"/>
      <x v="23"/>
    </i>
    <i>
      <x v="484"/>
      <x v="20"/>
      <x v="46"/>
    </i>
    <i>
      <x v="537"/>
      <x v="11"/>
      <x v="18"/>
    </i>
    <i>
      <x v="82"/>
      <x v="20"/>
      <x v="9"/>
    </i>
    <i>
      <x v="198"/>
      <x v="8"/>
      <x v="34"/>
    </i>
    <i>
      <x v="463"/>
      <x v="5"/>
      <x v="47"/>
    </i>
    <i>
      <x v="385"/>
      <x v="31"/>
      <x v="8"/>
    </i>
    <i>
      <x v="492"/>
      <x v="36"/>
      <x/>
    </i>
    <i>
      <x v="494"/>
      <x v="2"/>
      <x v="15"/>
    </i>
    <i>
      <x v="549"/>
      <x v="49"/>
      <x v="8"/>
    </i>
    <i>
      <x v="464"/>
      <x v="37"/>
      <x v="28"/>
    </i>
    <i>
      <x v="393"/>
      <x v="50"/>
      <x v="17"/>
    </i>
    <i>
      <x v="359"/>
      <x v="10"/>
      <x v="3"/>
    </i>
    <i>
      <x v="428"/>
      <x v="1"/>
      <x v="35"/>
    </i>
    <i>
      <x v="471"/>
      <x v="43"/>
      <x v="49"/>
    </i>
    <i>
      <x v="538"/>
      <x v="48"/>
      <x v="7"/>
    </i>
    <i>
      <x v="505"/>
      <x v="16"/>
      <x v="18"/>
    </i>
    <i>
      <x v="432"/>
      <x v="49"/>
      <x v="42"/>
    </i>
    <i>
      <x v="477"/>
      <x v="35"/>
      <x v="48"/>
    </i>
    <i>
      <x v="554"/>
      <x v="4"/>
      <x v="36"/>
    </i>
    <i>
      <x v="322"/>
      <x v="47"/>
      <x v="7"/>
    </i>
    <i>
      <x v="388"/>
      <x v="37"/>
      <x v="1"/>
    </i>
    <i>
      <x v="320"/>
      <x v="6"/>
      <x v="21"/>
    </i>
    <i>
      <x v="485"/>
      <x v="17"/>
      <x v="7"/>
    </i>
    <i>
      <x v="377"/>
      <x v="22"/>
      <x v="22"/>
    </i>
    <i>
      <x v="354"/>
      <x v="14"/>
      <x v="33"/>
    </i>
    <i>
      <x v="522"/>
      <x v="26"/>
      <x v="16"/>
    </i>
    <i>
      <x v="139"/>
      <x v="9"/>
      <x v="19"/>
    </i>
    <i>
      <x v="135"/>
      <x v="33"/>
      <x v="43"/>
    </i>
    <i>
      <x v="59"/>
      <x v="20"/>
      <x v="15"/>
    </i>
    <i>
      <x v="47"/>
      <x v="3"/>
      <x v="2"/>
    </i>
    <i>
      <x v="13"/>
      <x v="12"/>
      <x v="12"/>
    </i>
    <i>
      <x v="189"/>
      <x v="39"/>
      <x v="40"/>
    </i>
    <i>
      <x v="258"/>
      <x v="1"/>
      <x v="25"/>
    </i>
    <i>
      <x v="265"/>
      <x v="9"/>
      <x v="4"/>
    </i>
    <i>
      <x v="204"/>
      <x v="32"/>
      <x v="15"/>
    </i>
    <i>
      <x v="115"/>
      <x v="37"/>
      <x v="31"/>
    </i>
    <i>
      <x v="248"/>
      <x v="33"/>
      <x v="18"/>
    </i>
    <i>
      <x v="281"/>
      <x v="24"/>
      <x v="31"/>
    </i>
    <i>
      <x v="137"/>
      <x v="47"/>
      <x v="22"/>
    </i>
    <i>
      <x/>
      <x/>
      <x/>
    </i>
    <i>
      <x v="91"/>
      <x v="27"/>
      <x v="31"/>
    </i>
    <i>
      <x v="179"/>
      <x v="29"/>
      <x v="48"/>
    </i>
    <i>
      <x v="181"/>
      <x v="8"/>
      <x v="27"/>
    </i>
    <i>
      <x v="294"/>
      <x v="24"/>
      <x v="13"/>
    </i>
    <i>
      <x v="228"/>
      <x v="38"/>
      <x v="27"/>
    </i>
    <i>
      <x v="147"/>
      <x v="32"/>
      <x v="9"/>
    </i>
    <i>
      <x v="29"/>
      <x v="23"/>
      <x v="20"/>
    </i>
    <i>
      <x v="67"/>
      <x v="5"/>
      <x v="12"/>
    </i>
    <i>
      <x v="127"/>
      <x v="32"/>
      <x v="26"/>
    </i>
    <i>
      <x v="68"/>
      <x v="34"/>
      <x v="4"/>
    </i>
    <i>
      <x v="107"/>
      <x v="10"/>
      <x v="23"/>
    </i>
    <i>
      <x v="32"/>
      <x v="23"/>
      <x v="23"/>
    </i>
    <i>
      <x v="130"/>
      <x v="7"/>
      <x v="26"/>
    </i>
    <i>
      <x v="165"/>
      <x v="31"/>
      <x v="9"/>
    </i>
    <i>
      <x v="25"/>
      <x v="19"/>
      <x v="19"/>
    </i>
    <i>
      <x v="576"/>
      <x v="39"/>
      <x v="43"/>
    </i>
    <i>
      <x v="606"/>
      <x v="10"/>
      <x v="38"/>
    </i>
    <i>
      <x v="439"/>
      <x v="46"/>
      <x v="47"/>
    </i>
    <i>
      <x v="520"/>
      <x v="43"/>
      <x v="7"/>
    </i>
    <i>
      <x v="88"/>
      <x v="38"/>
      <x v="40"/>
    </i>
    <i>
      <x v="231"/>
      <x v="22"/>
      <x v="24"/>
    </i>
    <i>
      <x v="250"/>
      <x v="34"/>
      <x/>
    </i>
    <i>
      <x v="268"/>
      <x v="37"/>
      <x v="34"/>
    </i>
    <i>
      <x v="19"/>
      <x v="17"/>
      <x v="16"/>
    </i>
    <i>
      <x v="313"/>
      <x v="14"/>
      <x v="10"/>
    </i>
    <i>
      <x v="533"/>
      <x v="27"/>
      <x v="46"/>
    </i>
    <i>
      <x v="386"/>
      <x v="37"/>
      <x v="30"/>
    </i>
    <i>
      <x v="411"/>
      <x v="12"/>
      <x v="23"/>
    </i>
    <i>
      <x v="325"/>
      <x v="6"/>
      <x v="40"/>
    </i>
    <i>
      <x v="525"/>
      <x v="28"/>
      <x v="12"/>
    </i>
    <i>
      <x v="562"/>
      <x v="28"/>
      <x v="13"/>
    </i>
    <i>
      <x v="330"/>
      <x v="32"/>
      <x v="43"/>
    </i>
    <i>
      <x v="399"/>
      <x/>
      <x v="47"/>
    </i>
    <i>
      <x v="556"/>
      <x v="29"/>
      <x v="42"/>
    </i>
    <i>
      <x v="112"/>
      <x v="43"/>
      <x v="31"/>
    </i>
    <i>
      <x v="60"/>
      <x v="20"/>
      <x v="29"/>
    </i>
    <i>
      <x v="259"/>
      <x v="26"/>
      <x v="16"/>
    </i>
    <i>
      <x v="26"/>
      <x v="20"/>
      <x v="12"/>
    </i>
    <i>
      <x v="72"/>
      <x v="8"/>
      <x v="28"/>
    </i>
    <i>
      <x v="129"/>
      <x v="4"/>
      <x v="21"/>
    </i>
    <i>
      <x v="43"/>
      <x v="18"/>
      <x v="28"/>
    </i>
    <i>
      <x v="69"/>
      <x v="14"/>
      <x/>
    </i>
    <i>
      <x v="132"/>
      <x v="45"/>
      <x v="10"/>
    </i>
    <i>
      <x v="483"/>
      <x v="4"/>
      <x v="36"/>
    </i>
    <i>
      <x v="390"/>
      <x v="42"/>
      <x v="13"/>
    </i>
    <i>
      <x v="539"/>
      <x v="43"/>
      <x v="21"/>
    </i>
    <i>
      <x v="424"/>
      <x v="40"/>
      <x v="46"/>
    </i>
    <i>
      <x v="316"/>
      <x v="32"/>
      <x v="35"/>
    </i>
    <i>
      <x v="466"/>
      <x v="18"/>
      <x v="47"/>
    </i>
    <i>
      <x v="75"/>
      <x v="9"/>
      <x v="24"/>
    </i>
    <i>
      <x v="293"/>
      <x v="19"/>
      <x v="24"/>
    </i>
    <i>
      <x v="244"/>
      <x v="30"/>
      <x v="3"/>
    </i>
    <i>
      <x v="77"/>
      <x v="11"/>
      <x v="36"/>
    </i>
    <i>
      <x v="239"/>
      <x v="3"/>
      <x v="17"/>
    </i>
    <i>
      <x v="572"/>
      <x v="29"/>
      <x v="7"/>
    </i>
    <i>
      <x v="351"/>
      <x/>
      <x v="7"/>
    </i>
    <i>
      <x v="319"/>
      <x v="30"/>
      <x v="23"/>
    </i>
    <i>
      <x v="487"/>
      <x v="20"/>
      <x v="42"/>
    </i>
    <i>
      <x v="512"/>
      <x v="14"/>
      <x v="13"/>
    </i>
    <i>
      <x v="516"/>
      <x v="39"/>
      <x v="23"/>
    </i>
    <i>
      <x v="435"/>
      <x v="36"/>
      <x v="30"/>
    </i>
    <i>
      <x v="585"/>
      <x v="37"/>
      <x v="19"/>
    </i>
    <i>
      <x v="521"/>
      <x v="43"/>
      <x v="14"/>
    </i>
    <i>
      <x v="394"/>
      <x v="42"/>
      <x v="27"/>
    </i>
    <i>
      <x v="326"/>
      <x v="9"/>
      <x v="41"/>
    </i>
    <i>
      <x v="315"/>
      <x v="14"/>
      <x v="21"/>
    </i>
    <i>
      <x v="602"/>
      <x v="40"/>
      <x v="9"/>
    </i>
    <i>
      <x v="365"/>
      <x v="38"/>
      <x v="13"/>
    </i>
    <i>
      <x v="353"/>
      <x v="40"/>
      <x v="42"/>
    </i>
    <i>
      <x v="332"/>
      <x v="12"/>
      <x v="4"/>
    </i>
    <i>
      <x v="543"/>
      <x v="34"/>
      <x v="29"/>
    </i>
    <i>
      <x v="468"/>
      <x v="19"/>
      <x v="9"/>
    </i>
    <i>
      <x v="431"/>
      <x v="13"/>
      <x v="13"/>
    </i>
    <i>
      <x v="570"/>
      <x v="21"/>
      <x v="27"/>
    </i>
    <i>
      <x v="433"/>
      <x v="41"/>
      <x v="2"/>
    </i>
    <i>
      <x v="517"/>
      <x v="5"/>
      <x v="3"/>
    </i>
    <i>
      <x v="170"/>
      <x v="39"/>
      <x v="30"/>
    </i>
    <i>
      <x v="206"/>
      <x v="29"/>
      <x v="39"/>
    </i>
    <i>
      <x v="11"/>
      <x v="6"/>
      <x v="10"/>
    </i>
    <i>
      <x v="56"/>
      <x v="17"/>
      <x v="6"/>
    </i>
    <i>
      <x v="121"/>
      <x v="17"/>
      <x v="24"/>
    </i>
    <i>
      <x v="273"/>
      <x v="23"/>
      <x v="10"/>
    </i>
    <i>
      <x v="183"/>
      <x v="41"/>
      <x v="17"/>
    </i>
    <i>
      <x v="57"/>
      <x v="32"/>
      <x v="30"/>
    </i>
    <i>
      <x v="205"/>
      <x v="6"/>
      <x v="40"/>
    </i>
    <i>
      <x v="278"/>
      <x v="38"/>
      <x v="10"/>
    </i>
    <i>
      <x v="27"/>
      <x v="21"/>
      <x v="20"/>
    </i>
    <i>
      <x v="171"/>
      <x v="5"/>
      <x v="45"/>
    </i>
    <i>
      <x v="295"/>
      <x v="17"/>
      <x v="24"/>
    </i>
    <i>
      <x v="141"/>
      <x v="16"/>
      <x v="46"/>
    </i>
    <i>
      <x v="251"/>
      <x v="20"/>
      <x v="6"/>
    </i>
    <i>
      <x v="225"/>
      <x v="27"/>
      <x v="3"/>
    </i>
    <i>
      <x v="128"/>
      <x v="29"/>
      <x v="39"/>
    </i>
    <i>
      <x v="401"/>
      <x v="34"/>
      <x v="26"/>
    </i>
    <i>
      <x v="573"/>
      <x v="23"/>
      <x v="12"/>
    </i>
    <i>
      <x v="318"/>
      <x v="26"/>
      <x v="19"/>
    </i>
    <i>
      <x v="540"/>
      <x v="2"/>
      <x v="6"/>
    </i>
    <i>
      <x v="375"/>
      <x v="24"/>
      <x v="40"/>
    </i>
    <i>
      <x v="349"/>
      <x v="41"/>
      <x v="8"/>
    </i>
    <i>
      <x v="361"/>
      <x v="43"/>
      <x v="11"/>
    </i>
    <i>
      <x v="413"/>
      <x v="15"/>
      <x v="2"/>
    </i>
    <i>
      <x v="475"/>
      <x v="32"/>
      <x v="9"/>
    </i>
    <i>
      <x v="553"/>
      <x v="46"/>
      <x v="27"/>
    </i>
    <i>
      <x v="461"/>
      <x v="11"/>
      <x v="43"/>
    </i>
    <i>
      <x v="473"/>
      <x v="24"/>
      <x v="31"/>
    </i>
    <i>
      <x v="526"/>
      <x v="27"/>
      <x v="18"/>
    </i>
    <i>
      <x v="506"/>
      <x v="41"/>
      <x v="32"/>
    </i>
    <i>
      <x v="384"/>
      <x v="33"/>
      <x v="43"/>
    </i>
    <i>
      <x v="279"/>
      <x v="10"/>
      <x v="27"/>
    </i>
    <i>
      <x v="119"/>
      <x v="24"/>
      <x v="43"/>
    </i>
    <i>
      <x v="229"/>
      <x v="48"/>
      <x v="49"/>
    </i>
    <i>
      <x v="182"/>
      <x v="9"/>
      <x v="1"/>
    </i>
    <i>
      <x v="257"/>
      <x v="25"/>
      <x v="17"/>
    </i>
    <i>
      <x v="65"/>
      <x v="3"/>
      <x v="21"/>
    </i>
    <i>
      <x v="180"/>
      <x v="7"/>
      <x v="39"/>
    </i>
    <i>
      <x v="224"/>
      <x v="33"/>
      <x/>
    </i>
    <i>
      <x v="111"/>
      <x v="17"/>
      <x v="1"/>
    </i>
    <i>
      <x v="201"/>
      <x v="38"/>
      <x v="34"/>
    </i>
    <i>
      <x v="53"/>
      <x v="13"/>
      <x v="1"/>
    </i>
    <i>
      <x v="12"/>
      <x v="11"/>
      <x v="11"/>
    </i>
    <i>
      <x v="73"/>
      <x v="10"/>
      <x v="34"/>
    </i>
    <i>
      <x v="277"/>
      <x v="21"/>
      <x v="1"/>
    </i>
    <i>
      <x v="196"/>
      <x v="1"/>
      <x v="49"/>
    </i>
    <i>
      <x v="486"/>
      <x v="34"/>
      <x v="35"/>
    </i>
    <i>
      <x v="418"/>
      <x v="34"/>
      <x v="16"/>
    </i>
    <i>
      <x v="90"/>
      <x v="13"/>
      <x v="16"/>
    </i>
    <i>
      <x v="46"/>
      <x v="29"/>
      <x v="22"/>
    </i>
    <i>
      <x v="454"/>
      <x v="6"/>
      <x v="15"/>
    </i>
    <i>
      <x v="391"/>
      <x v="12"/>
      <x v="43"/>
    </i>
    <i>
      <x v="378"/>
      <x v="34"/>
      <x v="2"/>
    </i>
    <i>
      <x v="445"/>
      <x v="22"/>
      <x v="46"/>
    </i>
    <i>
      <x v="370"/>
      <x v="9"/>
      <x v="22"/>
    </i>
    <i>
      <x v="453"/>
      <x v="24"/>
      <x v="38"/>
    </i>
    <i>
      <x v="552"/>
      <x v="2"/>
      <x v="35"/>
    </i>
    <i>
      <x v="334"/>
      <x v="15"/>
      <x v="36"/>
    </i>
    <i>
      <x v="440"/>
      <x v="50"/>
      <x v="30"/>
    </i>
    <i>
      <x v="456"/>
      <x v="42"/>
      <x v="28"/>
    </i>
    <i>
      <x v="547"/>
      <x v="27"/>
      <x v="41"/>
    </i>
    <i>
      <x v="417"/>
      <x v="22"/>
      <x v="10"/>
    </i>
    <i>
      <x v="311"/>
      <x v="31"/>
      <x/>
    </i>
    <i>
      <x v="509"/>
      <x v="30"/>
      <x v="28"/>
    </i>
    <i>
      <x v="566"/>
      <x v="10"/>
      <x v="48"/>
    </i>
    <i>
      <x v="85"/>
      <x v="37"/>
      <x v="38"/>
    </i>
    <i>
      <x v="83"/>
      <x v="37"/>
      <x v="33"/>
    </i>
    <i>
      <x v="169"/>
      <x v="47"/>
      <x v="40"/>
    </i>
    <i>
      <x v="102"/>
      <x v="23"/>
      <x v="7"/>
    </i>
    <i>
      <x v="105"/>
      <x v="41"/>
      <x v="7"/>
    </i>
    <i>
      <x v="168"/>
      <x v="34"/>
      <x v="8"/>
    </i>
    <i>
      <x v="66"/>
      <x v="27"/>
      <x v="14"/>
    </i>
    <i>
      <x v="232"/>
      <x v="10"/>
      <x v="44"/>
    </i>
    <i>
      <x v="54"/>
      <x v="30"/>
      <x v="26"/>
    </i>
    <i>
      <x v="280"/>
      <x v="41"/>
      <x v="2"/>
    </i>
    <i>
      <x v="50"/>
      <x v="2"/>
      <x v="18"/>
    </i>
    <i>
      <x v="164"/>
      <x v="5"/>
      <x v="14"/>
    </i>
    <i>
      <x v="87"/>
      <x v="39"/>
      <x v="39"/>
    </i>
    <i>
      <x v="16"/>
      <x v="11"/>
      <x v="14"/>
    </i>
    <i>
      <x v="51"/>
      <x v="3"/>
      <x v="1"/>
    </i>
    <i>
      <x v="149"/>
      <x v="48"/>
      <x v="21"/>
    </i>
    <i>
      <x v="589"/>
      <x v="1"/>
      <x v="26"/>
    </i>
    <i>
      <x v="160"/>
      <x v="28"/>
      <x v="1"/>
    </i>
    <i>
      <x v="178"/>
      <x v="19"/>
      <x v="41"/>
    </i>
    <i>
      <x v="28"/>
      <x v="22"/>
      <x v="21"/>
    </i>
    <i>
      <x v="151"/>
      <x v="41"/>
      <x v="41"/>
    </i>
    <i>
      <x v="534"/>
      <x v="7"/>
      <x v="6"/>
    </i>
    <i>
      <x v="592"/>
      <x v="38"/>
      <x v="11"/>
    </i>
    <i>
      <x v="366"/>
      <x v="5"/>
      <x v="2"/>
    </i>
    <i>
      <x v="496"/>
      <x v="13"/>
      <x v="31"/>
    </i>
    <i>
      <x v="577"/>
      <x v="16"/>
      <x v="20"/>
    </i>
    <i>
      <x v="407"/>
      <x v="26"/>
      <x v="19"/>
    </i>
    <i>
      <x v="309"/>
      <x v="49"/>
      <x v="42"/>
    </i>
    <i>
      <x v="410"/>
      <x v="4"/>
      <x v="16"/>
    </i>
    <i>
      <x v="24"/>
      <x v="18"/>
      <x v="11"/>
    </i>
    <i>
      <x v="81"/>
      <x v="36"/>
      <x v="11"/>
    </i>
    <i>
      <x v="143"/>
      <x v="45"/>
      <x v="26"/>
    </i>
    <i>
      <x v="35"/>
      <x v="5"/>
      <x v="15"/>
    </i>
    <i>
      <x v="150"/>
      <x v="40"/>
      <x v="11"/>
    </i>
    <i>
      <x v="15"/>
      <x v="14"/>
      <x v="13"/>
    </i>
    <i>
      <x v="44"/>
      <x v="17"/>
      <x v="12"/>
    </i>
    <i>
      <x v="61"/>
      <x v="27"/>
      <x v="31"/>
    </i>
    <i>
      <x v="30"/>
      <x v="16"/>
      <x v="17"/>
    </i>
    <i>
      <x v="211"/>
      <x v="32"/>
      <x v="23"/>
    </i>
    <i>
      <x v="100"/>
      <x v="42"/>
      <x v="14"/>
    </i>
    <i>
      <x v="216"/>
      <x v="51"/>
      <x v="9"/>
    </i>
    <i>
      <x v="237"/>
      <x v="26"/>
      <x v="45"/>
    </i>
    <i>
      <x v="86"/>
      <x v="38"/>
      <x v="29"/>
    </i>
    <i>
      <x v="195"/>
      <x v="29"/>
      <x v="37"/>
    </i>
    <i>
      <x v="274"/>
      <x v="40"/>
      <x v="48"/>
    </i>
    <i>
      <x v="245"/>
      <x v="2"/>
      <x v="20"/>
    </i>
    <i>
      <x v="223"/>
      <x v="48"/>
      <x v="12"/>
    </i>
    <i>
      <x v="5"/>
      <x v="5"/>
      <x v="4"/>
    </i>
    <i>
      <x v="336"/>
      <x v="25"/>
      <x v="11"/>
    </i>
    <i>
      <x v="3"/>
      <x v="3"/>
      <x/>
    </i>
    <i>
      <x v="190"/>
      <x v="34"/>
      <x v="2"/>
    </i>
    <i>
      <x v="262"/>
      <x v="42"/>
      <x v="41"/>
    </i>
    <i>
      <x v="306"/>
      <x v="17"/>
      <x v="28"/>
    </i>
    <i>
      <x v="345"/>
      <x v="37"/>
      <x v="46"/>
    </i>
    <i>
      <x v="362"/>
      <x v="9"/>
      <x v="20"/>
    </i>
    <i>
      <x v="408"/>
      <x v="13"/>
      <x v="6"/>
    </i>
    <i>
      <x v="357"/>
      <x v="45"/>
      <x v="32"/>
    </i>
    <i>
      <x v="404"/>
      <x v="6"/>
      <x v="3"/>
    </i>
    <i>
      <x v="479"/>
      <x v="10"/>
      <x v="7"/>
    </i>
    <i>
      <x v="331"/>
      <x v="34"/>
      <x v="25"/>
    </i>
    <i>
      <x v="515"/>
      <x v="3"/>
      <x v="40"/>
    </i>
    <i>
      <x v="360"/>
      <x v="38"/>
      <x v="12"/>
    </i>
    <i>
      <x v="578"/>
      <x v="37"/>
      <x v="8"/>
    </i>
    <i>
      <x v="561"/>
      <x v="23"/>
      <x v="49"/>
    </i>
    <i>
      <x v="476"/>
      <x v="4"/>
      <x v="27"/>
    </i>
    <i>
      <x v="460"/>
      <x v="11"/>
      <x v="33"/>
    </i>
    <i>
      <x v="571"/>
      <x v="50"/>
      <x v="9"/>
    </i>
    <i>
      <x v="321"/>
      <x v="13"/>
      <x v="42"/>
    </i>
    <i>
      <x v="523"/>
      <x v="50"/>
      <x v="39"/>
    </i>
    <i>
      <x v="20"/>
      <x v="3"/>
      <x v="14"/>
    </i>
    <i>
      <x v="33"/>
      <x v="25"/>
      <x v="24"/>
    </i>
    <i>
      <x v="49"/>
      <x v="23"/>
      <x v="13"/>
    </i>
    <i>
      <x v="145"/>
      <x v="5"/>
      <x v="45"/>
    </i>
    <i>
      <x v="154"/>
      <x v="8"/>
      <x v="29"/>
    </i>
    <i>
      <x v="71"/>
      <x v="10"/>
      <x v="33"/>
    </i>
    <i>
      <x v="291"/>
      <x v="3"/>
      <x v="39"/>
    </i>
    <i>
      <x v="261"/>
      <x v="40"/>
      <x v="37"/>
    </i>
    <i>
      <x v="214"/>
      <x v="37"/>
      <x v="26"/>
    </i>
    <i>
      <x v="249"/>
      <x v="36"/>
      <x v="49"/>
    </i>
    <i>
      <x v="118"/>
      <x v="4"/>
      <x v="13"/>
    </i>
    <i>
      <x v="140"/>
      <x v="34"/>
      <x v="1"/>
    </i>
    <i>
      <x v="17"/>
      <x v="15"/>
      <x v="15"/>
    </i>
    <i>
      <x v="599"/>
      <x v="6"/>
      <x v="10"/>
    </i>
    <i>
      <x v="371"/>
      <x v="43"/>
      <x v="45"/>
    </i>
    <i>
      <x v="395"/>
      <x v="32"/>
      <x v="7"/>
    </i>
    <i>
      <x v="551"/>
      <x v="1"/>
      <x v="31"/>
    </i>
    <i>
      <x v="575"/>
      <x v="9"/>
      <x v="19"/>
    </i>
    <i>
      <x v="434"/>
      <x v="45"/>
      <x v="38"/>
    </i>
    <i>
      <x v="389"/>
      <x v="38"/>
      <x v="3"/>
    </i>
    <i>
      <x v="467"/>
      <x v="46"/>
      <x v="33"/>
    </i>
    <i>
      <x v="555"/>
      <x/>
      <x v="34"/>
    </i>
    <i>
      <x v="138"/>
      <x v="29"/>
      <x v="22"/>
    </i>
    <i>
      <x v="21"/>
      <x v="5"/>
      <x v="17"/>
    </i>
    <i>
      <x v="202"/>
      <x v="22"/>
      <x v="9"/>
    </i>
    <i>
      <x v="103"/>
      <x v="26"/>
      <x v="38"/>
    </i>
    <i>
      <x v="92"/>
      <x v="9"/>
      <x v="31"/>
    </i>
    <i>
      <x v="297"/>
      <x v="34"/>
      <x v="25"/>
    </i>
    <i>
      <x v="133"/>
      <x v="23"/>
      <x v="10"/>
    </i>
    <i>
      <x v="222"/>
      <x v="45"/>
      <x v="36"/>
    </i>
    <i>
      <x v="430"/>
      <x v="23"/>
      <x v="13"/>
    </i>
    <i>
      <x v="535"/>
      <x v="24"/>
      <x v="5"/>
    </i>
    <i>
      <x v="510"/>
      <x v="41"/>
      <x v="5"/>
    </i>
    <i>
      <x v="587"/>
      <x v="48"/>
      <x v="3"/>
    </i>
    <i>
      <x v="465"/>
      <x v="37"/>
      <x v="27"/>
    </i>
    <i>
      <x v="518"/>
      <x v="8"/>
      <x v="11"/>
    </i>
    <i>
      <x v="560"/>
      <x v="2"/>
      <x v="12"/>
    </i>
    <i>
      <x v="358"/>
      <x v="21"/>
      <x v="25"/>
    </i>
    <i>
      <x v="337"/>
      <x v="25"/>
      <x v="34"/>
    </i>
    <i>
      <x v="584"/>
      <x v="9"/>
      <x v="17"/>
    </i>
    <i>
      <x v="480"/>
      <x v="42"/>
      <x v="2"/>
    </i>
    <i>
      <x v="488"/>
      <x v="21"/>
      <x v="41"/>
    </i>
    <i>
      <x v="218"/>
      <x v="9"/>
      <x v="50"/>
    </i>
    <i>
      <x v="302"/>
      <x v="36"/>
      <x v="33"/>
    </i>
    <i>
      <x v="152"/>
      <x v="37"/>
      <x v="9"/>
    </i>
    <i>
      <x v="221"/>
      <x v="10"/>
      <x v="8"/>
    </i>
    <i>
      <x v="122"/>
      <x v="28"/>
      <x v="28"/>
    </i>
    <i>
      <x v="167"/>
      <x v="47"/>
      <x v="33"/>
    </i>
    <i>
      <x v="270"/>
      <x v="4"/>
      <x v="11"/>
    </i>
    <i>
      <x v="162"/>
      <x v="2"/>
      <x v="35"/>
    </i>
    <i>
      <x v="153"/>
      <x v="1"/>
      <x v="25"/>
    </i>
    <i>
      <x v="156"/>
      <x/>
      <x v="6"/>
    </i>
    <i>
      <x v="283"/>
      <x v="39"/>
      <x v="31"/>
    </i>
    <i>
      <x v="79"/>
      <x v="34"/>
      <x v="37"/>
    </i>
    <i>
      <x v="429"/>
      <x v="2"/>
      <x v="44"/>
    </i>
    <i>
      <x v="396"/>
      <x v="29"/>
      <x v="46"/>
    </i>
    <i>
      <x v="527"/>
      <x v="43"/>
      <x v="34"/>
    </i>
    <i>
      <x v="601"/>
      <x v="30"/>
      <x v="13"/>
    </i>
    <i>
      <x v="210"/>
      <x v="14"/>
      <x v="33"/>
    </i>
    <i>
      <x v="158"/>
      <x v="49"/>
      <x v="37"/>
    </i>
    <i t="grand">
      <x/>
    </i>
  </rowItems>
  <colItems count="1">
    <i/>
  </colItems>
  <dataFields count="1">
    <dataField name="Cumulative Hours" fld="1" baseField="0" baseItem="0"/>
  </dataFields>
  <pivotHierarchies count="40">
    <pivotHierarchy multipleItemSelectionAllowed="1" dragToData="1">
      <members count="1" level="1">
        <member name="[TDepartment].[Department].&amp;[Financ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umulative Hours"/>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2"/>
    <rowHierarchyUsage hierarchyUsage="13"/>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ing_Dashboard.xlsx!TTrainingSource">
        <x15:activeTabTopLevelEntity name="[TTrainingSour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98F92C-5291-4DDA-8A20-A7381A3DFEDE}" name="PTHoursPerGender" cacheId="17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Gender">
  <location ref="I78:J8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Hours" fld="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40">
    <pivotHierarchy multipleItemSelectionAllowed="1" dragToData="1">
      <members count="1" level="1">
        <member name="[TDepartment].[Department].&amp;[Financ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Hou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HrList]"/>
        <x15:activeTabTopLevelEntity name="[TTrainingSour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DFB217-12B7-495A-9BDC-1EB5B600159F}" name="PTEvolutionperYear" cacheId="16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H52:I73" firstHeaderRow="1" firstDataRow="1" firstDataCol="1"/>
  <pivotFields count="5">
    <pivotField axis="axisRow" allDrilled="1" subtotalTop="0" showAll="0" dataSourceSort="1" defaultSubtotal="0" defaultAttributeDrillState="1">
      <items count="2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s>
    </pivotField>
    <pivotField axis="axisRow" allDrilled="1" subtotalTop="0" showAll="0" defaultSubtotal="0">
      <items count="4">
        <item x="0" e="0"/>
        <item x="1" e="0"/>
        <item x="2" e="0"/>
        <item x="3" e="0"/>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3">
    <field x="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Count of Training_Title" fld="3"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0">
    <pivotHierarchy multipleItemSelectionAllowed="1" dragToData="1">
      <members count="1" level="1">
        <member name="[TDepartment].[Department].&amp;[Financ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5"/>
    <rowHierarchyUsage hierarchyUsage="26"/>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ing_Dashboard.xlsx!TTrainingSource">
        <x15:activeTabTopLevelEntity name="[TTrainingSourc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Provider" xr10:uid="{462A5FE5-9378-48D7-A538-158FD177A997}" sourceName="[TTrainingSource].[Training_Provider]">
  <pivotTables>
    <pivotTable tabId="4" name="PTReportPerEmployee"/>
    <pivotTable tabId="4" name="PTEvolutionperYear"/>
    <pivotTable tabId="4" name="PThourPerDepartement"/>
    <pivotTable tabId="4" name="PTHourperStatus"/>
    <pivotTable tabId="4" name="PTHoursPerGender"/>
    <pivotTable tabId="4" name="PTSatiscfaction"/>
    <pivotTable tabId="5" name="PivotTable5"/>
  </pivotTables>
  <data>
    <olap pivotCacheId="1698435781">
      <levels count="2">
        <level uniqueName="[TTrainingSource].[Training_Provider].[(All)]" sourceCaption="(All)" count="0"/>
        <level uniqueName="[TTrainingSource].[Training_Provider].[Training_Provider]" sourceCaption="Training_Provider" count="7">
          <ranges>
            <range startItem="0">
              <i n="[TTrainingSource].[Training_Provider].&amp;[AWS Training]" c="AWS Training"/>
              <i n="[TTrainingSource].[Training_Provider].&amp;[Coursera]" c="Coursera"/>
              <i n="[TTrainingSource].[Training_Provider].&amp;[Google Partners]" c="Google Partners"/>
              <i n="[TTrainingSource].[Training_Provider].&amp;[Internal Training]" c="Internal Training"/>
              <i n="[TTrainingSource].[Training_Provider].&amp;[LinkedIn Learning]" c="LinkedIn Learning"/>
              <i n="[TTrainingSource].[Training_Provider].&amp;[Microsoft Learn]" c="Microsoft Learn"/>
              <i n="[TTrainingSource].[Training_Provider].&amp;[Udemy Business]" c="Udemy Business"/>
            </range>
          </ranges>
        </level>
      </levels>
      <selections count="1">
        <selection n="[TTrainingSource].[Training_Provider].[All]"/>
      </selections>
    </olap>
  </data>
  <extLst>
    <x:ext xmlns:x15="http://schemas.microsoft.com/office/spreadsheetml/2010/11/main" uri="{470722E0-AACD-4C17-9CDC-17EF765DBC7E}">
      <x15:slicerCacheHideItemsWithNoData count="1">
        <x15:slicerCacheOlapLevelName uniqueName="[TTrainingSource].[Training_Provider].[Training_Provider]"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Status" xr10:uid="{1BAB8CE6-F1B0-42E0-A0FD-B0076C36CF4F}" sourceName="[TTrainingSource].[Training_Status]">
  <pivotTables>
    <pivotTable tabId="4" name="PTReportPerEmployee"/>
    <pivotTable tabId="4" name="PTEvolutionperYear"/>
    <pivotTable tabId="4" name="PThourPerDepartement"/>
    <pivotTable tabId="4" name="PTHourperStatus"/>
    <pivotTable tabId="4" name="PTHoursPerGender"/>
    <pivotTable tabId="4" name="PTSatiscfaction"/>
    <pivotTable tabId="5" name="PivotTable5"/>
  </pivotTables>
  <data>
    <olap pivotCacheId="1698435781">
      <levels count="2">
        <level uniqueName="[TTrainingSource].[Training_Status].[(All)]" sourceCaption="(All)" count="0"/>
        <level uniqueName="[TTrainingSource].[Training_Status].[Training_Status]" sourceCaption="Training_Status" count="3">
          <ranges>
            <range startItem="0">
              <i n="[TTrainingSource].[Training_Status].&amp;[Completed]" c="Completed"/>
              <i n="[TTrainingSource].[Training_Status].&amp;[In Progress]" c="In Progress"/>
              <i n="[TTrainingSource].[Training_Status].&amp;[Planned]" c="Planned"/>
            </range>
          </ranges>
        </level>
      </levels>
      <selections count="1">
        <selection n="[TTrainingSource].[Training_Status].[All]"/>
      </selections>
    </olap>
  </data>
  <extLst>
    <x:ext xmlns:x15="http://schemas.microsoft.com/office/spreadsheetml/2010/11/main" uri="{470722E0-AACD-4C17-9CDC-17EF765DBC7E}">
      <x15:slicerCacheHideItemsWithNoData count="1">
        <x15:slicerCacheOlapLevelName uniqueName="[TTrainingSource].[Training_Status].[Training_Status]"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Title" xr10:uid="{994EE10C-A00E-43D2-BF98-F095CEDE64B3}" sourceName="[TTrainingSource].[Training_Title]">
  <pivotTables>
    <pivotTable tabId="4" name="PTReportPerEmployee"/>
    <pivotTable tabId="4" name="PTEvolutionperYear"/>
    <pivotTable tabId="4" name="PThourPerDepartement"/>
    <pivotTable tabId="4" name="PTHourperStatus"/>
    <pivotTable tabId="4" name="PTHoursPerGender"/>
    <pivotTable tabId="4" name="PTSatiscfaction"/>
    <pivotTable tabId="5" name="PivotTable5"/>
  </pivotTables>
  <data>
    <olap pivotCacheId="1698435781">
      <levels count="2">
        <level uniqueName="[TTrainingSource].[Training_Title].[(All)]" sourceCaption="(All)" count="0"/>
        <level uniqueName="[TTrainingSource].[Training_Title].[Training_Title]" sourceCaption="Training_Title" count="12">
          <ranges>
            <range startItem="0">
              <i n="[TTrainingSource].[Training_Title].&amp;[Advanced Excel For Business]" c="Advanced Excel For Business"/>
              <i n="[TTrainingSource].[Training_Title].&amp;[Business Intelligence With Tableau]" c="Business Intelligence With Tableau"/>
              <i n="[TTrainingSource].[Training_Title].&amp;[Communication For Analysts]" c="Communication For Analysts"/>
              <i n="[TTrainingSource].[Training_Title].&amp;[Customer Data Analysis]" c="Customer Data Analysis"/>
              <i n="[TTrainingSource].[Training_Title].&amp;[Data Analysis Fundamentals]" c="Data Analysis Fundamentals"/>
              <i n="[TTrainingSource].[Training_Title].&amp;[Data Visualization Best Practices]" c="Data Visualization Best Practices"/>
              <i n="[TTrainingSource].[Training_Title].&amp;[Digital Marketing Strategy]" c="Digital Marketing Strategy"/>
              <i n="[TTrainingSource].[Training_Title].&amp;[Financial Modeling Basics]" c="Financial Modeling Basics"/>
              <i n="[TTrainingSource].[Training_Title].&amp;[Introduction To Python For Data]" c="Introduction To Python For Data"/>
              <i n="[TTrainingSource].[Training_Title].&amp;[Power Bi Reporting]" c="Power Bi Reporting"/>
              <i n="[TTrainingSource].[Training_Title].&amp;[Project Management Essentials]" c="Project Management Essentials"/>
              <i n="[TTrainingSource].[Training_Title].&amp;[Sql For Data Analytics]" c="Sql For Data Analytics"/>
            </range>
          </ranges>
        </level>
      </levels>
      <selections count="1">
        <selection n="[TTrainingSource].[Training_Title].[All]"/>
      </selections>
    </olap>
  </data>
  <extLst>
    <x:ext xmlns:x15="http://schemas.microsoft.com/office/spreadsheetml/2010/11/main" uri="{470722E0-AACD-4C17-9CDC-17EF765DBC7E}">
      <x15:slicerCacheHideItemsWithNoData count="1">
        <x15:slicerCacheOlapLevelName uniqueName="[TTrainingSource].[Training_Title].[Training_Title]"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54F5D14-7E6A-4DBC-87E4-8C763FA3768C}" sourceName="[THrList].[Department]">
  <pivotTables>
    <pivotTable tabId="4" name="PTReportPerEmployee"/>
    <pivotTable tabId="4" name="PTEvolutionperYear"/>
    <pivotTable tabId="4" name="PThourPerDepartement"/>
    <pivotTable tabId="4" name="PTHourperStatus"/>
    <pivotTable tabId="4" name="PTHoursPerGender"/>
    <pivotTable tabId="4" name="PTSatiscfaction"/>
    <pivotTable tabId="5" name="PivotTable5"/>
  </pivotTables>
  <data>
    <olap pivotCacheId="1698435781">
      <levels count="2">
        <level uniqueName="[THrList].[Department].[(All)]" sourceCaption="(All)" count="0"/>
        <level uniqueName="[THrList].[Department].[Department]" sourceCaption="Department" count="11">
          <ranges>
            <range startItem="0">
              <i n="[THrList].[Department].&amp;[ Finance]" c=" Finance"/>
              <i n="[THrList].[Department].&amp;[Compliance]" c="Compliance"/>
              <i n="[THrList].[Department].&amp;[Customer Support]" c="Customer Support"/>
              <i n="[THrList].[Department].&amp;[Finance]" c="Finance"/>
              <i n="[THrList].[Department].&amp;[Human Resources]" c="Human Resources"/>
              <i n="[THrList].[Department].&amp;[IT]" c="IT"/>
              <i n="[THrList].[Department].&amp;[Marketing]" c="Marketing"/>
              <i n="[THrList].[Department].&amp;[N/A]" c="N/A"/>
              <i n="[THrList].[Department].&amp;[Operations]" c="Operations"/>
              <i n="[THrList].[Department].&amp;[Procurement]" c="Procurement"/>
              <i n="[THrList].[Department].&amp;[Sales]" c="Sales"/>
            </range>
          </ranges>
        </level>
      </levels>
      <selections count="1">
        <selection n="[THrList].[Department].[All]"/>
      </selections>
    </olap>
  </data>
  <extLst>
    <x:ext xmlns:x15="http://schemas.microsoft.com/office/spreadsheetml/2010/11/main" uri="{470722E0-AACD-4C17-9CDC-17EF765DBC7E}">
      <x15:slicerCacheHideItemsWithNoData count="1">
        <x15:slicerCacheOlapLevelName uniqueName="[THrList].[Department].[Department]"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91896CA-668C-46FA-9BF0-CCC3F1A2336A}" sourceName="[THrList].[Gender]">
  <pivotTables>
    <pivotTable tabId="4" name="PTReportPerEmployee"/>
    <pivotTable tabId="4" name="PTEvolutionperYear"/>
    <pivotTable tabId="4" name="PThourPerDepartement"/>
    <pivotTable tabId="4" name="PTHourperStatus"/>
    <pivotTable tabId="4" name="PTHoursPerGender"/>
    <pivotTable tabId="4" name="PTSatiscfaction"/>
    <pivotTable tabId="5" name="PivotTable5"/>
  </pivotTables>
  <data>
    <olap pivotCacheId="1698435781">
      <levels count="2">
        <level uniqueName="[THrList].[Gender].[(All)]" sourceCaption="(All)" count="0"/>
        <level uniqueName="[THrList].[Gender].[Gender]" sourceCaption="Gender" count="2">
          <ranges>
            <range startItem="0">
              <i n="[THrList].[Gender].&amp;[Female]" c="Female"/>
              <i n="[THrList].[Gender].&amp;[Male]" c="Male"/>
            </range>
          </ranges>
        </level>
      </levels>
      <selections count="1">
        <selection n="[THrList].[Gender].[All]"/>
      </selections>
    </olap>
  </data>
  <extLst>
    <x:ext xmlns:x15="http://schemas.microsoft.com/office/spreadsheetml/2010/11/main" uri="{470722E0-AACD-4C17-9CDC-17EF765DBC7E}">
      <x15:slicerCacheHideItemsWithNoData count="1">
        <x15:slicerCacheOlapLevelName uniqueName="[THrList].[Gender].[Gende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ining_Provider 1" xr10:uid="{2DDC5513-0A72-44D6-B4C8-71DE71AE8F6F}" cache="Slicer_Training_Provider" caption="Training_Provider" level="1" style="SlicerStyleOther2" rowHeight="234950"/>
  <slicer name="Training_Status 1" xr10:uid="{B3437A62-F343-41A0-BD12-EDB9FB8FD63A}" cache="Slicer_Training_Status" caption="Training_Status" level="1" style="SlicerStyleOther2" rowHeight="234950"/>
  <slicer name="Training_Title 1" xr10:uid="{AEEF49A9-3CA1-4CB5-B8DF-5014C5BC6BA8}" cache="Slicer_Training_Title" caption="Training_Title" level="1" style="SlicerStyleOther2" rowHeight="234950"/>
  <slicer name="Department 1" xr10:uid="{A97415A4-1F00-453C-B89A-E51B2DF268D1}" cache="Slicer_Department" caption="Department" columnCount="2" level="1" rowHeight="234950"/>
  <slicer name="Gender 1" xr10:uid="{AEFCEB2D-DC59-482D-86ED-F46F75A5D71A}" cache="Slicer_Gender" caption="Gender" columnCount="2" level="1"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ining_Provider" xr10:uid="{FA9F83C1-F7CE-4A01-BC5C-8D6907A61997}" cache="Slicer_Training_Provider" caption="Training_Provider" columnCount="2" level="1" style="SlicerStyleOther2" rowHeight="234950"/>
  <slicer name="Training_Status" xr10:uid="{2F797F59-25BC-4405-B694-BF34791E2233}" cache="Slicer_Training_Status" caption="Training_Status" level="1" style="SlicerStyleOther2" rowHeight="234950"/>
  <slicer name="Training_Title" xr10:uid="{E8CB939B-AFD2-49BD-9CFE-DCB8A552FB3D}" cache="Slicer_Training_Title" caption="Training_Title" level="1" style="SlicerStyleOther2" rowHeight="234950"/>
  <slicer name="Department" xr10:uid="{80CA14BB-A76E-495F-B449-177E3A36F679}" cache="Slicer_Department" caption="Department" level="1" rowHeight="234950"/>
  <slicer name="Gender" xr10:uid="{82A0D575-7343-4DA3-B95F-A948457ACBF0}" cache="Slicer_Gender" caption="Gender" columnCount="2" level="1"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B02DF99-5790-429E-B98A-CBF6949652DD}" name="TTrainingSource" displayName="TTrainingSource" ref="A1:N1401" totalsRowShown="0" headerRowDxfId="8571" headerRowBorderDxfId="8570" tableBorderDxfId="8569">
  <autoFilter ref="A1:N1401" xr:uid="{8B02DF99-5790-429E-B98A-CBF6949652DD}"/>
  <sortState xmlns:xlrd2="http://schemas.microsoft.com/office/spreadsheetml/2017/richdata2" ref="A2:N1401">
    <sortCondition ref="B1:B1401"/>
  </sortState>
  <tableColumns count="14">
    <tableColumn id="1" xr3:uid="{513E7465-6DE0-45D2-9D70-7FC996B81EC2}" name="EMPloyee_ID2"/>
    <tableColumn id="11" xr3:uid="{BD851160-B6BA-4EC9-9000-2D2F8BD2F0A2}" name="Employee_ID" dataDxfId="8568">
      <calculatedColumnFormula>TRIM(TTrainingSource[[#This Row],[EMPloyee_ID2]])</calculatedColumnFormula>
    </tableColumn>
    <tableColumn id="10" xr3:uid="{ADED54F6-ECF5-4681-B6C7-CDEDEB9BD9C7}" name="Last_Name" dataDxfId="8567">
      <calculatedColumnFormula>IFERROR(VLOOKUP(TTrainingSource[[#This Row],[Employee_ID]],THrList[],3,FALSE),"")</calculatedColumnFormula>
    </tableColumn>
    <tableColumn id="9" xr3:uid="{AF47C358-8EF8-4E37-A983-639C93205A5B}" name="First_Name" dataDxfId="8566">
      <calculatedColumnFormula>IFERROR(VLOOKUP(TTrainingSource[[#This Row],[Employee_ID]],THrList[],4,FALSE),"")</calculatedColumnFormula>
    </tableColumn>
    <tableColumn id="8" xr3:uid="{332E086C-277F-42C4-8513-9C14EEA3F984}" name="Department" dataDxfId="8565">
      <calculatedColumnFormula>IFERROR(VLOOKUP(TTrainingSource[[#This Row],[Employee_ID]],THrList[],10,FALSE),"")</calculatedColumnFormula>
    </tableColumn>
    <tableColumn id="12" xr3:uid="{028935C2-E254-4204-8931-438A53D1B220}" name="Training_Status" dataDxfId="8564">
      <calculatedColumnFormula>TRIM(PROPER(TTrainingSource[[#This Row],[Training_Status2]]))</calculatedColumnFormula>
    </tableColumn>
    <tableColumn id="2" xr3:uid="{16EB9DFF-360A-4038-8CB7-D475BC3D7F1B}" name="Training_Status2"/>
    <tableColumn id="13" xr3:uid="{CB7EBE04-4BF1-407C-A8FA-56C5795A7021}" name="Training_Title" dataDxfId="8563">
      <calculatedColumnFormula>TRIM(PROPER(TTrainingSource[[#This Row],[Training_Title2]]))</calculatedColumnFormula>
    </tableColumn>
    <tableColumn id="3" xr3:uid="{ED370986-DE46-49CD-87FB-F8F4B76227DD}" name="Training_Title2"/>
    <tableColumn id="4" xr3:uid="{63236254-3C6D-4796-9FB4-997002F6981E}" name="Training_Date" dataDxfId="8562"/>
    <tableColumn id="5" xr3:uid="{D19FC0F5-EE66-49B4-8881-90F4E9D838D9}" name="Training_Provider"/>
    <tableColumn id="6" xr3:uid="{16C7E753-D189-4849-940E-A9FE0E4A6243}" name="Duration_Hours" dataDxfId="8561"/>
    <tableColumn id="14" xr3:uid="{3B551215-1814-47D9-B5A3-7EF30B7E6274}" name="Satisfaction_Score" dataDxfId="8560">
      <calculatedColumnFormula>ROUND(TTrainingSource[[#This Row],[Satisfaction_Score2]],0)</calculatedColumnFormula>
    </tableColumn>
    <tableColumn id="7" xr3:uid="{697FE41A-B335-4382-8C3E-2381B7DAE067}" name="Satisfaction_Score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DC7EC4-5826-4808-8EFD-52887A4122CF}" name="THrList" displayName="THrList" ref="A1:J701" totalsRowShown="0" headerRowDxfId="8559" headerRowBorderDxfId="8558" tableBorderDxfId="8557">
  <autoFilter ref="A1:J701" xr:uid="{71DC7EC4-5826-4808-8EFD-52887A4122CF}"/>
  <tableColumns count="10">
    <tableColumn id="1" xr3:uid="{CA62467D-B95A-49B6-875C-B51C4741FF79}" name="Employee_ID"/>
    <tableColumn id="2" xr3:uid="{D5B1B5CF-B8BC-415B-A74D-F92A7710366C}" name="Last_Name"/>
    <tableColumn id="10" xr3:uid="{0D07B402-44F4-4853-A6CE-0F13BF4C03E9}" name="Last_Name2" dataDxfId="8556">
      <calculatedColumnFormula>UPPER(THrList[[#This Row],[Last_Name]])</calculatedColumnFormula>
    </tableColumn>
    <tableColumn id="3" xr3:uid="{B0F61F59-9D0D-4372-AE67-190D971CD024}" name="First_Name"/>
    <tableColumn id="4" xr3:uid="{80B74A1B-49DE-443B-998D-3DA0BEDDB518}" name="Gender"/>
    <tableColumn id="5" xr3:uid="{1336FC26-ACF6-480E-9DAA-ED9E01EA6DAE}" name="Date_of_Birth" dataDxfId="8555"/>
    <tableColumn id="6" xr3:uid="{15A76F82-1C5E-46D3-B67E-F82758D34898}" name="Age" dataDxfId="8554">
      <calculatedColumnFormula>DATEDIF(THrList[[#This Row],[Date_of_Birth]],NOW(),"Y")</calculatedColumnFormula>
    </tableColumn>
    <tableColumn id="7" xr3:uid="{D2A3B7FE-48B7-4D00-88FF-30E13D9D976E}" name="Job_Level"/>
    <tableColumn id="8" xr3:uid="{A10BFDB4-9A12-4AF6-8451-2B55F8F3AD5C}" name="Employment_Status"/>
    <tableColumn id="9" xr3:uid="{1991BDAA-16A0-426A-AA25-0023EF04C001}" name="Department"/>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F697316-DBFB-4AB0-A200-F5A612F406AD}" name="TDepartment" displayName="TDepartment" ref="C1:C15" totalsRowShown="0" headerRowDxfId="8553">
  <autoFilter ref="C1:C15" xr:uid="{4F697316-DBFB-4AB0-A200-F5A612F406AD}"/>
  <tableColumns count="1">
    <tableColumn id="1" xr3:uid="{81F5E827-ECC8-4332-9A58-5C5CBB738F5E}" name="Departmen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0C8C6D5-8415-4377-A249-286C8FB16AB4}" name="TTrainingStatus" displayName="TTrainingStatus" ref="A1:A4" totalsRowShown="0" headerRowDxfId="8552">
  <autoFilter ref="A1:A4" xr:uid="{C0C8C6D5-8415-4377-A249-286C8FB16AB4}"/>
  <tableColumns count="1">
    <tableColumn id="1" xr3:uid="{385C6702-4ECF-4B10-8AEC-47E85CB3FB5E}" name="Training_Statu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45BE05B-CC1C-4BC7-BB6B-181CD8E9F604}" name="TTrainingTitle" displayName="TTrainingTitle" ref="E1:E13" totalsRowShown="0" headerRowDxfId="8551">
  <autoFilter ref="E1:E13" xr:uid="{A45BE05B-CC1C-4BC7-BB6B-181CD8E9F604}"/>
  <tableColumns count="1">
    <tableColumn id="1" xr3:uid="{938E6A6E-3E2F-4E3A-B631-2B00F5DBF669}" name="Training_Titl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C287219-D35B-4C94-B268-47603356920D}" name="TTrainingProvider" displayName="TTrainingProvider" ref="G1:G13" totalsRowShown="0" headerRowDxfId="8550">
  <autoFilter ref="G1:G13" xr:uid="{FC287219-D35B-4C94-B268-47603356920D}"/>
  <tableColumns count="1">
    <tableColumn id="1" xr3:uid="{A353FB3C-77C7-434F-8928-463C198DDA8A}" name="Training_Provid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Training_Date" xr10:uid="{3F278B72-FB15-4256-B620-05DCD2796153}" sourceName="[TTrainingSource].[Training_Date]">
  <pivotTables>
    <pivotTable tabId="4" name="PTReportPerEmployee"/>
    <pivotTable tabId="4" name="PTEvolutionperYear"/>
    <pivotTable tabId="4" name="PThourPerDepartement"/>
    <pivotTable tabId="4" name="PTHourperStatus"/>
    <pivotTable tabId="4" name="PTHoursPerGender"/>
    <pivotTable tabId="4" name="PTSatiscfaction"/>
    <pivotTable tabId="5" name="PivotTable5"/>
  </pivotTables>
  <state minimalRefreshVersion="6" lastRefreshVersion="6" pivotCacheId="2024263660"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ining_Date 1" xr10:uid="{58085F43-71E7-4DF9-B1C5-D23BAB34993D}" cache="Timeline_Training_Date" caption="Select Time Period" level="1" selectionLevel="1"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ining_Date" xr10:uid="{B14E4A41-9301-429A-AB21-4520885C00C5}" cache="Timeline_Training_Date" caption="Select Time Period" level="1" selectionLevel="1" scrollPosition="2023-07-3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0F46B-0B8B-4C5C-86A7-5EC74FE25078}">
  <dimension ref="D11:G626"/>
  <sheetViews>
    <sheetView showGridLines="0" showRowColHeaders="0" tabSelected="1" zoomScaleNormal="100" workbookViewId="0">
      <selection activeCell="W26" sqref="W26"/>
    </sheetView>
  </sheetViews>
  <sheetFormatPr defaultRowHeight="14.4" x14ac:dyDescent="0.3"/>
  <cols>
    <col min="1" max="1" width="1.6640625" style="11" customWidth="1"/>
    <col min="2" max="2" width="26.88671875" style="11" customWidth="1"/>
    <col min="3" max="3" width="1.21875" style="11" customWidth="1"/>
    <col min="4" max="5" width="15.21875" style="11" customWidth="1"/>
    <col min="6" max="6" width="12.6640625" style="11" bestFit="1" customWidth="1"/>
    <col min="7" max="7" width="16" style="11" bestFit="1" customWidth="1"/>
    <col min="8" max="8" width="1.5546875" style="11" customWidth="1"/>
    <col min="9" max="9" width="1.6640625" style="11" customWidth="1"/>
    <col min="10" max="12" width="8.88671875" style="11"/>
    <col min="13" max="13" width="8.77734375" style="11" customWidth="1"/>
    <col min="14" max="14" width="1.6640625" style="11" customWidth="1"/>
    <col min="15" max="16" width="8.88671875" style="11"/>
    <col min="17" max="17" width="8.6640625" style="11" customWidth="1"/>
    <col min="18" max="18" width="1.88671875" style="11" customWidth="1"/>
    <col min="19" max="16384" width="8.88671875" style="11"/>
  </cols>
  <sheetData>
    <row r="11" ht="9" customHeight="1" x14ac:dyDescent="0.3"/>
    <row r="16" ht="6" customHeight="1" x14ac:dyDescent="0.3"/>
    <row r="17" spans="4:7" ht="4.8" customHeight="1" x14ac:dyDescent="0.3"/>
    <row r="18" spans="4:7" x14ac:dyDescent="0.3">
      <c r="D18" s="11" t="s">
        <v>0</v>
      </c>
      <c r="E18" s="11" t="s">
        <v>781</v>
      </c>
      <c r="F18" s="11" t="s">
        <v>782</v>
      </c>
      <c r="G18" s="11" t="s">
        <v>1076</v>
      </c>
    </row>
    <row r="19" spans="4:7" x14ac:dyDescent="0.3">
      <c r="D19" s="11" t="s">
        <v>114</v>
      </c>
      <c r="E19" s="11" t="s">
        <v>1122</v>
      </c>
      <c r="F19" s="11" t="s">
        <v>906</v>
      </c>
      <c r="G19" s="12">
        <v>188</v>
      </c>
    </row>
    <row r="20" spans="4:7" x14ac:dyDescent="0.3">
      <c r="D20" s="11" t="s">
        <v>403</v>
      </c>
      <c r="E20" s="11" t="s">
        <v>980</v>
      </c>
      <c r="F20" s="11" t="s">
        <v>860</v>
      </c>
      <c r="G20" s="12">
        <v>180</v>
      </c>
    </row>
    <row r="21" spans="4:7" x14ac:dyDescent="0.3">
      <c r="D21" s="11" t="s">
        <v>422</v>
      </c>
      <c r="E21" s="11" t="s">
        <v>1085</v>
      </c>
      <c r="F21" s="11" t="s">
        <v>878</v>
      </c>
      <c r="G21" s="12">
        <v>142</v>
      </c>
    </row>
    <row r="22" spans="4:7" x14ac:dyDescent="0.3">
      <c r="D22" s="11" t="s">
        <v>121</v>
      </c>
      <c r="E22" s="11" t="s">
        <v>1109</v>
      </c>
      <c r="F22" s="11" t="s">
        <v>849</v>
      </c>
      <c r="G22" s="12">
        <v>140</v>
      </c>
    </row>
    <row r="23" spans="4:7" x14ac:dyDescent="0.3">
      <c r="D23" s="11" t="s">
        <v>186</v>
      </c>
      <c r="E23" s="11" t="s">
        <v>1101</v>
      </c>
      <c r="F23" s="11" t="s">
        <v>822</v>
      </c>
      <c r="G23" s="12">
        <v>134</v>
      </c>
    </row>
    <row r="24" spans="4:7" x14ac:dyDescent="0.3">
      <c r="D24" s="11" t="s">
        <v>274</v>
      </c>
      <c r="E24" s="11" t="s">
        <v>1106</v>
      </c>
      <c r="F24" s="11" t="s">
        <v>810</v>
      </c>
      <c r="G24" s="12">
        <v>128</v>
      </c>
    </row>
    <row r="25" spans="4:7" x14ac:dyDescent="0.3">
      <c r="D25" s="11" t="s">
        <v>168</v>
      </c>
      <c r="E25" s="11" t="s">
        <v>1110</v>
      </c>
      <c r="F25" s="11" t="s">
        <v>816</v>
      </c>
      <c r="G25" s="12">
        <v>124</v>
      </c>
    </row>
    <row r="26" spans="4:7" x14ac:dyDescent="0.3">
      <c r="D26" s="11" t="s">
        <v>81</v>
      </c>
      <c r="E26" s="11" t="s">
        <v>1126</v>
      </c>
      <c r="F26" s="11" t="s">
        <v>914</v>
      </c>
      <c r="G26" s="12">
        <v>118</v>
      </c>
    </row>
    <row r="27" spans="4:7" x14ac:dyDescent="0.3">
      <c r="D27" s="11" t="s">
        <v>54</v>
      </c>
      <c r="E27" s="11" t="s">
        <v>1096</v>
      </c>
      <c r="F27" s="11" t="s">
        <v>874</v>
      </c>
      <c r="G27" s="12">
        <v>118</v>
      </c>
    </row>
    <row r="28" spans="4:7" x14ac:dyDescent="0.3">
      <c r="D28" s="11" t="s">
        <v>87</v>
      </c>
      <c r="E28" s="11" t="s">
        <v>1101</v>
      </c>
      <c r="F28" s="11" t="s">
        <v>796</v>
      </c>
      <c r="G28" s="12">
        <v>112</v>
      </c>
    </row>
    <row r="29" spans="4:7" x14ac:dyDescent="0.3">
      <c r="D29" s="11" t="s">
        <v>540</v>
      </c>
      <c r="E29" s="11" t="s">
        <v>1084</v>
      </c>
      <c r="F29" s="11" t="s">
        <v>822</v>
      </c>
      <c r="G29" s="12">
        <v>112</v>
      </c>
    </row>
    <row r="30" spans="4:7" x14ac:dyDescent="0.3">
      <c r="D30" s="11" t="s">
        <v>528</v>
      </c>
      <c r="E30" s="11" t="s">
        <v>1083</v>
      </c>
      <c r="F30" s="11" t="s">
        <v>888</v>
      </c>
      <c r="G30" s="12">
        <v>112</v>
      </c>
    </row>
    <row r="31" spans="4:7" x14ac:dyDescent="0.3">
      <c r="D31" s="11" t="s">
        <v>33</v>
      </c>
      <c r="E31" s="11" t="s">
        <v>1113</v>
      </c>
      <c r="F31" s="11" t="s">
        <v>827</v>
      </c>
      <c r="G31" s="12">
        <v>112</v>
      </c>
    </row>
    <row r="32" spans="4:7" x14ac:dyDescent="0.3">
      <c r="D32" s="11" t="s">
        <v>226</v>
      </c>
      <c r="E32" s="11" t="s">
        <v>1123</v>
      </c>
      <c r="F32" s="11" t="s">
        <v>852</v>
      </c>
      <c r="G32" s="12">
        <v>108</v>
      </c>
    </row>
    <row r="33" spans="4:7" ht="7.2" customHeight="1" x14ac:dyDescent="0.3">
      <c r="D33" s="11" t="s">
        <v>40</v>
      </c>
      <c r="E33" s="11" t="s">
        <v>1114</v>
      </c>
      <c r="F33" s="11" t="s">
        <v>870</v>
      </c>
      <c r="G33" s="12">
        <v>108</v>
      </c>
    </row>
    <row r="34" spans="4:7" x14ac:dyDescent="0.3">
      <c r="D34" s="11" t="s">
        <v>340</v>
      </c>
      <c r="E34" s="11" t="s">
        <v>1117</v>
      </c>
      <c r="F34" s="11" t="s">
        <v>885</v>
      </c>
      <c r="G34" s="12">
        <v>108</v>
      </c>
    </row>
    <row r="35" spans="4:7" x14ac:dyDescent="0.3">
      <c r="D35" s="11" t="s">
        <v>420</v>
      </c>
      <c r="E35" s="11" t="s">
        <v>1085</v>
      </c>
      <c r="F35" s="11" t="s">
        <v>818</v>
      </c>
      <c r="G35" s="12">
        <v>108</v>
      </c>
    </row>
    <row r="36" spans="4:7" x14ac:dyDescent="0.3">
      <c r="D36" s="11" t="s">
        <v>515</v>
      </c>
      <c r="E36" s="11" t="s">
        <v>1117</v>
      </c>
      <c r="F36" s="11" t="s">
        <v>842</v>
      </c>
      <c r="G36" s="12">
        <v>104</v>
      </c>
    </row>
    <row r="37" spans="4:7" x14ac:dyDescent="0.3">
      <c r="D37" s="11" t="s">
        <v>437</v>
      </c>
      <c r="E37" s="11" t="s">
        <v>1111</v>
      </c>
      <c r="F37" s="11" t="s">
        <v>874</v>
      </c>
      <c r="G37" s="12">
        <v>102</v>
      </c>
    </row>
    <row r="38" spans="4:7" x14ac:dyDescent="0.3">
      <c r="D38" s="11" t="s">
        <v>23</v>
      </c>
      <c r="E38" s="11" t="s">
        <v>1087</v>
      </c>
      <c r="F38" s="11" t="s">
        <v>829</v>
      </c>
      <c r="G38" s="12">
        <v>100</v>
      </c>
    </row>
    <row r="39" spans="4:7" x14ac:dyDescent="0.3">
      <c r="D39" s="11" t="s">
        <v>74</v>
      </c>
      <c r="E39" s="11" t="s">
        <v>1109</v>
      </c>
      <c r="F39" s="11" t="s">
        <v>828</v>
      </c>
      <c r="G39" s="12">
        <v>100</v>
      </c>
    </row>
    <row r="40" spans="4:7" x14ac:dyDescent="0.3">
      <c r="D40" s="11" t="s">
        <v>423</v>
      </c>
      <c r="E40" s="11" t="s">
        <v>1102</v>
      </c>
      <c r="F40" s="11" t="s">
        <v>880</v>
      </c>
      <c r="G40" s="12">
        <v>100</v>
      </c>
    </row>
    <row r="41" spans="4:7" x14ac:dyDescent="0.3">
      <c r="D41" s="11" t="s">
        <v>453</v>
      </c>
      <c r="E41" s="11" t="s">
        <v>1111</v>
      </c>
      <c r="F41" s="11" t="s">
        <v>849</v>
      </c>
      <c r="G41" s="12">
        <v>100</v>
      </c>
    </row>
    <row r="42" spans="4:7" x14ac:dyDescent="0.3">
      <c r="D42" s="11" t="s">
        <v>313</v>
      </c>
      <c r="E42" s="11" t="s">
        <v>1116</v>
      </c>
      <c r="F42" s="11" t="s">
        <v>901</v>
      </c>
      <c r="G42" s="12">
        <v>96</v>
      </c>
    </row>
    <row r="43" spans="4:7" x14ac:dyDescent="0.3">
      <c r="D43" s="11" t="s">
        <v>415</v>
      </c>
      <c r="E43" s="11" t="s">
        <v>1107</v>
      </c>
      <c r="F43" s="11" t="s">
        <v>813</v>
      </c>
      <c r="G43" s="12">
        <v>96</v>
      </c>
    </row>
    <row r="44" spans="4:7" x14ac:dyDescent="0.3">
      <c r="D44" s="11" t="s">
        <v>490</v>
      </c>
      <c r="E44" s="11" t="s">
        <v>1112</v>
      </c>
      <c r="F44" s="11" t="s">
        <v>796</v>
      </c>
      <c r="G44" s="12">
        <v>96</v>
      </c>
    </row>
    <row r="45" spans="4:7" x14ac:dyDescent="0.3">
      <c r="D45" s="11" t="s">
        <v>373</v>
      </c>
      <c r="E45" s="11" t="s">
        <v>1086</v>
      </c>
      <c r="F45" s="11" t="s">
        <v>870</v>
      </c>
      <c r="G45" s="12">
        <v>94</v>
      </c>
    </row>
    <row r="46" spans="4:7" x14ac:dyDescent="0.3">
      <c r="D46" s="11" t="s">
        <v>506</v>
      </c>
      <c r="E46" s="11" t="s">
        <v>1116</v>
      </c>
      <c r="F46" s="11" t="s">
        <v>914</v>
      </c>
      <c r="G46" s="12">
        <v>94</v>
      </c>
    </row>
    <row r="47" spans="4:7" x14ac:dyDescent="0.3">
      <c r="D47" s="11" t="s">
        <v>70</v>
      </c>
      <c r="E47" s="11" t="s">
        <v>1088</v>
      </c>
      <c r="F47" s="11" t="s">
        <v>849</v>
      </c>
      <c r="G47" s="12">
        <v>94</v>
      </c>
    </row>
    <row r="48" spans="4:7" x14ac:dyDescent="0.3">
      <c r="D48" s="11" t="s">
        <v>407</v>
      </c>
      <c r="E48" s="11" t="s">
        <v>1094</v>
      </c>
      <c r="F48" s="11" t="s">
        <v>853</v>
      </c>
      <c r="G48" s="12">
        <v>94</v>
      </c>
    </row>
    <row r="49" spans="4:7" ht="7.8" customHeight="1" x14ac:dyDescent="0.3">
      <c r="D49" s="11" t="s">
        <v>606</v>
      </c>
      <c r="E49" s="11" t="s">
        <v>1084</v>
      </c>
      <c r="F49" s="11" t="s">
        <v>895</v>
      </c>
      <c r="G49" s="12">
        <v>92</v>
      </c>
    </row>
    <row r="50" spans="4:7" x14ac:dyDescent="0.3">
      <c r="D50" s="11" t="s">
        <v>625</v>
      </c>
      <c r="E50" s="11" t="s">
        <v>1090</v>
      </c>
      <c r="F50" s="11" t="s">
        <v>825</v>
      </c>
      <c r="G50" s="12">
        <v>92</v>
      </c>
    </row>
    <row r="51" spans="4:7" x14ac:dyDescent="0.3">
      <c r="D51" s="11" t="s">
        <v>432</v>
      </c>
      <c r="E51" s="11" t="s">
        <v>1126</v>
      </c>
      <c r="F51" s="11" t="s">
        <v>829</v>
      </c>
      <c r="G51" s="12">
        <v>92</v>
      </c>
    </row>
    <row r="52" spans="4:7" x14ac:dyDescent="0.3">
      <c r="D52" s="11" t="s">
        <v>592</v>
      </c>
      <c r="E52" s="11" t="s">
        <v>1082</v>
      </c>
      <c r="F52" s="11" t="s">
        <v>939</v>
      </c>
      <c r="G52" s="12">
        <v>90</v>
      </c>
    </row>
    <row r="53" spans="4:7" x14ac:dyDescent="0.3">
      <c r="D53" s="11" t="s">
        <v>619</v>
      </c>
      <c r="E53" s="11" t="s">
        <v>1123</v>
      </c>
      <c r="F53" s="11" t="s">
        <v>842</v>
      </c>
      <c r="G53" s="12">
        <v>88</v>
      </c>
    </row>
    <row r="54" spans="4:7" x14ac:dyDescent="0.3">
      <c r="D54" s="11" t="s">
        <v>92</v>
      </c>
      <c r="E54" s="11" t="s">
        <v>1103</v>
      </c>
      <c r="F54" s="11" t="s">
        <v>805</v>
      </c>
      <c r="G54" s="12">
        <v>88</v>
      </c>
    </row>
    <row r="55" spans="4:7" x14ac:dyDescent="0.3">
      <c r="D55" s="11" t="s">
        <v>51</v>
      </c>
      <c r="E55" s="11" t="s">
        <v>1083</v>
      </c>
      <c r="F55" s="11" t="s">
        <v>818</v>
      </c>
      <c r="G55" s="12">
        <v>88</v>
      </c>
    </row>
    <row r="56" spans="4:7" x14ac:dyDescent="0.3">
      <c r="D56" s="11" t="s">
        <v>365</v>
      </c>
      <c r="E56" s="11" t="s">
        <v>1086</v>
      </c>
      <c r="F56" s="11" t="s">
        <v>829</v>
      </c>
      <c r="G56" s="12">
        <v>88</v>
      </c>
    </row>
    <row r="57" spans="4:7" x14ac:dyDescent="0.3">
      <c r="D57" s="11" t="s">
        <v>639</v>
      </c>
      <c r="E57" s="11" t="s">
        <v>1090</v>
      </c>
      <c r="F57" s="11" t="s">
        <v>842</v>
      </c>
      <c r="G57" s="12">
        <v>88</v>
      </c>
    </row>
    <row r="58" spans="4:7" x14ac:dyDescent="0.3">
      <c r="D58" s="11" t="s">
        <v>355</v>
      </c>
      <c r="E58" s="11" t="s">
        <v>1084</v>
      </c>
      <c r="F58" s="11" t="s">
        <v>816</v>
      </c>
      <c r="G58" s="12">
        <v>88</v>
      </c>
    </row>
    <row r="59" spans="4:7" x14ac:dyDescent="0.3">
      <c r="D59" s="11" t="s">
        <v>508</v>
      </c>
      <c r="E59" s="11" t="s">
        <v>1091</v>
      </c>
      <c r="F59" s="11" t="s">
        <v>900</v>
      </c>
      <c r="G59" s="12">
        <v>88</v>
      </c>
    </row>
    <row r="60" spans="4:7" x14ac:dyDescent="0.3">
      <c r="D60" s="11" t="s">
        <v>204</v>
      </c>
      <c r="E60" s="11" t="s">
        <v>1084</v>
      </c>
      <c r="F60" s="11" t="s">
        <v>818</v>
      </c>
      <c r="G60" s="12">
        <v>86</v>
      </c>
    </row>
    <row r="61" spans="4:7" x14ac:dyDescent="0.3">
      <c r="D61" s="11" t="s">
        <v>572</v>
      </c>
      <c r="E61" s="11" t="s">
        <v>1078</v>
      </c>
      <c r="F61" s="11" t="s">
        <v>796</v>
      </c>
      <c r="G61" s="12">
        <v>86</v>
      </c>
    </row>
    <row r="62" spans="4:7" x14ac:dyDescent="0.3">
      <c r="D62" s="11" t="s">
        <v>131</v>
      </c>
      <c r="E62" s="11" t="s">
        <v>1089</v>
      </c>
      <c r="F62" s="11" t="s">
        <v>841</v>
      </c>
      <c r="G62" s="12">
        <v>84</v>
      </c>
    </row>
    <row r="63" spans="4:7" x14ac:dyDescent="0.3">
      <c r="D63" s="11" t="s">
        <v>179</v>
      </c>
      <c r="E63" s="11" t="s">
        <v>1117</v>
      </c>
      <c r="F63" s="11" t="s">
        <v>870</v>
      </c>
      <c r="G63" s="12">
        <v>84</v>
      </c>
    </row>
    <row r="64" spans="4:7" x14ac:dyDescent="0.3">
      <c r="D64" s="11" t="s">
        <v>280</v>
      </c>
      <c r="E64" s="11" t="s">
        <v>1108</v>
      </c>
      <c r="F64" s="11" t="s">
        <v>853</v>
      </c>
      <c r="G64" s="12">
        <v>84</v>
      </c>
    </row>
    <row r="65" spans="4:7" x14ac:dyDescent="0.3">
      <c r="D65" s="11" t="s">
        <v>505</v>
      </c>
      <c r="E65" s="11" t="s">
        <v>1089</v>
      </c>
      <c r="F65" s="11" t="s">
        <v>790</v>
      </c>
      <c r="G65" s="12">
        <v>84</v>
      </c>
    </row>
    <row r="66" spans="4:7" x14ac:dyDescent="0.3">
      <c r="D66" s="11" t="s">
        <v>27</v>
      </c>
      <c r="E66" s="11" t="s">
        <v>1109</v>
      </c>
      <c r="F66" s="11" t="s">
        <v>849</v>
      </c>
      <c r="G66" s="12">
        <v>84</v>
      </c>
    </row>
    <row r="67" spans="4:7" x14ac:dyDescent="0.3">
      <c r="D67" s="11" t="s">
        <v>382</v>
      </c>
      <c r="E67" s="11" t="s">
        <v>1088</v>
      </c>
      <c r="F67" s="11" t="s">
        <v>880</v>
      </c>
      <c r="G67" s="12">
        <v>84</v>
      </c>
    </row>
    <row r="68" spans="4:7" x14ac:dyDescent="0.3">
      <c r="D68" s="11" t="s">
        <v>734</v>
      </c>
      <c r="E68" s="11" t="s">
        <v>1103</v>
      </c>
      <c r="F68" s="11" t="s">
        <v>914</v>
      </c>
      <c r="G68" s="12">
        <v>80</v>
      </c>
    </row>
    <row r="69" spans="4:7" x14ac:dyDescent="0.3">
      <c r="D69" s="11" t="s">
        <v>77</v>
      </c>
      <c r="E69" s="11" t="s">
        <v>1112</v>
      </c>
      <c r="F69" s="11" t="s">
        <v>810</v>
      </c>
      <c r="G69" s="12">
        <v>80</v>
      </c>
    </row>
    <row r="70" spans="4:7" x14ac:dyDescent="0.3">
      <c r="D70" s="11" t="s">
        <v>295</v>
      </c>
      <c r="E70" s="11" t="s">
        <v>980</v>
      </c>
      <c r="F70" s="11" t="s">
        <v>895</v>
      </c>
      <c r="G70" s="12">
        <v>80</v>
      </c>
    </row>
    <row r="71" spans="4:7" x14ac:dyDescent="0.3">
      <c r="D71" s="11" t="s">
        <v>303</v>
      </c>
      <c r="E71" s="11" t="s">
        <v>1125</v>
      </c>
      <c r="F71" s="11" t="s">
        <v>906</v>
      </c>
      <c r="G71" s="12">
        <v>80</v>
      </c>
    </row>
    <row r="72" spans="4:7" x14ac:dyDescent="0.3">
      <c r="D72" s="11" t="s">
        <v>474</v>
      </c>
      <c r="E72" s="11" t="s">
        <v>1083</v>
      </c>
      <c r="F72" s="11" t="s">
        <v>860</v>
      </c>
      <c r="G72" s="12">
        <v>80</v>
      </c>
    </row>
    <row r="73" spans="4:7" x14ac:dyDescent="0.3">
      <c r="D73" s="11" t="s">
        <v>351</v>
      </c>
      <c r="E73" s="11" t="s">
        <v>1089</v>
      </c>
      <c r="F73" s="11" t="s">
        <v>881</v>
      </c>
      <c r="G73" s="12">
        <v>80</v>
      </c>
    </row>
    <row r="74" spans="4:7" x14ac:dyDescent="0.3">
      <c r="D74" s="11" t="s">
        <v>126</v>
      </c>
      <c r="E74" s="11" t="s">
        <v>980</v>
      </c>
      <c r="F74" s="11" t="s">
        <v>883</v>
      </c>
      <c r="G74" s="12">
        <v>78</v>
      </c>
    </row>
    <row r="75" spans="4:7" x14ac:dyDescent="0.3">
      <c r="D75" s="11" t="s">
        <v>354</v>
      </c>
      <c r="E75" s="11" t="s">
        <v>1094</v>
      </c>
      <c r="F75" s="11" t="s">
        <v>805</v>
      </c>
      <c r="G75" s="12">
        <v>78</v>
      </c>
    </row>
    <row r="76" spans="4:7" x14ac:dyDescent="0.3">
      <c r="D76" s="11" t="s">
        <v>137</v>
      </c>
      <c r="E76" s="11" t="s">
        <v>1123</v>
      </c>
      <c r="F76" s="11" t="s">
        <v>828</v>
      </c>
      <c r="G76" s="12">
        <v>78</v>
      </c>
    </row>
    <row r="77" spans="4:7" x14ac:dyDescent="0.3">
      <c r="D77" s="11" t="s">
        <v>138</v>
      </c>
      <c r="E77" s="11" t="s">
        <v>1103</v>
      </c>
      <c r="F77" s="11" t="s">
        <v>919</v>
      </c>
      <c r="G77" s="12">
        <v>78</v>
      </c>
    </row>
    <row r="78" spans="4:7" x14ac:dyDescent="0.3">
      <c r="D78" s="11" t="s">
        <v>53</v>
      </c>
      <c r="E78" s="11" t="s">
        <v>1103</v>
      </c>
      <c r="F78" s="11" t="s">
        <v>883</v>
      </c>
      <c r="G78" s="12">
        <v>78</v>
      </c>
    </row>
    <row r="79" spans="4:7" x14ac:dyDescent="0.3">
      <c r="D79" s="11" t="s">
        <v>430</v>
      </c>
      <c r="E79" s="11" t="s">
        <v>1121</v>
      </c>
      <c r="F79" s="11" t="s">
        <v>790</v>
      </c>
      <c r="G79" s="12">
        <v>76</v>
      </c>
    </row>
    <row r="80" spans="4:7" x14ac:dyDescent="0.3">
      <c r="D80" s="11" t="s">
        <v>148</v>
      </c>
      <c r="E80" s="11" t="s">
        <v>1092</v>
      </c>
      <c r="F80" s="11" t="s">
        <v>878</v>
      </c>
      <c r="G80" s="12">
        <v>76</v>
      </c>
    </row>
    <row r="81" spans="4:7" x14ac:dyDescent="0.3">
      <c r="D81" s="11" t="s">
        <v>122</v>
      </c>
      <c r="E81" s="11" t="s">
        <v>1116</v>
      </c>
      <c r="F81" s="11" t="s">
        <v>918</v>
      </c>
      <c r="G81" s="12">
        <v>76</v>
      </c>
    </row>
    <row r="82" spans="4:7" x14ac:dyDescent="0.3">
      <c r="D82" s="11" t="s">
        <v>656</v>
      </c>
      <c r="E82" s="11" t="s">
        <v>1090</v>
      </c>
      <c r="F82" s="11" t="s">
        <v>828</v>
      </c>
      <c r="G82" s="12">
        <v>76</v>
      </c>
    </row>
    <row r="83" spans="4:7" x14ac:dyDescent="0.3">
      <c r="D83" s="11" t="s">
        <v>428</v>
      </c>
      <c r="E83" s="11" t="s">
        <v>1086</v>
      </c>
      <c r="F83" s="11" t="s">
        <v>825</v>
      </c>
      <c r="G83" s="12">
        <v>76</v>
      </c>
    </row>
    <row r="84" spans="4:7" x14ac:dyDescent="0.3">
      <c r="D84" s="11" t="s">
        <v>352</v>
      </c>
      <c r="E84" s="11" t="s">
        <v>1077</v>
      </c>
      <c r="F84" s="11" t="s">
        <v>906</v>
      </c>
      <c r="G84" s="12">
        <v>76</v>
      </c>
    </row>
    <row r="85" spans="4:7" x14ac:dyDescent="0.3">
      <c r="D85" s="11" t="s">
        <v>526</v>
      </c>
      <c r="E85" s="11" t="s">
        <v>1100</v>
      </c>
      <c r="F85" s="11" t="s">
        <v>816</v>
      </c>
      <c r="G85" s="12">
        <v>76</v>
      </c>
    </row>
    <row r="86" spans="4:7" x14ac:dyDescent="0.3">
      <c r="D86" s="11" t="s">
        <v>318</v>
      </c>
      <c r="E86" s="11" t="s">
        <v>1100</v>
      </c>
      <c r="F86" s="11" t="s">
        <v>834</v>
      </c>
      <c r="G86" s="12">
        <v>74</v>
      </c>
    </row>
    <row r="87" spans="4:7" x14ac:dyDescent="0.3">
      <c r="D87" s="11" t="s">
        <v>72</v>
      </c>
      <c r="E87" s="11" t="s">
        <v>1089</v>
      </c>
      <c r="F87" s="11" t="s">
        <v>864</v>
      </c>
      <c r="G87" s="12">
        <v>72</v>
      </c>
    </row>
    <row r="88" spans="4:7" x14ac:dyDescent="0.3">
      <c r="D88" s="11" t="s">
        <v>99</v>
      </c>
      <c r="E88" s="11" t="s">
        <v>1099</v>
      </c>
      <c r="F88" s="11" t="s">
        <v>849</v>
      </c>
      <c r="G88" s="12">
        <v>72</v>
      </c>
    </row>
    <row r="89" spans="4:7" x14ac:dyDescent="0.3">
      <c r="D89" s="11" t="s">
        <v>154</v>
      </c>
      <c r="E89" s="11" t="s">
        <v>1121</v>
      </c>
      <c r="F89" s="11" t="s">
        <v>856</v>
      </c>
      <c r="G89" s="12">
        <v>72</v>
      </c>
    </row>
    <row r="90" spans="4:7" x14ac:dyDescent="0.3">
      <c r="D90" s="11" t="s">
        <v>96</v>
      </c>
      <c r="E90" s="11" t="s">
        <v>1113</v>
      </c>
      <c r="F90" s="11" t="s">
        <v>906</v>
      </c>
      <c r="G90" s="12">
        <v>72</v>
      </c>
    </row>
    <row r="91" spans="4:7" x14ac:dyDescent="0.3">
      <c r="D91" s="11" t="s">
        <v>438</v>
      </c>
      <c r="E91" s="11" t="s">
        <v>1102</v>
      </c>
      <c r="F91" s="11" t="s">
        <v>874</v>
      </c>
      <c r="G91" s="12">
        <v>72</v>
      </c>
    </row>
    <row r="92" spans="4:7" x14ac:dyDescent="0.3">
      <c r="D92" s="11" t="s">
        <v>779</v>
      </c>
      <c r="E92" s="11" t="s">
        <v>1106</v>
      </c>
      <c r="F92" s="11" t="s">
        <v>883</v>
      </c>
      <c r="G92" s="12">
        <v>72</v>
      </c>
    </row>
    <row r="93" spans="4:7" x14ac:dyDescent="0.3">
      <c r="D93" s="11" t="s">
        <v>291</v>
      </c>
      <c r="E93" s="11" t="s">
        <v>1092</v>
      </c>
      <c r="F93" s="11" t="s">
        <v>919</v>
      </c>
      <c r="G93" s="12">
        <v>72</v>
      </c>
    </row>
    <row r="94" spans="4:7" x14ac:dyDescent="0.3">
      <c r="D94" s="11" t="s">
        <v>214</v>
      </c>
      <c r="E94" s="11" t="s">
        <v>1119</v>
      </c>
      <c r="F94" s="11" t="s">
        <v>939</v>
      </c>
      <c r="G94" s="12">
        <v>70</v>
      </c>
    </row>
    <row r="95" spans="4:7" x14ac:dyDescent="0.3">
      <c r="D95" s="11" t="s">
        <v>397</v>
      </c>
      <c r="E95" s="11" t="s">
        <v>1114</v>
      </c>
      <c r="F95" s="11" t="s">
        <v>834</v>
      </c>
      <c r="G95" s="12">
        <v>70</v>
      </c>
    </row>
    <row r="96" spans="4:7" x14ac:dyDescent="0.3">
      <c r="D96" s="11" t="s">
        <v>263</v>
      </c>
      <c r="E96" s="11" t="s">
        <v>1103</v>
      </c>
      <c r="F96" s="11" t="s">
        <v>874</v>
      </c>
      <c r="G96" s="12">
        <v>70</v>
      </c>
    </row>
    <row r="97" spans="4:7" x14ac:dyDescent="0.3">
      <c r="D97" s="11" t="s">
        <v>279</v>
      </c>
      <c r="E97" s="11" t="s">
        <v>1095</v>
      </c>
      <c r="F97" s="11" t="s">
        <v>876</v>
      </c>
      <c r="G97" s="12">
        <v>68</v>
      </c>
    </row>
    <row r="98" spans="4:7" x14ac:dyDescent="0.3">
      <c r="D98" s="11" t="s">
        <v>570</v>
      </c>
      <c r="E98" s="11" t="s">
        <v>1094</v>
      </c>
      <c r="F98" s="11" t="s">
        <v>805</v>
      </c>
      <c r="G98" s="12">
        <v>68</v>
      </c>
    </row>
    <row r="99" spans="4:7" x14ac:dyDescent="0.3">
      <c r="D99" s="11" t="s">
        <v>361</v>
      </c>
      <c r="E99" s="11" t="s">
        <v>1098</v>
      </c>
      <c r="F99" s="11" t="s">
        <v>873</v>
      </c>
      <c r="G99" s="12">
        <v>68</v>
      </c>
    </row>
    <row r="100" spans="4:7" x14ac:dyDescent="0.3">
      <c r="D100" s="11" t="s">
        <v>157</v>
      </c>
      <c r="E100" s="11" t="s">
        <v>1098</v>
      </c>
      <c r="F100" s="11" t="s">
        <v>837</v>
      </c>
      <c r="G100" s="12">
        <v>68</v>
      </c>
    </row>
    <row r="101" spans="4:7" x14ac:dyDescent="0.3">
      <c r="D101" s="11" t="s">
        <v>201</v>
      </c>
      <c r="E101" s="11" t="s">
        <v>1093</v>
      </c>
      <c r="F101" s="11" t="s">
        <v>853</v>
      </c>
      <c r="G101" s="12">
        <v>68</v>
      </c>
    </row>
    <row r="102" spans="4:7" x14ac:dyDescent="0.3">
      <c r="D102" s="11" t="s">
        <v>64</v>
      </c>
      <c r="E102" s="11" t="s">
        <v>1104</v>
      </c>
      <c r="F102" s="11" t="s">
        <v>829</v>
      </c>
      <c r="G102" s="12">
        <v>68</v>
      </c>
    </row>
    <row r="103" spans="4:7" x14ac:dyDescent="0.3">
      <c r="D103" s="11" t="s">
        <v>372</v>
      </c>
      <c r="E103" s="11" t="s">
        <v>1082</v>
      </c>
      <c r="F103" s="11" t="s">
        <v>810</v>
      </c>
      <c r="G103" s="12">
        <v>68</v>
      </c>
    </row>
    <row r="104" spans="4:7" x14ac:dyDescent="0.3">
      <c r="D104" s="11" t="s">
        <v>304</v>
      </c>
      <c r="E104" s="11" t="s">
        <v>1112</v>
      </c>
      <c r="F104" s="11" t="s">
        <v>906</v>
      </c>
      <c r="G104" s="12">
        <v>68</v>
      </c>
    </row>
    <row r="105" spans="4:7" x14ac:dyDescent="0.3">
      <c r="D105" s="11" t="s">
        <v>600</v>
      </c>
      <c r="E105" s="11" t="s">
        <v>980</v>
      </c>
      <c r="F105" s="11" t="s">
        <v>825</v>
      </c>
      <c r="G105" s="12">
        <v>68</v>
      </c>
    </row>
    <row r="106" spans="4:7" x14ac:dyDescent="0.3">
      <c r="D106" s="11" t="s">
        <v>648</v>
      </c>
      <c r="E106" s="11" t="s">
        <v>1081</v>
      </c>
      <c r="F106" s="11" t="s">
        <v>856</v>
      </c>
      <c r="G106" s="12">
        <v>66</v>
      </c>
    </row>
    <row r="107" spans="4:7" x14ac:dyDescent="0.3">
      <c r="D107" s="11" t="s">
        <v>91</v>
      </c>
      <c r="E107" s="11" t="s">
        <v>1109</v>
      </c>
      <c r="F107" s="11" t="s">
        <v>919</v>
      </c>
      <c r="G107" s="12">
        <v>66</v>
      </c>
    </row>
    <row r="108" spans="4:7" x14ac:dyDescent="0.3">
      <c r="D108" s="11" t="s">
        <v>410</v>
      </c>
      <c r="E108" s="11" t="s">
        <v>1096</v>
      </c>
      <c r="F108" s="11" t="s">
        <v>881</v>
      </c>
      <c r="G108" s="12">
        <v>66</v>
      </c>
    </row>
    <row r="109" spans="4:7" x14ac:dyDescent="0.3">
      <c r="D109" s="11" t="s">
        <v>218</v>
      </c>
      <c r="E109" s="11" t="s">
        <v>1100</v>
      </c>
      <c r="F109" s="11" t="s">
        <v>873</v>
      </c>
      <c r="G109" s="12">
        <v>66</v>
      </c>
    </row>
    <row r="110" spans="4:7" x14ac:dyDescent="0.3">
      <c r="D110" s="11" t="s">
        <v>518</v>
      </c>
      <c r="E110" s="11" t="s">
        <v>1089</v>
      </c>
      <c r="F110" s="11" t="s">
        <v>878</v>
      </c>
      <c r="G110" s="12">
        <v>64</v>
      </c>
    </row>
    <row r="111" spans="4:7" x14ac:dyDescent="0.3">
      <c r="D111" s="11" t="s">
        <v>317</v>
      </c>
      <c r="E111" s="11" t="s">
        <v>1118</v>
      </c>
      <c r="F111" s="11" t="s">
        <v>827</v>
      </c>
      <c r="G111" s="12">
        <v>64</v>
      </c>
    </row>
    <row r="112" spans="4:7" x14ac:dyDescent="0.3">
      <c r="D112" s="11" t="s">
        <v>249</v>
      </c>
      <c r="E112" s="11" t="s">
        <v>1123</v>
      </c>
      <c r="F112" s="11" t="s">
        <v>939</v>
      </c>
      <c r="G112" s="12">
        <v>64</v>
      </c>
    </row>
    <row r="113" spans="4:7" x14ac:dyDescent="0.3">
      <c r="D113" s="11" t="s">
        <v>232</v>
      </c>
      <c r="E113" s="11" t="s">
        <v>980</v>
      </c>
      <c r="F113" s="11" t="s">
        <v>893</v>
      </c>
      <c r="G113" s="12">
        <v>64</v>
      </c>
    </row>
    <row r="114" spans="4:7" x14ac:dyDescent="0.3">
      <c r="D114" s="11" t="s">
        <v>727</v>
      </c>
      <c r="E114" s="11" t="s">
        <v>1123</v>
      </c>
      <c r="F114" s="11" t="s">
        <v>805</v>
      </c>
      <c r="G114" s="12">
        <v>64</v>
      </c>
    </row>
    <row r="115" spans="4:7" x14ac:dyDescent="0.3">
      <c r="D115" s="11" t="s">
        <v>452</v>
      </c>
      <c r="E115" s="11" t="s">
        <v>1126</v>
      </c>
      <c r="F115" s="11" t="s">
        <v>830</v>
      </c>
      <c r="G115" s="12">
        <v>64</v>
      </c>
    </row>
    <row r="116" spans="4:7" x14ac:dyDescent="0.3">
      <c r="D116" s="11" t="s">
        <v>267</v>
      </c>
      <c r="E116" s="11" t="s">
        <v>1116</v>
      </c>
      <c r="F116" s="11" t="s">
        <v>870</v>
      </c>
      <c r="G116" s="12">
        <v>64</v>
      </c>
    </row>
    <row r="117" spans="4:7" x14ac:dyDescent="0.3">
      <c r="D117" s="11" t="s">
        <v>527</v>
      </c>
      <c r="E117" s="11" t="s">
        <v>1086</v>
      </c>
      <c r="F117" s="11" t="s">
        <v>873</v>
      </c>
      <c r="G117" s="12">
        <v>64</v>
      </c>
    </row>
    <row r="118" spans="4:7" x14ac:dyDescent="0.3">
      <c r="D118" s="11" t="s">
        <v>140</v>
      </c>
      <c r="E118" s="11" t="s">
        <v>1091</v>
      </c>
      <c r="F118" s="11" t="s">
        <v>939</v>
      </c>
      <c r="G118" s="12">
        <v>64</v>
      </c>
    </row>
    <row r="119" spans="4:7" x14ac:dyDescent="0.3">
      <c r="D119" s="11" t="s">
        <v>269</v>
      </c>
      <c r="E119" s="11" t="s">
        <v>1113</v>
      </c>
      <c r="F119" s="11" t="s">
        <v>790</v>
      </c>
      <c r="G119" s="12">
        <v>62</v>
      </c>
    </row>
    <row r="120" spans="4:7" x14ac:dyDescent="0.3">
      <c r="D120" s="11" t="s">
        <v>169</v>
      </c>
      <c r="E120" s="11" t="s">
        <v>1104</v>
      </c>
      <c r="F120" s="11" t="s">
        <v>857</v>
      </c>
      <c r="G120" s="12">
        <v>62</v>
      </c>
    </row>
    <row r="121" spans="4:7" x14ac:dyDescent="0.3">
      <c r="D121" s="11" t="s">
        <v>440</v>
      </c>
      <c r="E121" s="11" t="s">
        <v>1114</v>
      </c>
      <c r="F121" s="11" t="s">
        <v>841</v>
      </c>
      <c r="G121" s="12">
        <v>62</v>
      </c>
    </row>
    <row r="122" spans="4:7" x14ac:dyDescent="0.3">
      <c r="D122" s="11" t="s">
        <v>111</v>
      </c>
      <c r="E122" s="11" t="s">
        <v>1112</v>
      </c>
      <c r="F122" s="11" t="s">
        <v>939</v>
      </c>
      <c r="G122" s="12">
        <v>62</v>
      </c>
    </row>
    <row r="123" spans="4:7" x14ac:dyDescent="0.3">
      <c r="D123" s="11" t="s">
        <v>193</v>
      </c>
      <c r="E123" s="11" t="s">
        <v>1120</v>
      </c>
      <c r="F123" s="11" t="s">
        <v>918</v>
      </c>
      <c r="G123" s="12">
        <v>62</v>
      </c>
    </row>
    <row r="124" spans="4:7" x14ac:dyDescent="0.3">
      <c r="D124" s="11" t="s">
        <v>146</v>
      </c>
      <c r="E124" s="11" t="s">
        <v>1101</v>
      </c>
      <c r="F124" s="11" t="s">
        <v>816</v>
      </c>
      <c r="G124" s="12">
        <v>60</v>
      </c>
    </row>
    <row r="125" spans="4:7" x14ac:dyDescent="0.3">
      <c r="D125" s="11" t="s">
        <v>366</v>
      </c>
      <c r="E125" s="11" t="s">
        <v>1114</v>
      </c>
      <c r="F125" s="11" t="s">
        <v>837</v>
      </c>
      <c r="G125" s="12">
        <v>60</v>
      </c>
    </row>
    <row r="126" spans="4:7" x14ac:dyDescent="0.3">
      <c r="D126" s="11" t="s">
        <v>503</v>
      </c>
      <c r="E126" s="11" t="s">
        <v>1104</v>
      </c>
      <c r="F126" s="11" t="s">
        <v>947</v>
      </c>
      <c r="G126" s="12">
        <v>60</v>
      </c>
    </row>
    <row r="127" spans="4:7" x14ac:dyDescent="0.3">
      <c r="D127" s="11" t="s">
        <v>1039</v>
      </c>
      <c r="E127" s="11" t="s">
        <v>1113</v>
      </c>
      <c r="F127" s="11" t="s">
        <v>914</v>
      </c>
      <c r="G127" s="12">
        <v>60</v>
      </c>
    </row>
    <row r="128" spans="4:7" x14ac:dyDescent="0.3">
      <c r="D128" s="11" t="s">
        <v>559</v>
      </c>
      <c r="E128" s="11" t="s">
        <v>1080</v>
      </c>
      <c r="F128" s="11" t="s">
        <v>915</v>
      </c>
      <c r="G128" s="12">
        <v>60</v>
      </c>
    </row>
    <row r="129" spans="4:7" x14ac:dyDescent="0.3">
      <c r="D129" s="11" t="s">
        <v>460</v>
      </c>
      <c r="E129" s="11" t="s">
        <v>1098</v>
      </c>
      <c r="F129" s="11" t="s">
        <v>883</v>
      </c>
      <c r="G129" s="12">
        <v>60</v>
      </c>
    </row>
    <row r="130" spans="4:7" x14ac:dyDescent="0.3">
      <c r="D130" s="11" t="s">
        <v>133</v>
      </c>
      <c r="E130" s="11" t="s">
        <v>1111</v>
      </c>
      <c r="F130" s="11" t="s">
        <v>893</v>
      </c>
      <c r="G130" s="12">
        <v>60</v>
      </c>
    </row>
    <row r="131" spans="4:7" x14ac:dyDescent="0.3">
      <c r="D131" s="11" t="s">
        <v>229</v>
      </c>
      <c r="E131" s="11" t="s">
        <v>1091</v>
      </c>
      <c r="F131" s="11" t="s">
        <v>852</v>
      </c>
      <c r="G131" s="12">
        <v>60</v>
      </c>
    </row>
    <row r="132" spans="4:7" x14ac:dyDescent="0.3">
      <c r="D132" s="11" t="s">
        <v>475</v>
      </c>
      <c r="E132" s="11" t="s">
        <v>1079</v>
      </c>
      <c r="F132" s="11" t="s">
        <v>810</v>
      </c>
      <c r="G132" s="12">
        <v>60</v>
      </c>
    </row>
    <row r="133" spans="4:7" x14ac:dyDescent="0.3">
      <c r="D133" s="11" t="s">
        <v>213</v>
      </c>
      <c r="E133" s="11" t="s">
        <v>1078</v>
      </c>
      <c r="F133" s="11" t="s">
        <v>915</v>
      </c>
      <c r="G133" s="12">
        <v>60</v>
      </c>
    </row>
    <row r="134" spans="4:7" x14ac:dyDescent="0.3">
      <c r="D134" s="11" t="s">
        <v>222</v>
      </c>
      <c r="E134" s="11" t="s">
        <v>1109</v>
      </c>
      <c r="F134" s="11" t="s">
        <v>816</v>
      </c>
      <c r="G134" s="12">
        <v>60</v>
      </c>
    </row>
    <row r="135" spans="4:7" x14ac:dyDescent="0.3">
      <c r="D135" s="11" t="s">
        <v>970</v>
      </c>
      <c r="E135" s="11" t="s">
        <v>1119</v>
      </c>
      <c r="F135" s="11" t="s">
        <v>825</v>
      </c>
      <c r="G135" s="12">
        <v>60</v>
      </c>
    </row>
    <row r="136" spans="4:7" x14ac:dyDescent="0.3">
      <c r="D136" s="11" t="s">
        <v>100</v>
      </c>
      <c r="E136" s="11" t="s">
        <v>1086</v>
      </c>
      <c r="F136" s="11" t="s">
        <v>825</v>
      </c>
      <c r="G136" s="12">
        <v>60</v>
      </c>
    </row>
    <row r="137" spans="4:7" x14ac:dyDescent="0.3">
      <c r="D137" s="11" t="s">
        <v>551</v>
      </c>
      <c r="E137" s="11" t="s">
        <v>1088</v>
      </c>
      <c r="F137" s="11" t="s">
        <v>932</v>
      </c>
      <c r="G137" s="12">
        <v>60</v>
      </c>
    </row>
    <row r="138" spans="4:7" x14ac:dyDescent="0.3">
      <c r="D138" s="11" t="s">
        <v>516</v>
      </c>
      <c r="E138" s="11" t="s">
        <v>1087</v>
      </c>
      <c r="F138" s="11" t="s">
        <v>796</v>
      </c>
      <c r="G138" s="12">
        <v>60</v>
      </c>
    </row>
    <row r="139" spans="4:7" x14ac:dyDescent="0.3">
      <c r="D139" s="11" t="s">
        <v>510</v>
      </c>
      <c r="E139" s="11" t="s">
        <v>1105</v>
      </c>
      <c r="F139" s="11" t="s">
        <v>900</v>
      </c>
      <c r="G139" s="12">
        <v>58</v>
      </c>
    </row>
    <row r="140" spans="4:7" x14ac:dyDescent="0.3">
      <c r="D140" s="11" t="s">
        <v>276</v>
      </c>
      <c r="E140" s="11" t="s">
        <v>1084</v>
      </c>
      <c r="F140" s="11" t="s">
        <v>853</v>
      </c>
      <c r="G140" s="12">
        <v>58</v>
      </c>
    </row>
    <row r="141" spans="4:7" x14ac:dyDescent="0.3">
      <c r="D141" s="11" t="s">
        <v>387</v>
      </c>
      <c r="E141" s="11" t="s">
        <v>1104</v>
      </c>
      <c r="F141" s="11" t="s">
        <v>870</v>
      </c>
      <c r="G141" s="12">
        <v>58</v>
      </c>
    </row>
    <row r="142" spans="4:7" x14ac:dyDescent="0.3">
      <c r="D142" s="11" t="s">
        <v>47</v>
      </c>
      <c r="E142" s="11" t="s">
        <v>1083</v>
      </c>
      <c r="F142" s="11" t="s">
        <v>881</v>
      </c>
      <c r="G142" s="12">
        <v>58</v>
      </c>
    </row>
    <row r="143" spans="4:7" x14ac:dyDescent="0.3">
      <c r="D143" s="11" t="s">
        <v>385</v>
      </c>
      <c r="E143" s="11" t="s">
        <v>1110</v>
      </c>
      <c r="F143" s="11" t="s">
        <v>895</v>
      </c>
      <c r="G143" s="12">
        <v>58</v>
      </c>
    </row>
    <row r="144" spans="4:7" x14ac:dyDescent="0.3">
      <c r="D144" s="11" t="s">
        <v>290</v>
      </c>
      <c r="E144" s="11" t="s">
        <v>1089</v>
      </c>
      <c r="F144" s="11" t="s">
        <v>853</v>
      </c>
      <c r="G144" s="12">
        <v>56</v>
      </c>
    </row>
    <row r="145" spans="4:7" x14ac:dyDescent="0.3">
      <c r="D145" s="11" t="s">
        <v>338</v>
      </c>
      <c r="E145" s="11" t="s">
        <v>1123</v>
      </c>
      <c r="F145" s="11" t="s">
        <v>822</v>
      </c>
      <c r="G145" s="12">
        <v>56</v>
      </c>
    </row>
    <row r="146" spans="4:7" x14ac:dyDescent="0.3">
      <c r="D146" s="11" t="s">
        <v>739</v>
      </c>
      <c r="E146" s="11" t="s">
        <v>1080</v>
      </c>
      <c r="F146" s="11" t="s">
        <v>885</v>
      </c>
      <c r="G146" s="12">
        <v>56</v>
      </c>
    </row>
    <row r="147" spans="4:7" x14ac:dyDescent="0.3">
      <c r="D147" s="11" t="s">
        <v>754</v>
      </c>
      <c r="E147" s="11" t="s">
        <v>1087</v>
      </c>
      <c r="F147" s="11" t="s">
        <v>805</v>
      </c>
      <c r="G147" s="12">
        <v>56</v>
      </c>
    </row>
    <row r="148" spans="4:7" x14ac:dyDescent="0.3">
      <c r="D148" s="11" t="s">
        <v>731</v>
      </c>
      <c r="E148" s="11" t="s">
        <v>1087</v>
      </c>
      <c r="F148" s="11" t="s">
        <v>873</v>
      </c>
      <c r="G148" s="12">
        <v>56</v>
      </c>
    </row>
    <row r="149" spans="4:7" x14ac:dyDescent="0.3">
      <c r="D149" s="11" t="s">
        <v>580</v>
      </c>
      <c r="E149" s="11" t="s">
        <v>1098</v>
      </c>
      <c r="F149" s="11" t="s">
        <v>874</v>
      </c>
      <c r="G149" s="12">
        <v>56</v>
      </c>
    </row>
    <row r="150" spans="4:7" x14ac:dyDescent="0.3">
      <c r="D150" s="11" t="s">
        <v>609</v>
      </c>
      <c r="E150" s="11" t="s">
        <v>1093</v>
      </c>
      <c r="F150" s="11" t="s">
        <v>818</v>
      </c>
      <c r="G150" s="12">
        <v>56</v>
      </c>
    </row>
    <row r="151" spans="4:7" x14ac:dyDescent="0.3">
      <c r="D151" s="11" t="s">
        <v>495</v>
      </c>
      <c r="E151" s="11" t="s">
        <v>1079</v>
      </c>
      <c r="F151" s="11" t="s">
        <v>829</v>
      </c>
      <c r="G151" s="12">
        <v>56</v>
      </c>
    </row>
    <row r="152" spans="4:7" x14ac:dyDescent="0.3">
      <c r="D152" s="11" t="s">
        <v>296</v>
      </c>
      <c r="E152" s="11" t="s">
        <v>1122</v>
      </c>
      <c r="F152" s="11" t="s">
        <v>926</v>
      </c>
      <c r="G152" s="12">
        <v>56</v>
      </c>
    </row>
    <row r="153" spans="4:7" x14ac:dyDescent="0.3">
      <c r="D153" s="11" t="s">
        <v>445</v>
      </c>
      <c r="E153" s="11" t="s">
        <v>1077</v>
      </c>
      <c r="F153" s="11" t="s">
        <v>860</v>
      </c>
      <c r="G153" s="12">
        <v>56</v>
      </c>
    </row>
    <row r="154" spans="4:7" x14ac:dyDescent="0.3">
      <c r="D154" s="11" t="s">
        <v>171</v>
      </c>
      <c r="E154" s="11" t="s">
        <v>1097</v>
      </c>
      <c r="F154" s="11" t="s">
        <v>852</v>
      </c>
      <c r="G154" s="12">
        <v>56</v>
      </c>
    </row>
    <row r="155" spans="4:7" x14ac:dyDescent="0.3">
      <c r="D155" s="11" t="s">
        <v>984</v>
      </c>
      <c r="E155" s="11" t="s">
        <v>1122</v>
      </c>
      <c r="F155" s="11" t="s">
        <v>810</v>
      </c>
      <c r="G155" s="12">
        <v>56</v>
      </c>
    </row>
    <row r="156" spans="4:7" x14ac:dyDescent="0.3">
      <c r="D156" s="11" t="s">
        <v>678</v>
      </c>
      <c r="E156" s="11" t="s">
        <v>1100</v>
      </c>
      <c r="F156" s="11" t="s">
        <v>899</v>
      </c>
      <c r="G156" s="12">
        <v>56</v>
      </c>
    </row>
    <row r="157" spans="4:7" x14ac:dyDescent="0.3">
      <c r="D157" s="11" t="s">
        <v>205</v>
      </c>
      <c r="E157" s="11" t="s">
        <v>1128</v>
      </c>
      <c r="F157" s="11" t="s">
        <v>853</v>
      </c>
      <c r="G157" s="12">
        <v>56</v>
      </c>
    </row>
    <row r="158" spans="4:7" x14ac:dyDescent="0.3">
      <c r="D158" s="11" t="s">
        <v>529</v>
      </c>
      <c r="E158" s="11" t="s">
        <v>1109</v>
      </c>
      <c r="F158" s="11" t="s">
        <v>846</v>
      </c>
      <c r="G158" s="12">
        <v>56</v>
      </c>
    </row>
    <row r="159" spans="4:7" x14ac:dyDescent="0.3">
      <c r="D159" s="11" t="s">
        <v>136</v>
      </c>
      <c r="E159" s="11" t="s">
        <v>1105</v>
      </c>
      <c r="F159" s="11" t="s">
        <v>853</v>
      </c>
      <c r="G159" s="12">
        <v>56</v>
      </c>
    </row>
    <row r="160" spans="4:7" x14ac:dyDescent="0.3">
      <c r="D160" s="11" t="s">
        <v>652</v>
      </c>
      <c r="E160" s="11" t="s">
        <v>1122</v>
      </c>
      <c r="F160" s="11" t="s">
        <v>801</v>
      </c>
      <c r="G160" s="12">
        <v>56</v>
      </c>
    </row>
    <row r="161" spans="4:7" x14ac:dyDescent="0.3">
      <c r="D161" s="11" t="s">
        <v>235</v>
      </c>
      <c r="E161" s="11" t="s">
        <v>1126</v>
      </c>
      <c r="F161" s="11" t="s">
        <v>810</v>
      </c>
      <c r="G161" s="12">
        <v>56</v>
      </c>
    </row>
    <row r="162" spans="4:7" x14ac:dyDescent="0.3">
      <c r="D162" s="11" t="s">
        <v>242</v>
      </c>
      <c r="E162" s="11" t="s">
        <v>1080</v>
      </c>
      <c r="F162" s="11" t="s">
        <v>853</v>
      </c>
      <c r="G162" s="12">
        <v>54</v>
      </c>
    </row>
    <row r="163" spans="4:7" x14ac:dyDescent="0.3">
      <c r="D163" s="11" t="s">
        <v>16</v>
      </c>
      <c r="E163" s="11" t="s">
        <v>1079</v>
      </c>
      <c r="F163" s="11" t="s">
        <v>895</v>
      </c>
      <c r="G163" s="12">
        <v>54</v>
      </c>
    </row>
    <row r="164" spans="4:7" x14ac:dyDescent="0.3">
      <c r="D164" s="11" t="s">
        <v>350</v>
      </c>
      <c r="E164" s="11" t="s">
        <v>1111</v>
      </c>
      <c r="F164" s="11" t="s">
        <v>919</v>
      </c>
      <c r="G164" s="12">
        <v>54</v>
      </c>
    </row>
    <row r="165" spans="4:7" x14ac:dyDescent="0.3">
      <c r="D165" s="11" t="s">
        <v>708</v>
      </c>
      <c r="E165" s="11" t="s">
        <v>1080</v>
      </c>
      <c r="F165" s="11" t="s">
        <v>895</v>
      </c>
      <c r="G165" s="12">
        <v>54</v>
      </c>
    </row>
    <row r="166" spans="4:7" x14ac:dyDescent="0.3">
      <c r="D166" s="11" t="s">
        <v>371</v>
      </c>
      <c r="E166" s="11" t="s">
        <v>1094</v>
      </c>
      <c r="F166" s="11" t="s">
        <v>846</v>
      </c>
      <c r="G166" s="12">
        <v>54</v>
      </c>
    </row>
    <row r="167" spans="4:7" x14ac:dyDescent="0.3">
      <c r="D167" s="11" t="s">
        <v>383</v>
      </c>
      <c r="E167" s="11" t="s">
        <v>1085</v>
      </c>
      <c r="F167" s="11" t="s">
        <v>878</v>
      </c>
      <c r="G167" s="12">
        <v>52</v>
      </c>
    </row>
    <row r="168" spans="4:7" x14ac:dyDescent="0.3">
      <c r="D168" s="11" t="s">
        <v>259</v>
      </c>
      <c r="E168" s="11" t="s">
        <v>1123</v>
      </c>
      <c r="F168" s="11" t="s">
        <v>853</v>
      </c>
      <c r="G168" s="12">
        <v>52</v>
      </c>
    </row>
    <row r="169" spans="4:7" x14ac:dyDescent="0.3">
      <c r="D169" s="11" t="s">
        <v>144</v>
      </c>
      <c r="E169" s="11" t="s">
        <v>1108</v>
      </c>
      <c r="F169" s="11" t="s">
        <v>947</v>
      </c>
      <c r="G169" s="12">
        <v>52</v>
      </c>
    </row>
    <row r="170" spans="4:7" x14ac:dyDescent="0.3">
      <c r="D170" s="11" t="s">
        <v>659</v>
      </c>
      <c r="E170" s="11" t="s">
        <v>1105</v>
      </c>
      <c r="F170" s="11" t="s">
        <v>899</v>
      </c>
      <c r="G170" s="12">
        <v>52</v>
      </c>
    </row>
    <row r="171" spans="4:7" x14ac:dyDescent="0.3">
      <c r="D171" s="11" t="s">
        <v>196</v>
      </c>
      <c r="E171" s="11" t="s">
        <v>1103</v>
      </c>
      <c r="F171" s="11" t="s">
        <v>856</v>
      </c>
      <c r="G171" s="12">
        <v>52</v>
      </c>
    </row>
    <row r="172" spans="4:7" x14ac:dyDescent="0.3">
      <c r="D172" s="11" t="s">
        <v>369</v>
      </c>
      <c r="E172" s="11" t="s">
        <v>1112</v>
      </c>
      <c r="F172" s="11" t="s">
        <v>883</v>
      </c>
      <c r="G172" s="12">
        <v>52</v>
      </c>
    </row>
    <row r="173" spans="4:7" x14ac:dyDescent="0.3">
      <c r="D173" s="11" t="s">
        <v>617</v>
      </c>
      <c r="E173" s="11" t="s">
        <v>1081</v>
      </c>
      <c r="F173" s="11" t="s">
        <v>837</v>
      </c>
      <c r="G173" s="12">
        <v>52</v>
      </c>
    </row>
    <row r="174" spans="4:7" x14ac:dyDescent="0.3">
      <c r="D174" s="11" t="s">
        <v>135</v>
      </c>
      <c r="E174" s="11" t="s">
        <v>1104</v>
      </c>
      <c r="F174" s="11" t="s">
        <v>864</v>
      </c>
      <c r="G174" s="12">
        <v>52</v>
      </c>
    </row>
    <row r="175" spans="4:7" x14ac:dyDescent="0.3">
      <c r="D175" s="11" t="s">
        <v>714</v>
      </c>
      <c r="E175" s="11" t="s">
        <v>1090</v>
      </c>
      <c r="F175" s="11" t="s">
        <v>857</v>
      </c>
      <c r="G175" s="12">
        <v>52</v>
      </c>
    </row>
    <row r="176" spans="4:7" x14ac:dyDescent="0.3">
      <c r="D176" s="11" t="s">
        <v>392</v>
      </c>
      <c r="E176" s="11" t="s">
        <v>1089</v>
      </c>
      <c r="F176" s="11" t="s">
        <v>841</v>
      </c>
      <c r="G176" s="12">
        <v>52</v>
      </c>
    </row>
    <row r="177" spans="4:7" x14ac:dyDescent="0.3">
      <c r="D177" s="11" t="s">
        <v>258</v>
      </c>
      <c r="E177" s="11" t="s">
        <v>1121</v>
      </c>
      <c r="F177" s="11" t="s">
        <v>790</v>
      </c>
      <c r="G177" s="12">
        <v>52</v>
      </c>
    </row>
    <row r="178" spans="4:7" x14ac:dyDescent="0.3">
      <c r="D178" s="11" t="s">
        <v>334</v>
      </c>
      <c r="E178" s="11" t="s">
        <v>1091</v>
      </c>
      <c r="F178" s="11" t="s">
        <v>830</v>
      </c>
      <c r="G178" s="12">
        <v>52</v>
      </c>
    </row>
    <row r="179" spans="4:7" x14ac:dyDescent="0.3">
      <c r="D179" s="11" t="s">
        <v>604</v>
      </c>
      <c r="E179" s="11" t="s">
        <v>1101</v>
      </c>
      <c r="F179" s="11" t="s">
        <v>818</v>
      </c>
      <c r="G179" s="12">
        <v>52</v>
      </c>
    </row>
    <row r="180" spans="4:7" x14ac:dyDescent="0.3">
      <c r="D180" s="11" t="s">
        <v>115</v>
      </c>
      <c r="E180" s="11" t="s">
        <v>1117</v>
      </c>
      <c r="F180" s="11" t="s">
        <v>932</v>
      </c>
      <c r="G180" s="12">
        <v>52</v>
      </c>
    </row>
    <row r="181" spans="4:7" x14ac:dyDescent="0.3">
      <c r="D181" s="11" t="s">
        <v>982</v>
      </c>
      <c r="E181" s="11" t="s">
        <v>1106</v>
      </c>
      <c r="F181" s="11" t="s">
        <v>893</v>
      </c>
      <c r="G181" s="12">
        <v>52</v>
      </c>
    </row>
    <row r="182" spans="4:7" x14ac:dyDescent="0.3">
      <c r="D182" s="11" t="s">
        <v>520</v>
      </c>
      <c r="E182" s="11" t="s">
        <v>1095</v>
      </c>
      <c r="F182" s="11" t="s">
        <v>830</v>
      </c>
      <c r="G182" s="12">
        <v>52</v>
      </c>
    </row>
    <row r="183" spans="4:7" x14ac:dyDescent="0.3">
      <c r="D183" s="11" t="s">
        <v>427</v>
      </c>
      <c r="E183" s="11" t="s">
        <v>1095</v>
      </c>
      <c r="F183" s="11" t="s">
        <v>914</v>
      </c>
      <c r="G183" s="12">
        <v>50</v>
      </c>
    </row>
    <row r="184" spans="4:7" x14ac:dyDescent="0.3">
      <c r="D184" s="11" t="s">
        <v>588</v>
      </c>
      <c r="E184" s="11" t="s">
        <v>1105</v>
      </c>
      <c r="F184" s="11" t="s">
        <v>829</v>
      </c>
      <c r="G184" s="12">
        <v>50</v>
      </c>
    </row>
    <row r="185" spans="4:7" x14ac:dyDescent="0.3">
      <c r="D185" s="11" t="s">
        <v>109</v>
      </c>
      <c r="E185" s="11" t="s">
        <v>1126</v>
      </c>
      <c r="F185" s="11" t="s">
        <v>864</v>
      </c>
      <c r="G185" s="12">
        <v>50</v>
      </c>
    </row>
    <row r="186" spans="4:7" x14ac:dyDescent="0.3">
      <c r="D186" s="11" t="s">
        <v>117</v>
      </c>
      <c r="E186" s="11" t="s">
        <v>1089</v>
      </c>
      <c r="F186" s="11" t="s">
        <v>852</v>
      </c>
      <c r="G186" s="12">
        <v>48</v>
      </c>
    </row>
    <row r="187" spans="4:7" x14ac:dyDescent="0.3">
      <c r="D187" s="11" t="s">
        <v>262</v>
      </c>
      <c r="E187" s="11" t="s">
        <v>1092</v>
      </c>
      <c r="F187" s="11" t="s">
        <v>853</v>
      </c>
      <c r="G187" s="12">
        <v>48</v>
      </c>
    </row>
    <row r="188" spans="4:7" x14ac:dyDescent="0.3">
      <c r="D188" s="11" t="s">
        <v>1025</v>
      </c>
      <c r="E188" s="11" t="s">
        <v>1107</v>
      </c>
      <c r="F188" s="11" t="s">
        <v>876</v>
      </c>
      <c r="G188" s="12">
        <v>48</v>
      </c>
    </row>
    <row r="189" spans="4:7" x14ac:dyDescent="0.3">
      <c r="D189" s="11" t="s">
        <v>178</v>
      </c>
      <c r="E189" s="11" t="s">
        <v>1096</v>
      </c>
      <c r="F189" s="11" t="s">
        <v>870</v>
      </c>
      <c r="G189" s="12">
        <v>48</v>
      </c>
    </row>
    <row r="190" spans="4:7" x14ac:dyDescent="0.3">
      <c r="D190" s="11" t="s">
        <v>287</v>
      </c>
      <c r="E190" s="11" t="s">
        <v>1097</v>
      </c>
      <c r="F190" s="11" t="s">
        <v>932</v>
      </c>
      <c r="G190" s="12">
        <v>48</v>
      </c>
    </row>
    <row r="191" spans="4:7" x14ac:dyDescent="0.3">
      <c r="D191" s="11" t="s">
        <v>1051</v>
      </c>
      <c r="E191" s="11" t="s">
        <v>1112</v>
      </c>
      <c r="F191" s="11" t="s">
        <v>885</v>
      </c>
      <c r="G191" s="12">
        <v>48</v>
      </c>
    </row>
    <row r="192" spans="4:7" x14ac:dyDescent="0.3">
      <c r="D192" s="11" t="s">
        <v>185</v>
      </c>
      <c r="E192" s="11" t="s">
        <v>1083</v>
      </c>
      <c r="F192" s="11" t="s">
        <v>880</v>
      </c>
      <c r="G192" s="12">
        <v>48</v>
      </c>
    </row>
    <row r="193" spans="4:7" x14ac:dyDescent="0.3">
      <c r="D193" s="11" t="s">
        <v>78</v>
      </c>
      <c r="E193" s="11" t="s">
        <v>1111</v>
      </c>
      <c r="F193" s="11" t="s">
        <v>796</v>
      </c>
      <c r="G193" s="12">
        <v>48</v>
      </c>
    </row>
    <row r="194" spans="4:7" x14ac:dyDescent="0.3">
      <c r="D194" s="11" t="s">
        <v>86</v>
      </c>
      <c r="E194" s="11" t="s">
        <v>1108</v>
      </c>
      <c r="F194" s="11" t="s">
        <v>842</v>
      </c>
      <c r="G194" s="12">
        <v>48</v>
      </c>
    </row>
    <row r="195" spans="4:7" x14ac:dyDescent="0.3">
      <c r="D195" s="11" t="s">
        <v>370</v>
      </c>
      <c r="E195" s="11" t="s">
        <v>1105</v>
      </c>
      <c r="F195" s="11" t="s">
        <v>813</v>
      </c>
      <c r="G195" s="12">
        <v>48</v>
      </c>
    </row>
    <row r="196" spans="4:7" x14ac:dyDescent="0.3">
      <c r="D196" s="11" t="s">
        <v>434</v>
      </c>
      <c r="E196" s="11" t="s">
        <v>1102</v>
      </c>
      <c r="F196" s="11" t="s">
        <v>901</v>
      </c>
      <c r="G196" s="12">
        <v>48</v>
      </c>
    </row>
    <row r="197" spans="4:7" x14ac:dyDescent="0.3">
      <c r="D197" s="11" t="s">
        <v>183</v>
      </c>
      <c r="E197" s="11" t="s">
        <v>1112</v>
      </c>
      <c r="F197" s="11" t="s">
        <v>837</v>
      </c>
      <c r="G197" s="12">
        <v>48</v>
      </c>
    </row>
    <row r="198" spans="4:7" x14ac:dyDescent="0.3">
      <c r="D198" s="11" t="s">
        <v>645</v>
      </c>
      <c r="E198" s="11" t="s">
        <v>1093</v>
      </c>
      <c r="F198" s="11" t="s">
        <v>830</v>
      </c>
      <c r="G198" s="12">
        <v>48</v>
      </c>
    </row>
    <row r="199" spans="4:7" x14ac:dyDescent="0.3">
      <c r="D199" s="11" t="s">
        <v>68</v>
      </c>
      <c r="E199" s="11" t="s">
        <v>1087</v>
      </c>
      <c r="F199" s="11" t="s">
        <v>827</v>
      </c>
      <c r="G199" s="12">
        <v>48</v>
      </c>
    </row>
    <row r="200" spans="4:7" x14ac:dyDescent="0.3">
      <c r="D200" s="11" t="s">
        <v>324</v>
      </c>
      <c r="E200" s="11" t="s">
        <v>1087</v>
      </c>
      <c r="F200" s="11" t="s">
        <v>849</v>
      </c>
      <c r="G200" s="12">
        <v>48</v>
      </c>
    </row>
    <row r="201" spans="4:7" x14ac:dyDescent="0.3">
      <c r="D201" s="11" t="s">
        <v>393</v>
      </c>
      <c r="E201" s="11" t="s">
        <v>1108</v>
      </c>
      <c r="F201" s="11" t="s">
        <v>829</v>
      </c>
      <c r="G201" s="12">
        <v>48</v>
      </c>
    </row>
    <row r="202" spans="4:7" x14ac:dyDescent="0.3">
      <c r="D202" s="11" t="s">
        <v>255</v>
      </c>
      <c r="E202" s="11" t="s">
        <v>1095</v>
      </c>
      <c r="F202" s="11" t="s">
        <v>827</v>
      </c>
      <c r="G202" s="12">
        <v>48</v>
      </c>
    </row>
    <row r="203" spans="4:7" x14ac:dyDescent="0.3">
      <c r="D203" s="11" t="s">
        <v>424</v>
      </c>
      <c r="E203" s="11" t="s">
        <v>1080</v>
      </c>
      <c r="F203" s="11" t="s">
        <v>899</v>
      </c>
      <c r="G203" s="12">
        <v>48</v>
      </c>
    </row>
    <row r="204" spans="4:7" x14ac:dyDescent="0.3">
      <c r="D204" s="11" t="s">
        <v>211</v>
      </c>
      <c r="E204" s="11" t="s">
        <v>1079</v>
      </c>
      <c r="F204" s="11" t="s">
        <v>801</v>
      </c>
      <c r="G204" s="12">
        <v>48</v>
      </c>
    </row>
    <row r="205" spans="4:7" x14ac:dyDescent="0.3">
      <c r="D205" s="11" t="s">
        <v>377</v>
      </c>
      <c r="E205" s="11" t="s">
        <v>1087</v>
      </c>
      <c r="F205" s="11" t="s">
        <v>829</v>
      </c>
      <c r="G205" s="12">
        <v>48</v>
      </c>
    </row>
    <row r="206" spans="4:7" x14ac:dyDescent="0.3">
      <c r="D206" s="11" t="s">
        <v>601</v>
      </c>
      <c r="E206" s="11" t="s">
        <v>1094</v>
      </c>
      <c r="F206" s="11" t="s">
        <v>837</v>
      </c>
      <c r="G206" s="12">
        <v>48</v>
      </c>
    </row>
    <row r="207" spans="4:7" x14ac:dyDescent="0.3">
      <c r="D207" s="11" t="s">
        <v>174</v>
      </c>
      <c r="E207" s="11" t="s">
        <v>1109</v>
      </c>
      <c r="F207" s="11" t="s">
        <v>852</v>
      </c>
      <c r="G207" s="12">
        <v>48</v>
      </c>
    </row>
    <row r="208" spans="4:7" x14ac:dyDescent="0.3">
      <c r="D208" s="11" t="s">
        <v>110</v>
      </c>
      <c r="E208" s="11" t="s">
        <v>1088</v>
      </c>
      <c r="F208" s="11" t="s">
        <v>842</v>
      </c>
      <c r="G208" s="12">
        <v>48</v>
      </c>
    </row>
    <row r="209" spans="4:7" x14ac:dyDescent="0.3">
      <c r="D209" s="11" t="s">
        <v>108</v>
      </c>
      <c r="E209" s="11" t="s">
        <v>1089</v>
      </c>
      <c r="F209" s="11" t="s">
        <v>880</v>
      </c>
      <c r="G209" s="12">
        <v>48</v>
      </c>
    </row>
    <row r="210" spans="4:7" x14ac:dyDescent="0.3">
      <c r="D210" s="11" t="s">
        <v>374</v>
      </c>
      <c r="E210" s="11" t="s">
        <v>1101</v>
      </c>
      <c r="F210" s="11" t="s">
        <v>885</v>
      </c>
      <c r="G210" s="12">
        <v>48</v>
      </c>
    </row>
    <row r="211" spans="4:7" x14ac:dyDescent="0.3">
      <c r="D211" s="11" t="s">
        <v>278</v>
      </c>
      <c r="E211" s="11" t="s">
        <v>1108</v>
      </c>
      <c r="F211" s="11" t="s">
        <v>813</v>
      </c>
      <c r="G211" s="12">
        <v>46</v>
      </c>
    </row>
    <row r="212" spans="4:7" x14ac:dyDescent="0.3">
      <c r="D212" s="11" t="s">
        <v>634</v>
      </c>
      <c r="E212" s="11" t="s">
        <v>1083</v>
      </c>
      <c r="F212" s="11" t="s">
        <v>801</v>
      </c>
      <c r="G212" s="12">
        <v>46</v>
      </c>
    </row>
    <row r="213" spans="4:7" x14ac:dyDescent="0.3">
      <c r="D213" s="11" t="s">
        <v>45</v>
      </c>
      <c r="E213" s="11" t="s">
        <v>1114</v>
      </c>
      <c r="F213" s="11" t="s">
        <v>906</v>
      </c>
      <c r="G213" s="12">
        <v>46</v>
      </c>
    </row>
    <row r="214" spans="4:7" x14ac:dyDescent="0.3">
      <c r="D214" s="11" t="s">
        <v>379</v>
      </c>
      <c r="E214" s="11" t="s">
        <v>1077</v>
      </c>
      <c r="F214" s="11" t="s">
        <v>816</v>
      </c>
      <c r="G214" s="12">
        <v>46</v>
      </c>
    </row>
    <row r="215" spans="4:7" x14ac:dyDescent="0.3">
      <c r="D215" s="11" t="s">
        <v>456</v>
      </c>
      <c r="E215" s="11" t="s">
        <v>1092</v>
      </c>
      <c r="F215" s="11" t="s">
        <v>857</v>
      </c>
      <c r="G215" s="12">
        <v>46</v>
      </c>
    </row>
    <row r="216" spans="4:7" x14ac:dyDescent="0.3">
      <c r="D216" s="11" t="s">
        <v>578</v>
      </c>
      <c r="E216" s="11" t="s">
        <v>1114</v>
      </c>
      <c r="F216" s="11" t="s">
        <v>857</v>
      </c>
      <c r="G216" s="12">
        <v>46</v>
      </c>
    </row>
    <row r="217" spans="4:7" x14ac:dyDescent="0.3">
      <c r="D217" s="11" t="s">
        <v>416</v>
      </c>
      <c r="E217" s="11" t="s">
        <v>1097</v>
      </c>
      <c r="F217" s="11" t="s">
        <v>810</v>
      </c>
      <c r="G217" s="12">
        <v>44</v>
      </c>
    </row>
    <row r="218" spans="4:7" x14ac:dyDescent="0.3">
      <c r="D218" s="11" t="s">
        <v>388</v>
      </c>
      <c r="E218" s="11" t="s">
        <v>1096</v>
      </c>
      <c r="F218" s="11" t="s">
        <v>926</v>
      </c>
      <c r="G218" s="12">
        <v>44</v>
      </c>
    </row>
    <row r="219" spans="4:7" x14ac:dyDescent="0.3">
      <c r="D219" s="11" t="s">
        <v>337</v>
      </c>
      <c r="E219" s="11" t="s">
        <v>1122</v>
      </c>
      <c r="F219" s="11" t="s">
        <v>900</v>
      </c>
      <c r="G219" s="12">
        <v>44</v>
      </c>
    </row>
    <row r="220" spans="4:7" x14ac:dyDescent="0.3">
      <c r="D220" s="11" t="s">
        <v>241</v>
      </c>
      <c r="E220" s="11" t="s">
        <v>1090</v>
      </c>
      <c r="F220" s="11" t="s">
        <v>899</v>
      </c>
      <c r="G220" s="12">
        <v>44</v>
      </c>
    </row>
    <row r="221" spans="4:7" x14ac:dyDescent="0.3">
      <c r="D221" s="11" t="s">
        <v>188</v>
      </c>
      <c r="E221" s="11" t="s">
        <v>1116</v>
      </c>
      <c r="F221" s="11" t="s">
        <v>880</v>
      </c>
      <c r="G221" s="12">
        <v>44</v>
      </c>
    </row>
    <row r="222" spans="4:7" x14ac:dyDescent="0.3">
      <c r="D222" s="11" t="s">
        <v>584</v>
      </c>
      <c r="E222" s="11" t="s">
        <v>1080</v>
      </c>
      <c r="F222" s="11" t="s">
        <v>827</v>
      </c>
      <c r="G222" s="12">
        <v>44</v>
      </c>
    </row>
    <row r="223" spans="4:7" x14ac:dyDescent="0.3">
      <c r="D223" s="11" t="s">
        <v>298</v>
      </c>
      <c r="E223" s="11" t="s">
        <v>1105</v>
      </c>
      <c r="F223" s="11" t="s">
        <v>888</v>
      </c>
      <c r="G223" s="12">
        <v>44</v>
      </c>
    </row>
    <row r="224" spans="4:7" x14ac:dyDescent="0.3">
      <c r="D224" s="11" t="s">
        <v>202</v>
      </c>
      <c r="E224" s="11" t="s">
        <v>1088</v>
      </c>
      <c r="F224" s="11" t="s">
        <v>899</v>
      </c>
      <c r="G224" s="12">
        <v>44</v>
      </c>
    </row>
    <row r="225" spans="4:7" x14ac:dyDescent="0.3">
      <c r="D225" s="11" t="s">
        <v>655</v>
      </c>
      <c r="E225" s="11" t="s">
        <v>1108</v>
      </c>
      <c r="F225" s="11" t="s">
        <v>914</v>
      </c>
      <c r="G225" s="12">
        <v>44</v>
      </c>
    </row>
    <row r="226" spans="4:7" x14ac:dyDescent="0.3">
      <c r="D226" s="11" t="s">
        <v>37</v>
      </c>
      <c r="E226" s="11" t="s">
        <v>1079</v>
      </c>
      <c r="F226" s="11" t="s">
        <v>829</v>
      </c>
      <c r="G226" s="12">
        <v>44</v>
      </c>
    </row>
    <row r="227" spans="4:7" x14ac:dyDescent="0.3">
      <c r="D227" s="11" t="s">
        <v>395</v>
      </c>
      <c r="E227" s="11" t="s">
        <v>1090</v>
      </c>
      <c r="F227" s="11" t="s">
        <v>829</v>
      </c>
      <c r="G227" s="12">
        <v>44</v>
      </c>
    </row>
    <row r="228" spans="4:7" x14ac:dyDescent="0.3">
      <c r="D228" s="11" t="s">
        <v>93</v>
      </c>
      <c r="E228" s="11" t="s">
        <v>1115</v>
      </c>
      <c r="F228" s="11" t="s">
        <v>810</v>
      </c>
      <c r="G228" s="12">
        <v>44</v>
      </c>
    </row>
    <row r="229" spans="4:7" x14ac:dyDescent="0.3">
      <c r="D229" s="11" t="s">
        <v>250</v>
      </c>
      <c r="E229" s="11" t="s">
        <v>1079</v>
      </c>
      <c r="F229" s="11" t="s">
        <v>864</v>
      </c>
      <c r="G229" s="12">
        <v>44</v>
      </c>
    </row>
    <row r="230" spans="4:7" x14ac:dyDescent="0.3">
      <c r="D230" s="11" t="s">
        <v>413</v>
      </c>
      <c r="E230" s="11" t="s">
        <v>1090</v>
      </c>
      <c r="F230" s="11" t="s">
        <v>885</v>
      </c>
      <c r="G230" s="12">
        <v>44</v>
      </c>
    </row>
    <row r="231" spans="4:7" x14ac:dyDescent="0.3">
      <c r="D231" s="11" t="s">
        <v>76</v>
      </c>
      <c r="E231" s="11" t="s">
        <v>1115</v>
      </c>
      <c r="F231" s="11" t="s">
        <v>796</v>
      </c>
      <c r="G231" s="12">
        <v>44</v>
      </c>
    </row>
    <row r="232" spans="4:7" x14ac:dyDescent="0.3">
      <c r="D232" s="11" t="s">
        <v>614</v>
      </c>
      <c r="E232" s="11" t="s">
        <v>1097</v>
      </c>
      <c r="F232" s="11" t="s">
        <v>828</v>
      </c>
      <c r="G232" s="12">
        <v>44</v>
      </c>
    </row>
    <row r="233" spans="4:7" x14ac:dyDescent="0.3">
      <c r="D233" s="11" t="s">
        <v>679</v>
      </c>
      <c r="E233" s="11" t="s">
        <v>1088</v>
      </c>
      <c r="F233" s="11" t="s">
        <v>906</v>
      </c>
      <c r="G233" s="12">
        <v>44</v>
      </c>
    </row>
    <row r="234" spans="4:7" x14ac:dyDescent="0.3">
      <c r="D234" s="11" t="s">
        <v>726</v>
      </c>
      <c r="E234" s="11" t="s">
        <v>1112</v>
      </c>
      <c r="F234" s="11" t="s">
        <v>915</v>
      </c>
      <c r="G234" s="12">
        <v>44</v>
      </c>
    </row>
    <row r="235" spans="4:7" x14ac:dyDescent="0.3">
      <c r="D235" s="11" t="s">
        <v>175</v>
      </c>
      <c r="E235" s="11" t="s">
        <v>1077</v>
      </c>
      <c r="F235" s="11" t="s">
        <v>846</v>
      </c>
      <c r="G235" s="12">
        <v>44</v>
      </c>
    </row>
    <row r="236" spans="4:7" x14ac:dyDescent="0.3">
      <c r="D236" s="11" t="s">
        <v>643</v>
      </c>
      <c r="E236" s="11" t="s">
        <v>1088</v>
      </c>
      <c r="F236" s="11" t="s">
        <v>822</v>
      </c>
      <c r="G236" s="12">
        <v>44</v>
      </c>
    </row>
    <row r="237" spans="4:7" x14ac:dyDescent="0.3">
      <c r="D237" s="11" t="s">
        <v>118</v>
      </c>
      <c r="E237" s="11" t="s">
        <v>1082</v>
      </c>
      <c r="F237" s="11" t="s">
        <v>796</v>
      </c>
      <c r="G237" s="12">
        <v>44</v>
      </c>
    </row>
    <row r="238" spans="4:7" x14ac:dyDescent="0.3">
      <c r="D238" s="11" t="s">
        <v>929</v>
      </c>
      <c r="E238" s="11" t="s">
        <v>1105</v>
      </c>
      <c r="F238" s="11" t="s">
        <v>874</v>
      </c>
      <c r="G238" s="12">
        <v>44</v>
      </c>
    </row>
    <row r="239" spans="4:7" x14ac:dyDescent="0.3">
      <c r="D239" s="11" t="s">
        <v>608</v>
      </c>
      <c r="E239" s="11" t="s">
        <v>1095</v>
      </c>
      <c r="F239" s="11" t="s">
        <v>828</v>
      </c>
      <c r="G239" s="12">
        <v>44</v>
      </c>
    </row>
    <row r="240" spans="4:7" x14ac:dyDescent="0.3">
      <c r="D240" s="11" t="s">
        <v>583</v>
      </c>
      <c r="E240" s="11" t="s">
        <v>1125</v>
      </c>
      <c r="F240" s="11" t="s">
        <v>837</v>
      </c>
      <c r="G240" s="12">
        <v>42</v>
      </c>
    </row>
    <row r="241" spans="4:7" x14ac:dyDescent="0.3">
      <c r="D241" s="11" t="s">
        <v>257</v>
      </c>
      <c r="E241" s="11" t="s">
        <v>1102</v>
      </c>
      <c r="F241" s="11" t="s">
        <v>818</v>
      </c>
      <c r="G241" s="12">
        <v>42</v>
      </c>
    </row>
    <row r="242" spans="4:7" x14ac:dyDescent="0.3">
      <c r="D242" s="11" t="s">
        <v>745</v>
      </c>
      <c r="E242" s="11" t="s">
        <v>1116</v>
      </c>
      <c r="F242" s="11" t="s">
        <v>932</v>
      </c>
      <c r="G242" s="12">
        <v>42</v>
      </c>
    </row>
    <row r="243" spans="4:7" x14ac:dyDescent="0.3">
      <c r="D243" s="11" t="s">
        <v>543</v>
      </c>
      <c r="E243" s="11" t="s">
        <v>1104</v>
      </c>
      <c r="F243" s="11" t="s">
        <v>870</v>
      </c>
      <c r="G243" s="12">
        <v>42</v>
      </c>
    </row>
    <row r="244" spans="4:7" x14ac:dyDescent="0.3">
      <c r="D244" s="11" t="s">
        <v>358</v>
      </c>
      <c r="E244" s="11" t="s">
        <v>980</v>
      </c>
      <c r="F244" s="11" t="s">
        <v>914</v>
      </c>
      <c r="G244" s="12">
        <v>42</v>
      </c>
    </row>
    <row r="245" spans="4:7" x14ac:dyDescent="0.3">
      <c r="D245" s="11" t="s">
        <v>479</v>
      </c>
      <c r="E245" s="11" t="s">
        <v>1114</v>
      </c>
      <c r="F245" s="11" t="s">
        <v>914</v>
      </c>
      <c r="G245" s="12">
        <v>40</v>
      </c>
    </row>
    <row r="246" spans="4:7" x14ac:dyDescent="0.3">
      <c r="D246" s="11" t="s">
        <v>538</v>
      </c>
      <c r="E246" s="11" t="s">
        <v>1093</v>
      </c>
      <c r="F246" s="11" t="s">
        <v>919</v>
      </c>
      <c r="G246" s="12">
        <v>40</v>
      </c>
    </row>
    <row r="247" spans="4:7" x14ac:dyDescent="0.3">
      <c r="D247" s="11" t="s">
        <v>990</v>
      </c>
      <c r="E247" s="11" t="s">
        <v>1119</v>
      </c>
      <c r="F247" s="11" t="s">
        <v>805</v>
      </c>
      <c r="G247" s="12">
        <v>40</v>
      </c>
    </row>
    <row r="248" spans="4:7" x14ac:dyDescent="0.3">
      <c r="D248" s="11" t="s">
        <v>293</v>
      </c>
      <c r="E248" s="11" t="s">
        <v>1085</v>
      </c>
      <c r="F248" s="11" t="s">
        <v>1014</v>
      </c>
      <c r="G248" s="12">
        <v>40</v>
      </c>
    </row>
    <row r="249" spans="4:7" x14ac:dyDescent="0.3">
      <c r="D249" s="11" t="s">
        <v>325</v>
      </c>
      <c r="E249" s="11" t="s">
        <v>1104</v>
      </c>
      <c r="F249" s="11" t="s">
        <v>796</v>
      </c>
      <c r="G249" s="12">
        <v>40</v>
      </c>
    </row>
    <row r="250" spans="4:7" x14ac:dyDescent="0.3">
      <c r="D250" s="11" t="s">
        <v>670</v>
      </c>
      <c r="E250" s="11" t="s">
        <v>1115</v>
      </c>
      <c r="F250" s="11" t="s">
        <v>883</v>
      </c>
      <c r="G250" s="12">
        <v>40</v>
      </c>
    </row>
    <row r="251" spans="4:7" x14ac:dyDescent="0.3">
      <c r="D251" s="11" t="s">
        <v>666</v>
      </c>
      <c r="E251" s="11" t="s">
        <v>1094</v>
      </c>
      <c r="F251" s="11" t="s">
        <v>888</v>
      </c>
      <c r="G251" s="12">
        <v>40</v>
      </c>
    </row>
    <row r="252" spans="4:7" x14ac:dyDescent="0.3">
      <c r="D252" s="11" t="s">
        <v>419</v>
      </c>
      <c r="E252" s="11" t="s">
        <v>980</v>
      </c>
      <c r="F252" s="11" t="s">
        <v>841</v>
      </c>
      <c r="G252" s="12">
        <v>40</v>
      </c>
    </row>
    <row r="253" spans="4:7" x14ac:dyDescent="0.3">
      <c r="D253" s="11" t="s">
        <v>462</v>
      </c>
      <c r="E253" s="11" t="s">
        <v>1080</v>
      </c>
      <c r="F253" s="11" t="s">
        <v>919</v>
      </c>
      <c r="G253" s="12">
        <v>40</v>
      </c>
    </row>
    <row r="254" spans="4:7" x14ac:dyDescent="0.3">
      <c r="D254" s="11" t="s">
        <v>116</v>
      </c>
      <c r="E254" s="11" t="s">
        <v>980</v>
      </c>
      <c r="F254" s="11" t="s">
        <v>906</v>
      </c>
      <c r="G254" s="12">
        <v>40</v>
      </c>
    </row>
    <row r="255" spans="4:7" x14ac:dyDescent="0.3">
      <c r="D255" s="11" t="s">
        <v>252</v>
      </c>
      <c r="E255" s="11" t="s">
        <v>1092</v>
      </c>
      <c r="F255" s="11" t="s">
        <v>825</v>
      </c>
      <c r="G255" s="12">
        <v>40</v>
      </c>
    </row>
    <row r="256" spans="4:7" x14ac:dyDescent="0.3">
      <c r="D256" s="11" t="s">
        <v>466</v>
      </c>
      <c r="E256" s="11" t="s">
        <v>1126</v>
      </c>
      <c r="F256" s="11" t="s">
        <v>878</v>
      </c>
      <c r="G256" s="12">
        <v>40</v>
      </c>
    </row>
    <row r="257" spans="4:7" x14ac:dyDescent="0.3">
      <c r="D257" s="11" t="s">
        <v>723</v>
      </c>
      <c r="E257" s="11" t="s">
        <v>1098</v>
      </c>
      <c r="F257" s="11" t="s">
        <v>805</v>
      </c>
      <c r="G257" s="12">
        <v>40</v>
      </c>
    </row>
    <row r="258" spans="4:7" x14ac:dyDescent="0.3">
      <c r="D258" s="11" t="s">
        <v>161</v>
      </c>
      <c r="E258" s="11" t="s">
        <v>1081</v>
      </c>
      <c r="F258" s="11" t="s">
        <v>860</v>
      </c>
      <c r="G258" s="12">
        <v>40</v>
      </c>
    </row>
    <row r="259" spans="4:7" x14ac:dyDescent="0.3">
      <c r="D259" s="11" t="s">
        <v>80</v>
      </c>
      <c r="E259" s="11" t="s">
        <v>1098</v>
      </c>
      <c r="F259" s="11" t="s">
        <v>813</v>
      </c>
      <c r="G259" s="12">
        <v>40</v>
      </c>
    </row>
    <row r="260" spans="4:7" x14ac:dyDescent="0.3">
      <c r="D260" s="11" t="s">
        <v>323</v>
      </c>
      <c r="E260" s="11" t="s">
        <v>1102</v>
      </c>
      <c r="F260" s="11" t="s">
        <v>860</v>
      </c>
      <c r="G260" s="12">
        <v>40</v>
      </c>
    </row>
    <row r="261" spans="4:7" x14ac:dyDescent="0.3">
      <c r="D261" s="11" t="s">
        <v>343</v>
      </c>
      <c r="E261" s="11" t="s">
        <v>1087</v>
      </c>
      <c r="F261" s="11" t="s">
        <v>860</v>
      </c>
      <c r="G261" s="12">
        <v>40</v>
      </c>
    </row>
    <row r="262" spans="4:7" x14ac:dyDescent="0.3">
      <c r="D262" s="11" t="s">
        <v>629</v>
      </c>
      <c r="E262" s="11" t="s">
        <v>1086</v>
      </c>
      <c r="F262" s="11" t="s">
        <v>857</v>
      </c>
      <c r="G262" s="12">
        <v>40</v>
      </c>
    </row>
    <row r="263" spans="4:7" x14ac:dyDescent="0.3">
      <c r="D263" s="11" t="s">
        <v>499</v>
      </c>
      <c r="E263" s="11" t="s">
        <v>1090</v>
      </c>
      <c r="F263" s="11" t="s">
        <v>883</v>
      </c>
      <c r="G263" s="12">
        <v>40</v>
      </c>
    </row>
    <row r="264" spans="4:7" x14ac:dyDescent="0.3">
      <c r="D264" s="11" t="s">
        <v>686</v>
      </c>
      <c r="E264" s="11" t="s">
        <v>1077</v>
      </c>
      <c r="F264" s="11" t="s">
        <v>827</v>
      </c>
      <c r="G264" s="12">
        <v>40</v>
      </c>
    </row>
    <row r="265" spans="4:7" x14ac:dyDescent="0.3">
      <c r="D265" s="11" t="s">
        <v>624</v>
      </c>
      <c r="E265" s="11" t="s">
        <v>1102</v>
      </c>
      <c r="F265" s="11" t="s">
        <v>805</v>
      </c>
      <c r="G265" s="12">
        <v>40</v>
      </c>
    </row>
    <row r="266" spans="4:7" x14ac:dyDescent="0.3">
      <c r="D266" s="11" t="s">
        <v>689</v>
      </c>
      <c r="E266" s="11" t="s">
        <v>1079</v>
      </c>
      <c r="F266" s="11" t="s">
        <v>860</v>
      </c>
      <c r="G266" s="12">
        <v>40</v>
      </c>
    </row>
    <row r="267" spans="4:7" x14ac:dyDescent="0.3">
      <c r="D267" s="11" t="s">
        <v>497</v>
      </c>
      <c r="E267" s="11" t="s">
        <v>1119</v>
      </c>
      <c r="F267" s="11" t="s">
        <v>846</v>
      </c>
      <c r="G267" s="12">
        <v>40</v>
      </c>
    </row>
    <row r="268" spans="4:7" x14ac:dyDescent="0.3">
      <c r="D268" s="11" t="s">
        <v>381</v>
      </c>
      <c r="E268" s="11" t="s">
        <v>1119</v>
      </c>
      <c r="F268" s="11" t="s">
        <v>828</v>
      </c>
      <c r="G268" s="12">
        <v>40</v>
      </c>
    </row>
    <row r="269" spans="4:7" x14ac:dyDescent="0.3">
      <c r="D269" s="11" t="s">
        <v>431</v>
      </c>
      <c r="E269" s="11" t="s">
        <v>1097</v>
      </c>
      <c r="F269" s="11" t="s">
        <v>813</v>
      </c>
      <c r="G269" s="12">
        <v>40</v>
      </c>
    </row>
    <row r="270" spans="4:7" x14ac:dyDescent="0.3">
      <c r="D270" s="11" t="s">
        <v>364</v>
      </c>
      <c r="E270" s="11" t="s">
        <v>1077</v>
      </c>
      <c r="F270" s="11" t="s">
        <v>881</v>
      </c>
      <c r="G270" s="12">
        <v>40</v>
      </c>
    </row>
    <row r="271" spans="4:7" x14ac:dyDescent="0.3">
      <c r="D271" s="11" t="s">
        <v>248</v>
      </c>
      <c r="E271" s="11" t="s">
        <v>1089</v>
      </c>
      <c r="F271" s="11" t="s">
        <v>883</v>
      </c>
      <c r="G271" s="12">
        <v>40</v>
      </c>
    </row>
    <row r="272" spans="4:7" x14ac:dyDescent="0.3">
      <c r="D272" s="11" t="s">
        <v>979</v>
      </c>
      <c r="E272" s="11" t="s">
        <v>1104</v>
      </c>
      <c r="F272" s="11" t="s">
        <v>846</v>
      </c>
      <c r="G272" s="12">
        <v>40</v>
      </c>
    </row>
    <row r="273" spans="4:7" x14ac:dyDescent="0.3">
      <c r="D273" s="11" t="s">
        <v>556</v>
      </c>
      <c r="E273" s="11" t="s">
        <v>1124</v>
      </c>
      <c r="F273" s="11" t="s">
        <v>856</v>
      </c>
      <c r="G273" s="12">
        <v>40</v>
      </c>
    </row>
    <row r="274" spans="4:7" x14ac:dyDescent="0.3">
      <c r="D274" s="11" t="s">
        <v>758</v>
      </c>
      <c r="E274" s="11" t="s">
        <v>1083</v>
      </c>
      <c r="F274" s="11" t="s">
        <v>813</v>
      </c>
      <c r="G274" s="12">
        <v>40</v>
      </c>
    </row>
    <row r="275" spans="4:7" x14ac:dyDescent="0.3">
      <c r="D275" s="11" t="s">
        <v>223</v>
      </c>
      <c r="E275" s="11" t="s">
        <v>1087</v>
      </c>
      <c r="F275" s="11" t="s">
        <v>805</v>
      </c>
      <c r="G275" s="12">
        <v>40</v>
      </c>
    </row>
    <row r="276" spans="4:7" x14ac:dyDescent="0.3">
      <c r="D276" s="11" t="s">
        <v>672</v>
      </c>
      <c r="E276" s="11" t="s">
        <v>1083</v>
      </c>
      <c r="F276" s="11" t="s">
        <v>883</v>
      </c>
      <c r="G276" s="12">
        <v>40</v>
      </c>
    </row>
    <row r="277" spans="4:7" x14ac:dyDescent="0.3">
      <c r="D277" s="11" t="s">
        <v>698</v>
      </c>
      <c r="E277" s="11" t="s">
        <v>1092</v>
      </c>
      <c r="F277" s="11" t="s">
        <v>846</v>
      </c>
      <c r="G277" s="12">
        <v>40</v>
      </c>
    </row>
    <row r="278" spans="4:7" x14ac:dyDescent="0.3">
      <c r="D278" s="11" t="s">
        <v>577</v>
      </c>
      <c r="E278" s="11" t="s">
        <v>1079</v>
      </c>
      <c r="F278" s="11" t="s">
        <v>816</v>
      </c>
      <c r="G278" s="12">
        <v>40</v>
      </c>
    </row>
    <row r="279" spans="4:7" x14ac:dyDescent="0.3">
      <c r="D279" s="11" t="s">
        <v>305</v>
      </c>
      <c r="E279" s="11" t="s">
        <v>1107</v>
      </c>
      <c r="F279" s="11" t="s">
        <v>870</v>
      </c>
      <c r="G279" s="12">
        <v>40</v>
      </c>
    </row>
    <row r="280" spans="4:7" x14ac:dyDescent="0.3">
      <c r="D280" s="11" t="s">
        <v>159</v>
      </c>
      <c r="E280" s="11" t="s">
        <v>1109</v>
      </c>
      <c r="F280" s="11" t="s">
        <v>878</v>
      </c>
      <c r="G280" s="12">
        <v>40</v>
      </c>
    </row>
    <row r="281" spans="4:7" x14ac:dyDescent="0.3">
      <c r="D281" s="11" t="s">
        <v>535</v>
      </c>
      <c r="E281" s="11" t="s">
        <v>1083</v>
      </c>
      <c r="F281" s="11" t="s">
        <v>880</v>
      </c>
      <c r="G281" s="12">
        <v>40</v>
      </c>
    </row>
    <row r="282" spans="4:7" x14ac:dyDescent="0.3">
      <c r="D282" s="11" t="s">
        <v>557</v>
      </c>
      <c r="E282" s="11" t="s">
        <v>1085</v>
      </c>
      <c r="F282" s="11" t="s">
        <v>837</v>
      </c>
      <c r="G282" s="12">
        <v>40</v>
      </c>
    </row>
    <row r="283" spans="4:7" x14ac:dyDescent="0.3">
      <c r="D283" s="11" t="s">
        <v>662</v>
      </c>
      <c r="E283" s="11" t="s">
        <v>1099</v>
      </c>
      <c r="F283" s="11" t="s">
        <v>947</v>
      </c>
      <c r="G283" s="12">
        <v>40</v>
      </c>
    </row>
    <row r="284" spans="4:7" x14ac:dyDescent="0.3">
      <c r="D284" s="11" t="s">
        <v>768</v>
      </c>
      <c r="E284" s="11" t="s">
        <v>1099</v>
      </c>
      <c r="F284" s="11" t="s">
        <v>828</v>
      </c>
      <c r="G284" s="12">
        <v>40</v>
      </c>
    </row>
    <row r="285" spans="4:7" x14ac:dyDescent="0.3">
      <c r="D285" s="11" t="s">
        <v>261</v>
      </c>
      <c r="E285" s="11" t="s">
        <v>1094</v>
      </c>
      <c r="F285" s="11" t="s">
        <v>888</v>
      </c>
      <c r="G285" s="12">
        <v>40</v>
      </c>
    </row>
    <row r="286" spans="4:7" x14ac:dyDescent="0.3">
      <c r="D286" s="11" t="s">
        <v>673</v>
      </c>
      <c r="E286" s="11" t="s">
        <v>1126</v>
      </c>
      <c r="F286" s="11" t="s">
        <v>846</v>
      </c>
      <c r="G286" s="12">
        <v>38</v>
      </c>
    </row>
    <row r="287" spans="4:7" x14ac:dyDescent="0.3">
      <c r="D287" s="11" t="s">
        <v>464</v>
      </c>
      <c r="E287" s="11" t="s">
        <v>1106</v>
      </c>
      <c r="F287" s="11" t="s">
        <v>900</v>
      </c>
      <c r="G287" s="12">
        <v>38</v>
      </c>
    </row>
    <row r="288" spans="4:7" x14ac:dyDescent="0.3">
      <c r="D288" s="11" t="s">
        <v>586</v>
      </c>
      <c r="E288" s="11" t="s">
        <v>1102</v>
      </c>
      <c r="F288" s="11" t="s">
        <v>846</v>
      </c>
      <c r="G288" s="12">
        <v>38</v>
      </c>
    </row>
    <row r="289" spans="4:7" x14ac:dyDescent="0.3">
      <c r="D289" s="11" t="s">
        <v>394</v>
      </c>
      <c r="E289" s="11" t="s">
        <v>1085</v>
      </c>
      <c r="F289" s="11" t="s">
        <v>914</v>
      </c>
      <c r="G289" s="12">
        <v>38</v>
      </c>
    </row>
    <row r="290" spans="4:7" x14ac:dyDescent="0.3">
      <c r="D290" s="11" t="s">
        <v>342</v>
      </c>
      <c r="E290" s="11" t="s">
        <v>1111</v>
      </c>
      <c r="F290" s="11" t="s">
        <v>915</v>
      </c>
      <c r="G290" s="12">
        <v>38</v>
      </c>
    </row>
    <row r="291" spans="4:7" x14ac:dyDescent="0.3">
      <c r="D291" s="11" t="s">
        <v>697</v>
      </c>
      <c r="E291" s="11" t="s">
        <v>1086</v>
      </c>
      <c r="F291" s="11" t="s">
        <v>900</v>
      </c>
      <c r="G291" s="12">
        <v>38</v>
      </c>
    </row>
    <row r="292" spans="4:7" x14ac:dyDescent="0.3">
      <c r="D292" s="11" t="s">
        <v>239</v>
      </c>
      <c r="E292" s="11" t="s">
        <v>1099</v>
      </c>
      <c r="F292" s="11" t="s">
        <v>841</v>
      </c>
      <c r="G292" s="12">
        <v>36</v>
      </c>
    </row>
    <row r="293" spans="4:7" x14ac:dyDescent="0.3">
      <c r="D293" s="11" t="s">
        <v>640</v>
      </c>
      <c r="E293" s="11" t="s">
        <v>1099</v>
      </c>
      <c r="F293" s="11" t="s">
        <v>901</v>
      </c>
      <c r="G293" s="12">
        <v>36</v>
      </c>
    </row>
    <row r="294" spans="4:7" x14ac:dyDescent="0.3">
      <c r="D294" s="11" t="s">
        <v>237</v>
      </c>
      <c r="E294" s="11" t="s">
        <v>1094</v>
      </c>
      <c r="F294" s="11" t="s">
        <v>818</v>
      </c>
      <c r="G294" s="12">
        <v>36</v>
      </c>
    </row>
    <row r="295" spans="4:7" x14ac:dyDescent="0.3">
      <c r="D295" s="11" t="s">
        <v>163</v>
      </c>
      <c r="E295" s="11" t="s">
        <v>1079</v>
      </c>
      <c r="F295" s="11" t="s">
        <v>857</v>
      </c>
      <c r="G295" s="12">
        <v>36</v>
      </c>
    </row>
    <row r="296" spans="4:7" x14ac:dyDescent="0.3">
      <c r="D296" s="11" t="s">
        <v>56</v>
      </c>
      <c r="E296" s="11" t="s">
        <v>1122</v>
      </c>
      <c r="F296" s="11" t="s">
        <v>825</v>
      </c>
      <c r="G296" s="12">
        <v>36</v>
      </c>
    </row>
    <row r="297" spans="4:7" x14ac:dyDescent="0.3">
      <c r="D297" s="11" t="s">
        <v>7</v>
      </c>
      <c r="E297" s="11" t="s">
        <v>1094</v>
      </c>
      <c r="F297" s="11" t="s">
        <v>837</v>
      </c>
      <c r="G297" s="12">
        <v>36</v>
      </c>
    </row>
    <row r="298" spans="4:7" x14ac:dyDescent="0.3">
      <c r="D298" s="11" t="s">
        <v>552</v>
      </c>
      <c r="E298" s="11" t="s">
        <v>1093</v>
      </c>
      <c r="F298" s="11" t="s">
        <v>895</v>
      </c>
      <c r="G298" s="12">
        <v>36</v>
      </c>
    </row>
    <row r="299" spans="4:7" x14ac:dyDescent="0.3">
      <c r="D299" s="11" t="s">
        <v>103</v>
      </c>
      <c r="E299" s="11" t="s">
        <v>1113</v>
      </c>
      <c r="F299" s="11" t="s">
        <v>856</v>
      </c>
      <c r="G299" s="12">
        <v>36</v>
      </c>
    </row>
    <row r="300" spans="4:7" x14ac:dyDescent="0.3">
      <c r="D300" s="11" t="s">
        <v>610</v>
      </c>
      <c r="E300" s="11" t="s">
        <v>1096</v>
      </c>
      <c r="F300" s="11" t="s">
        <v>881</v>
      </c>
      <c r="G300" s="12">
        <v>36</v>
      </c>
    </row>
    <row r="301" spans="4:7" x14ac:dyDescent="0.3">
      <c r="D301" s="11" t="s">
        <v>489</v>
      </c>
      <c r="E301" s="11" t="s">
        <v>1107</v>
      </c>
      <c r="F301" s="11" t="s">
        <v>870</v>
      </c>
      <c r="G301" s="12">
        <v>36</v>
      </c>
    </row>
    <row r="302" spans="4:7" x14ac:dyDescent="0.3">
      <c r="D302" s="11" t="s">
        <v>192</v>
      </c>
      <c r="E302" s="11" t="s">
        <v>1092</v>
      </c>
      <c r="F302" s="11" t="s">
        <v>932</v>
      </c>
      <c r="G302" s="12">
        <v>36</v>
      </c>
    </row>
    <row r="303" spans="4:7" x14ac:dyDescent="0.3">
      <c r="D303" s="11" t="s">
        <v>539</v>
      </c>
      <c r="E303" s="11" t="s">
        <v>1112</v>
      </c>
      <c r="F303" s="11" t="s">
        <v>860</v>
      </c>
      <c r="G303" s="12">
        <v>36</v>
      </c>
    </row>
    <row r="304" spans="4:7" x14ac:dyDescent="0.3">
      <c r="D304" s="11" t="s">
        <v>310</v>
      </c>
      <c r="E304" s="11" t="s">
        <v>1081</v>
      </c>
      <c r="F304" s="11" t="s">
        <v>805</v>
      </c>
      <c r="G304" s="12">
        <v>36</v>
      </c>
    </row>
    <row r="305" spans="4:7" x14ac:dyDescent="0.3">
      <c r="D305" s="11" t="s">
        <v>314</v>
      </c>
      <c r="E305" s="11" t="s">
        <v>1117</v>
      </c>
      <c r="F305" s="11" t="s">
        <v>874</v>
      </c>
      <c r="G305" s="12">
        <v>36</v>
      </c>
    </row>
    <row r="306" spans="4:7" x14ac:dyDescent="0.3">
      <c r="D306" s="11" t="s">
        <v>473</v>
      </c>
      <c r="E306" s="11" t="s">
        <v>1111</v>
      </c>
      <c r="F306" s="11" t="s">
        <v>822</v>
      </c>
      <c r="G306" s="12">
        <v>36</v>
      </c>
    </row>
    <row r="307" spans="4:7" x14ac:dyDescent="0.3">
      <c r="D307" s="11" t="s">
        <v>735</v>
      </c>
      <c r="E307" s="11" t="s">
        <v>1109</v>
      </c>
      <c r="F307" s="11" t="s">
        <v>816</v>
      </c>
      <c r="G307" s="12">
        <v>36</v>
      </c>
    </row>
    <row r="308" spans="4:7" x14ac:dyDescent="0.3">
      <c r="D308" s="11" t="s">
        <v>59</v>
      </c>
      <c r="E308" s="11" t="s">
        <v>1085</v>
      </c>
      <c r="F308" s="11" t="s">
        <v>810</v>
      </c>
      <c r="G308" s="12">
        <v>36</v>
      </c>
    </row>
    <row r="309" spans="4:7" x14ac:dyDescent="0.3">
      <c r="D309" s="11" t="s">
        <v>661</v>
      </c>
      <c r="E309" s="11" t="s">
        <v>1081</v>
      </c>
      <c r="F309" s="11" t="s">
        <v>805</v>
      </c>
      <c r="G309" s="12">
        <v>36</v>
      </c>
    </row>
    <row r="310" spans="4:7" x14ac:dyDescent="0.3">
      <c r="D310" s="11" t="s">
        <v>247</v>
      </c>
      <c r="E310" s="11" t="s">
        <v>1078</v>
      </c>
      <c r="F310" s="11" t="s">
        <v>857</v>
      </c>
      <c r="G310" s="12">
        <v>36</v>
      </c>
    </row>
    <row r="311" spans="4:7" x14ac:dyDescent="0.3">
      <c r="D311" s="11" t="s">
        <v>362</v>
      </c>
      <c r="E311" s="11" t="s">
        <v>1097</v>
      </c>
      <c r="F311" s="11" t="s">
        <v>939</v>
      </c>
      <c r="G311" s="12">
        <v>36</v>
      </c>
    </row>
    <row r="312" spans="4:7" x14ac:dyDescent="0.3">
      <c r="D312" s="11" t="s">
        <v>541</v>
      </c>
      <c r="E312" s="11" t="s">
        <v>980</v>
      </c>
      <c r="F312" s="11" t="s">
        <v>825</v>
      </c>
      <c r="G312" s="12">
        <v>36</v>
      </c>
    </row>
    <row r="313" spans="4:7" x14ac:dyDescent="0.3">
      <c r="D313" s="11" t="s">
        <v>587</v>
      </c>
      <c r="E313" s="11" t="s">
        <v>1113</v>
      </c>
      <c r="F313" s="11" t="s">
        <v>842</v>
      </c>
      <c r="G313" s="12">
        <v>36</v>
      </c>
    </row>
    <row r="314" spans="4:7" x14ac:dyDescent="0.3">
      <c r="D314" s="11" t="s">
        <v>667</v>
      </c>
      <c r="E314" s="11" t="s">
        <v>1112</v>
      </c>
      <c r="F314" s="11" t="s">
        <v>874</v>
      </c>
      <c r="G314" s="12">
        <v>36</v>
      </c>
    </row>
    <row r="315" spans="4:7" x14ac:dyDescent="0.3">
      <c r="D315" s="11" t="s">
        <v>34</v>
      </c>
      <c r="E315" s="11" t="s">
        <v>1096</v>
      </c>
      <c r="F315" s="11" t="s">
        <v>939</v>
      </c>
      <c r="G315" s="12">
        <v>34</v>
      </c>
    </row>
    <row r="316" spans="4:7" x14ac:dyDescent="0.3">
      <c r="D316" s="11" t="s">
        <v>73</v>
      </c>
      <c r="E316" s="11" t="s">
        <v>1088</v>
      </c>
      <c r="F316" s="11" t="s">
        <v>857</v>
      </c>
      <c r="G316" s="12">
        <v>34</v>
      </c>
    </row>
    <row r="317" spans="4:7" x14ac:dyDescent="0.3">
      <c r="D317" s="11" t="s">
        <v>390</v>
      </c>
      <c r="E317" s="11" t="s">
        <v>1096</v>
      </c>
      <c r="F317" s="11" t="s">
        <v>827</v>
      </c>
      <c r="G317" s="12">
        <v>34</v>
      </c>
    </row>
    <row r="318" spans="4:7" x14ac:dyDescent="0.3">
      <c r="D318" s="11" t="s">
        <v>158</v>
      </c>
      <c r="E318" s="11" t="s">
        <v>1085</v>
      </c>
      <c r="F318" s="11" t="s">
        <v>901</v>
      </c>
      <c r="G318" s="12">
        <v>34</v>
      </c>
    </row>
    <row r="319" spans="4:7" x14ac:dyDescent="0.3">
      <c r="D319" s="11" t="s">
        <v>107</v>
      </c>
      <c r="E319" s="11" t="s">
        <v>1082</v>
      </c>
      <c r="F319" s="11" t="s">
        <v>822</v>
      </c>
      <c r="G319" s="12">
        <v>32</v>
      </c>
    </row>
    <row r="320" spans="4:7" x14ac:dyDescent="0.3">
      <c r="D320" s="11" t="s">
        <v>1006</v>
      </c>
      <c r="E320" s="11" t="s">
        <v>1107</v>
      </c>
      <c r="F320" s="11" t="s">
        <v>825</v>
      </c>
      <c r="G320" s="12">
        <v>32</v>
      </c>
    </row>
    <row r="321" spans="4:7" x14ac:dyDescent="0.3">
      <c r="D321" s="11" t="s">
        <v>330</v>
      </c>
      <c r="E321" s="11" t="s">
        <v>1112</v>
      </c>
      <c r="F321" s="11" t="s">
        <v>790</v>
      </c>
      <c r="G321" s="12">
        <v>32</v>
      </c>
    </row>
    <row r="322" spans="4:7" x14ac:dyDescent="0.3">
      <c r="D322" s="11" t="s">
        <v>191</v>
      </c>
      <c r="E322" s="11" t="s">
        <v>1079</v>
      </c>
      <c r="F322" s="11" t="s">
        <v>846</v>
      </c>
      <c r="G322" s="12">
        <v>32</v>
      </c>
    </row>
    <row r="323" spans="4:7" x14ac:dyDescent="0.3">
      <c r="D323" s="11" t="s">
        <v>285</v>
      </c>
      <c r="E323" s="11" t="s">
        <v>1125</v>
      </c>
      <c r="F323" s="11" t="s">
        <v>825</v>
      </c>
      <c r="G323" s="12">
        <v>32</v>
      </c>
    </row>
    <row r="324" spans="4:7" x14ac:dyDescent="0.3">
      <c r="D324" s="11" t="s">
        <v>476</v>
      </c>
      <c r="E324" s="11" t="s">
        <v>1113</v>
      </c>
      <c r="F324" s="11" t="s">
        <v>885</v>
      </c>
      <c r="G324" s="12">
        <v>32</v>
      </c>
    </row>
    <row r="325" spans="4:7" x14ac:dyDescent="0.3">
      <c r="D325" s="11" t="s">
        <v>326</v>
      </c>
      <c r="E325" s="11" t="s">
        <v>1126</v>
      </c>
      <c r="F325" s="11" t="s">
        <v>853</v>
      </c>
      <c r="G325" s="12">
        <v>32</v>
      </c>
    </row>
    <row r="326" spans="4:7" x14ac:dyDescent="0.3">
      <c r="D326" s="11" t="s">
        <v>511</v>
      </c>
      <c r="E326" s="11" t="s">
        <v>1087</v>
      </c>
      <c r="F326" s="11" t="s">
        <v>805</v>
      </c>
      <c r="G326" s="12">
        <v>32</v>
      </c>
    </row>
    <row r="327" spans="4:7" x14ac:dyDescent="0.3">
      <c r="D327" s="11" t="s">
        <v>763</v>
      </c>
      <c r="E327" s="11" t="s">
        <v>1078</v>
      </c>
      <c r="F327" s="11" t="s">
        <v>878</v>
      </c>
      <c r="G327" s="12">
        <v>32</v>
      </c>
    </row>
    <row r="328" spans="4:7" x14ac:dyDescent="0.3">
      <c r="D328" s="11" t="s">
        <v>315</v>
      </c>
      <c r="E328" s="11" t="s">
        <v>1119</v>
      </c>
      <c r="F328" s="11" t="s">
        <v>841</v>
      </c>
      <c r="G328" s="12">
        <v>32</v>
      </c>
    </row>
    <row r="329" spans="4:7" x14ac:dyDescent="0.3">
      <c r="D329" s="11" t="s">
        <v>1052</v>
      </c>
      <c r="E329" s="11" t="s">
        <v>1124</v>
      </c>
      <c r="F329" s="11" t="s">
        <v>818</v>
      </c>
      <c r="G329" s="12">
        <v>32</v>
      </c>
    </row>
    <row r="330" spans="4:7" x14ac:dyDescent="0.3">
      <c r="D330" s="11" t="s">
        <v>386</v>
      </c>
      <c r="E330" s="11" t="s">
        <v>1092</v>
      </c>
      <c r="F330" s="11" t="s">
        <v>857</v>
      </c>
      <c r="G330" s="12">
        <v>32</v>
      </c>
    </row>
    <row r="331" spans="4:7" x14ac:dyDescent="0.3">
      <c r="D331" s="11" t="s">
        <v>641</v>
      </c>
      <c r="E331" s="11" t="s">
        <v>1125</v>
      </c>
      <c r="F331" s="11" t="s">
        <v>919</v>
      </c>
      <c r="G331" s="12">
        <v>32</v>
      </c>
    </row>
    <row r="332" spans="4:7" x14ac:dyDescent="0.3">
      <c r="D332" s="11" t="s">
        <v>75</v>
      </c>
      <c r="E332" s="11" t="s">
        <v>1111</v>
      </c>
      <c r="F332" s="11" t="s">
        <v>856</v>
      </c>
      <c r="G332" s="12">
        <v>32</v>
      </c>
    </row>
    <row r="333" spans="4:7" x14ac:dyDescent="0.3">
      <c r="D333" s="11" t="s">
        <v>738</v>
      </c>
      <c r="E333" s="11" t="s">
        <v>1081</v>
      </c>
      <c r="F333" s="11" t="s">
        <v>906</v>
      </c>
      <c r="G333" s="12">
        <v>32</v>
      </c>
    </row>
    <row r="334" spans="4:7" x14ac:dyDescent="0.3">
      <c r="D334" s="11" t="s">
        <v>650</v>
      </c>
      <c r="E334" s="11" t="s">
        <v>1123</v>
      </c>
      <c r="F334" s="11" t="s">
        <v>818</v>
      </c>
      <c r="G334" s="12">
        <v>32</v>
      </c>
    </row>
    <row r="335" spans="4:7" x14ac:dyDescent="0.3">
      <c r="D335" s="11" t="s">
        <v>709</v>
      </c>
      <c r="E335" s="11" t="s">
        <v>1113</v>
      </c>
      <c r="F335" s="11" t="s">
        <v>796</v>
      </c>
      <c r="G335" s="12">
        <v>32</v>
      </c>
    </row>
    <row r="336" spans="4:7" x14ac:dyDescent="0.3">
      <c r="D336" s="11" t="s">
        <v>637</v>
      </c>
      <c r="E336" s="11" t="s">
        <v>1083</v>
      </c>
      <c r="F336" s="11" t="s">
        <v>870</v>
      </c>
      <c r="G336" s="12">
        <v>32</v>
      </c>
    </row>
    <row r="337" spans="4:7" x14ac:dyDescent="0.3">
      <c r="D337" s="11" t="s">
        <v>733</v>
      </c>
      <c r="E337" s="11" t="s">
        <v>1093</v>
      </c>
      <c r="F337" s="11" t="s">
        <v>818</v>
      </c>
      <c r="G337" s="12">
        <v>32</v>
      </c>
    </row>
    <row r="338" spans="4:7" x14ac:dyDescent="0.3">
      <c r="D338" s="11" t="s">
        <v>724</v>
      </c>
      <c r="E338" s="11" t="s">
        <v>1098</v>
      </c>
      <c r="F338" s="11" t="s">
        <v>873</v>
      </c>
      <c r="G338" s="12">
        <v>32</v>
      </c>
    </row>
    <row r="339" spans="4:7" x14ac:dyDescent="0.3">
      <c r="D339" s="11" t="s">
        <v>675</v>
      </c>
      <c r="E339" s="11" t="s">
        <v>1091</v>
      </c>
      <c r="F339" s="11" t="s">
        <v>900</v>
      </c>
      <c r="G339" s="12">
        <v>32</v>
      </c>
    </row>
    <row r="340" spans="4:7" x14ac:dyDescent="0.3">
      <c r="D340" s="11" t="s">
        <v>172</v>
      </c>
      <c r="E340" s="11" t="s">
        <v>1102</v>
      </c>
      <c r="F340" s="11" t="s">
        <v>852</v>
      </c>
      <c r="G340" s="12">
        <v>32</v>
      </c>
    </row>
    <row r="341" spans="4:7" x14ac:dyDescent="0.3">
      <c r="D341" s="11" t="s">
        <v>563</v>
      </c>
      <c r="E341" s="11" t="s">
        <v>1086</v>
      </c>
      <c r="F341" s="11" t="s">
        <v>860</v>
      </c>
      <c r="G341" s="12">
        <v>32</v>
      </c>
    </row>
    <row r="342" spans="4:7" x14ac:dyDescent="0.3">
      <c r="D342" s="11" t="s">
        <v>936</v>
      </c>
      <c r="E342" s="11" t="s">
        <v>1109</v>
      </c>
      <c r="F342" s="11" t="s">
        <v>926</v>
      </c>
      <c r="G342" s="12">
        <v>32</v>
      </c>
    </row>
    <row r="343" spans="4:7" x14ac:dyDescent="0.3">
      <c r="D343" s="11" t="s">
        <v>228</v>
      </c>
      <c r="E343" s="11" t="s">
        <v>1096</v>
      </c>
      <c r="F343" s="11" t="s">
        <v>846</v>
      </c>
      <c r="G343" s="12">
        <v>32</v>
      </c>
    </row>
    <row r="344" spans="4:7" x14ac:dyDescent="0.3">
      <c r="D344" s="11" t="s">
        <v>48</v>
      </c>
      <c r="E344" s="11" t="s">
        <v>1080</v>
      </c>
      <c r="F344" s="11" t="s">
        <v>801</v>
      </c>
      <c r="G344" s="12">
        <v>32</v>
      </c>
    </row>
    <row r="345" spans="4:7" x14ac:dyDescent="0.3">
      <c r="D345" s="11" t="s">
        <v>281</v>
      </c>
      <c r="E345" s="11" t="s">
        <v>1089</v>
      </c>
      <c r="F345" s="11" t="s">
        <v>834</v>
      </c>
      <c r="G345" s="12">
        <v>32</v>
      </c>
    </row>
    <row r="346" spans="4:7" x14ac:dyDescent="0.3">
      <c r="D346" s="11" t="s">
        <v>554</v>
      </c>
      <c r="E346" s="11" t="s">
        <v>1115</v>
      </c>
      <c r="F346" s="11" t="s">
        <v>915</v>
      </c>
      <c r="G346" s="12">
        <v>32</v>
      </c>
    </row>
    <row r="347" spans="4:7" x14ac:dyDescent="0.3">
      <c r="D347" s="11" t="s">
        <v>498</v>
      </c>
      <c r="E347" s="11" t="s">
        <v>1078</v>
      </c>
      <c r="F347" s="11" t="s">
        <v>880</v>
      </c>
      <c r="G347" s="12">
        <v>32</v>
      </c>
    </row>
    <row r="348" spans="4:7" x14ac:dyDescent="0.3">
      <c r="D348" s="11" t="s">
        <v>335</v>
      </c>
      <c r="E348" s="11" t="s">
        <v>1086</v>
      </c>
      <c r="F348" s="11" t="s">
        <v>810</v>
      </c>
      <c r="G348" s="12">
        <v>32</v>
      </c>
    </row>
    <row r="349" spans="4:7" x14ac:dyDescent="0.3">
      <c r="D349" s="11" t="s">
        <v>441</v>
      </c>
      <c r="E349" s="11" t="s">
        <v>1108</v>
      </c>
      <c r="F349" s="11" t="s">
        <v>846</v>
      </c>
      <c r="G349" s="12">
        <v>32</v>
      </c>
    </row>
    <row r="350" spans="4:7" x14ac:dyDescent="0.3">
      <c r="D350" s="11" t="s">
        <v>677</v>
      </c>
      <c r="E350" s="11" t="s">
        <v>1113</v>
      </c>
      <c r="F350" s="11" t="s">
        <v>895</v>
      </c>
      <c r="G350" s="12">
        <v>32</v>
      </c>
    </row>
    <row r="351" spans="4:7" x14ac:dyDescent="0.3">
      <c r="D351" s="11" t="s">
        <v>978</v>
      </c>
      <c r="E351" s="11" t="s">
        <v>1109</v>
      </c>
      <c r="F351" s="11" t="s">
        <v>857</v>
      </c>
      <c r="G351" s="12">
        <v>32</v>
      </c>
    </row>
    <row r="352" spans="4:7" x14ac:dyDescent="0.3">
      <c r="D352" s="11" t="s">
        <v>513</v>
      </c>
      <c r="E352" s="11" t="s">
        <v>1100</v>
      </c>
      <c r="F352" s="11" t="s">
        <v>895</v>
      </c>
      <c r="G352" s="12">
        <v>32</v>
      </c>
    </row>
    <row r="353" spans="4:7" x14ac:dyDescent="0.3">
      <c r="D353" s="11" t="s">
        <v>622</v>
      </c>
      <c r="E353" s="11" t="s">
        <v>1123</v>
      </c>
      <c r="F353" s="11" t="s">
        <v>873</v>
      </c>
      <c r="G353" s="12">
        <v>32</v>
      </c>
    </row>
    <row r="354" spans="4:7" x14ac:dyDescent="0.3">
      <c r="D354" s="11" t="s">
        <v>642</v>
      </c>
      <c r="E354" s="11" t="s">
        <v>1077</v>
      </c>
      <c r="F354" s="11" t="s">
        <v>790</v>
      </c>
      <c r="G354" s="12">
        <v>32</v>
      </c>
    </row>
    <row r="355" spans="4:7" x14ac:dyDescent="0.3">
      <c r="D355" s="11" t="s">
        <v>664</v>
      </c>
      <c r="E355" s="11" t="s">
        <v>1103</v>
      </c>
      <c r="F355" s="11" t="s">
        <v>895</v>
      </c>
      <c r="G355" s="12">
        <v>32</v>
      </c>
    </row>
    <row r="356" spans="4:7" x14ac:dyDescent="0.3">
      <c r="D356" s="11" t="s">
        <v>329</v>
      </c>
      <c r="E356" s="11" t="s">
        <v>1105</v>
      </c>
      <c r="F356" s="11" t="s">
        <v>856</v>
      </c>
      <c r="G356" s="12">
        <v>32</v>
      </c>
    </row>
    <row r="357" spans="4:7" x14ac:dyDescent="0.3">
      <c r="D357" s="11" t="s">
        <v>958</v>
      </c>
      <c r="E357" s="11" t="s">
        <v>1085</v>
      </c>
      <c r="F357" s="11" t="s">
        <v>883</v>
      </c>
      <c r="G357" s="12">
        <v>32</v>
      </c>
    </row>
    <row r="358" spans="4:7" x14ac:dyDescent="0.3">
      <c r="D358" s="11" t="s">
        <v>345</v>
      </c>
      <c r="E358" s="11" t="s">
        <v>1100</v>
      </c>
      <c r="F358" s="11" t="s">
        <v>837</v>
      </c>
      <c r="G358" s="12">
        <v>32</v>
      </c>
    </row>
    <row r="359" spans="4:7" x14ac:dyDescent="0.3">
      <c r="D359" s="11" t="s">
        <v>635</v>
      </c>
      <c r="E359" s="11" t="s">
        <v>1114</v>
      </c>
      <c r="F359" s="11" t="s">
        <v>883</v>
      </c>
      <c r="G359" s="12">
        <v>32</v>
      </c>
    </row>
    <row r="360" spans="4:7" x14ac:dyDescent="0.3">
      <c r="D360" s="11" t="s">
        <v>560</v>
      </c>
      <c r="E360" s="11" t="s">
        <v>1108</v>
      </c>
      <c r="F360" s="11" t="s">
        <v>827</v>
      </c>
      <c r="G360" s="12">
        <v>32</v>
      </c>
    </row>
    <row r="361" spans="4:7" x14ac:dyDescent="0.3">
      <c r="D361" s="11" t="s">
        <v>152</v>
      </c>
      <c r="E361" s="11" t="s">
        <v>1099</v>
      </c>
      <c r="F361" s="11" t="s">
        <v>864</v>
      </c>
      <c r="G361" s="12">
        <v>32</v>
      </c>
    </row>
    <row r="362" spans="4:7" x14ac:dyDescent="0.3">
      <c r="D362" s="11" t="s">
        <v>339</v>
      </c>
      <c r="E362" s="11" t="s">
        <v>1082</v>
      </c>
      <c r="F362" s="11" t="s">
        <v>834</v>
      </c>
      <c r="G362" s="12">
        <v>32</v>
      </c>
    </row>
    <row r="363" spans="4:7" x14ac:dyDescent="0.3">
      <c r="D363" s="11" t="s">
        <v>414</v>
      </c>
      <c r="E363" s="11" t="s">
        <v>1108</v>
      </c>
      <c r="F363" s="11" t="s">
        <v>881</v>
      </c>
      <c r="G363" s="12">
        <v>32</v>
      </c>
    </row>
    <row r="364" spans="4:7" x14ac:dyDescent="0.3">
      <c r="D364" s="11" t="s">
        <v>691</v>
      </c>
      <c r="E364" s="11" t="s">
        <v>1110</v>
      </c>
      <c r="F364" s="11" t="s">
        <v>810</v>
      </c>
      <c r="G364" s="12">
        <v>32</v>
      </c>
    </row>
    <row r="365" spans="4:7" x14ac:dyDescent="0.3">
      <c r="D365" s="11" t="s">
        <v>443</v>
      </c>
      <c r="E365" s="11" t="s">
        <v>1087</v>
      </c>
      <c r="F365" s="11" t="s">
        <v>874</v>
      </c>
      <c r="G365" s="12">
        <v>32</v>
      </c>
    </row>
    <row r="366" spans="4:7" x14ac:dyDescent="0.3">
      <c r="D366" s="11" t="s">
        <v>621</v>
      </c>
      <c r="E366" s="11" t="s">
        <v>1099</v>
      </c>
      <c r="F366" s="11" t="s">
        <v>874</v>
      </c>
      <c r="G366" s="12">
        <v>32</v>
      </c>
    </row>
    <row r="367" spans="4:7" x14ac:dyDescent="0.3">
      <c r="D367" s="11" t="s">
        <v>715</v>
      </c>
      <c r="E367" s="11" t="s">
        <v>1084</v>
      </c>
      <c r="F367" s="11" t="s">
        <v>881</v>
      </c>
      <c r="G367" s="12">
        <v>32</v>
      </c>
    </row>
    <row r="368" spans="4:7" x14ac:dyDescent="0.3">
      <c r="D368" s="11" t="s">
        <v>747</v>
      </c>
      <c r="E368" s="11" t="s">
        <v>1107</v>
      </c>
      <c r="F368" s="11" t="s">
        <v>827</v>
      </c>
      <c r="G368" s="12">
        <v>32</v>
      </c>
    </row>
    <row r="369" spans="4:7" x14ac:dyDescent="0.3">
      <c r="D369" s="11" t="s">
        <v>722</v>
      </c>
      <c r="E369" s="11" t="s">
        <v>1095</v>
      </c>
      <c r="F369" s="11" t="s">
        <v>860</v>
      </c>
      <c r="G369" s="12">
        <v>32</v>
      </c>
    </row>
    <row r="370" spans="4:7" x14ac:dyDescent="0.3">
      <c r="D370" s="11" t="s">
        <v>215</v>
      </c>
      <c r="E370" s="11" t="s">
        <v>1115</v>
      </c>
      <c r="F370" s="11" t="s">
        <v>926</v>
      </c>
      <c r="G370" s="12">
        <v>30</v>
      </c>
    </row>
    <row r="371" spans="4:7" x14ac:dyDescent="0.3">
      <c r="D371" s="11" t="s">
        <v>633</v>
      </c>
      <c r="E371" s="11" t="s">
        <v>1087</v>
      </c>
      <c r="F371" s="11" t="s">
        <v>829</v>
      </c>
      <c r="G371" s="12">
        <v>30</v>
      </c>
    </row>
    <row r="372" spans="4:7" x14ac:dyDescent="0.3">
      <c r="D372" s="11" t="s">
        <v>207</v>
      </c>
      <c r="E372" s="11" t="s">
        <v>1122</v>
      </c>
      <c r="F372" s="11" t="s">
        <v>822</v>
      </c>
      <c r="G372" s="12">
        <v>30</v>
      </c>
    </row>
    <row r="373" spans="4:7" x14ac:dyDescent="0.3">
      <c r="D373" s="11" t="s">
        <v>676</v>
      </c>
      <c r="E373" s="11" t="s">
        <v>1119</v>
      </c>
      <c r="F373" s="11" t="s">
        <v>818</v>
      </c>
      <c r="G373" s="12">
        <v>30</v>
      </c>
    </row>
    <row r="374" spans="4:7" x14ac:dyDescent="0.3">
      <c r="D374" s="11" t="s">
        <v>289</v>
      </c>
      <c r="E374" s="11" t="s">
        <v>1114</v>
      </c>
      <c r="F374" s="11" t="s">
        <v>915</v>
      </c>
      <c r="G374" s="12">
        <v>30</v>
      </c>
    </row>
    <row r="375" spans="4:7" x14ac:dyDescent="0.3">
      <c r="D375" s="11" t="s">
        <v>378</v>
      </c>
      <c r="E375" s="11" t="s">
        <v>1098</v>
      </c>
      <c r="F375" s="11" t="s">
        <v>876</v>
      </c>
      <c r="G375" s="12">
        <v>30</v>
      </c>
    </row>
    <row r="376" spans="4:7" x14ac:dyDescent="0.3">
      <c r="D376" s="11" t="s">
        <v>203</v>
      </c>
      <c r="E376" s="11" t="s">
        <v>1110</v>
      </c>
      <c r="F376" s="11" t="s">
        <v>790</v>
      </c>
      <c r="G376" s="12">
        <v>30</v>
      </c>
    </row>
    <row r="377" spans="4:7" x14ac:dyDescent="0.3">
      <c r="D377" s="11" t="s">
        <v>693</v>
      </c>
      <c r="E377" s="11" t="s">
        <v>1113</v>
      </c>
      <c r="F377" s="11" t="s">
        <v>901</v>
      </c>
      <c r="G377" s="12">
        <v>30</v>
      </c>
    </row>
    <row r="378" spans="4:7" x14ac:dyDescent="0.3">
      <c r="D378" s="11" t="s">
        <v>850</v>
      </c>
      <c r="E378" s="11" t="s">
        <v>1093</v>
      </c>
      <c r="F378" s="11" t="s">
        <v>852</v>
      </c>
      <c r="G378" s="12">
        <v>30</v>
      </c>
    </row>
    <row r="379" spans="4:7" x14ac:dyDescent="0.3">
      <c r="D379" s="11" t="s">
        <v>212</v>
      </c>
      <c r="E379" s="11" t="s">
        <v>1091</v>
      </c>
      <c r="F379" s="11" t="s">
        <v>828</v>
      </c>
      <c r="G379" s="12">
        <v>28</v>
      </c>
    </row>
    <row r="380" spans="4:7" x14ac:dyDescent="0.3">
      <c r="D380" s="11" t="s">
        <v>449</v>
      </c>
      <c r="E380" s="11" t="s">
        <v>1103</v>
      </c>
      <c r="F380" s="11" t="s">
        <v>939</v>
      </c>
      <c r="G380" s="12">
        <v>28</v>
      </c>
    </row>
    <row r="381" spans="4:7" x14ac:dyDescent="0.3">
      <c r="D381" s="11" t="s">
        <v>221</v>
      </c>
      <c r="E381" s="11" t="s">
        <v>1113</v>
      </c>
      <c r="F381" s="11" t="s">
        <v>893</v>
      </c>
      <c r="G381" s="12">
        <v>28</v>
      </c>
    </row>
    <row r="382" spans="4:7" x14ac:dyDescent="0.3">
      <c r="D382" s="11" t="s">
        <v>594</v>
      </c>
      <c r="E382" s="11" t="s">
        <v>1089</v>
      </c>
      <c r="F382" s="11" t="s">
        <v>874</v>
      </c>
      <c r="G382" s="12">
        <v>28</v>
      </c>
    </row>
    <row r="383" spans="4:7" x14ac:dyDescent="0.3">
      <c r="D383" s="11" t="s">
        <v>547</v>
      </c>
      <c r="E383" s="11" t="s">
        <v>1083</v>
      </c>
      <c r="F383" s="11" t="s">
        <v>915</v>
      </c>
      <c r="G383" s="12">
        <v>28</v>
      </c>
    </row>
    <row r="384" spans="4:7" x14ac:dyDescent="0.3">
      <c r="D384" s="11" t="s">
        <v>562</v>
      </c>
      <c r="E384" s="11" t="s">
        <v>1104</v>
      </c>
      <c r="F384" s="11" t="s">
        <v>834</v>
      </c>
      <c r="G384" s="12">
        <v>28</v>
      </c>
    </row>
    <row r="385" spans="4:7" x14ac:dyDescent="0.3">
      <c r="D385" s="11" t="s">
        <v>286</v>
      </c>
      <c r="E385" s="11" t="s">
        <v>1104</v>
      </c>
      <c r="F385" s="11" t="s">
        <v>837</v>
      </c>
      <c r="G385" s="12">
        <v>28</v>
      </c>
    </row>
    <row r="386" spans="4:7" x14ac:dyDescent="0.3">
      <c r="D386" s="11" t="s">
        <v>537</v>
      </c>
      <c r="E386" s="11" t="s">
        <v>1108</v>
      </c>
      <c r="F386" s="11" t="s">
        <v>926</v>
      </c>
      <c r="G386" s="12">
        <v>28</v>
      </c>
    </row>
    <row r="387" spans="4:7" x14ac:dyDescent="0.3">
      <c r="D387" s="11" t="s">
        <v>344</v>
      </c>
      <c r="E387" s="11" t="s">
        <v>1077</v>
      </c>
      <c r="F387" s="11" t="s">
        <v>822</v>
      </c>
      <c r="G387" s="12">
        <v>28</v>
      </c>
    </row>
    <row r="388" spans="4:7" x14ac:dyDescent="0.3">
      <c r="D388" s="11" t="s">
        <v>500</v>
      </c>
      <c r="E388" s="11" t="s">
        <v>1105</v>
      </c>
      <c r="F388" s="11" t="s">
        <v>919</v>
      </c>
      <c r="G388" s="12">
        <v>28</v>
      </c>
    </row>
    <row r="389" spans="4:7" x14ac:dyDescent="0.3">
      <c r="D389" s="11" t="s">
        <v>127</v>
      </c>
      <c r="E389" s="11" t="s">
        <v>1119</v>
      </c>
      <c r="F389" s="11" t="s">
        <v>895</v>
      </c>
      <c r="G389" s="12">
        <v>28</v>
      </c>
    </row>
    <row r="390" spans="4:7" x14ac:dyDescent="0.3">
      <c r="D390" s="11" t="s">
        <v>359</v>
      </c>
      <c r="E390" s="11" t="s">
        <v>1096</v>
      </c>
      <c r="F390" s="11" t="s">
        <v>888</v>
      </c>
      <c r="G390" s="12">
        <v>28</v>
      </c>
    </row>
    <row r="391" spans="4:7" x14ac:dyDescent="0.3">
      <c r="D391" s="11" t="s">
        <v>486</v>
      </c>
      <c r="E391" s="11" t="s">
        <v>1102</v>
      </c>
      <c r="F391" s="11" t="s">
        <v>852</v>
      </c>
      <c r="G391" s="12">
        <v>28</v>
      </c>
    </row>
    <row r="392" spans="4:7" x14ac:dyDescent="0.3">
      <c r="D392" s="11" t="s">
        <v>861</v>
      </c>
      <c r="E392" s="11" t="s">
        <v>1096</v>
      </c>
      <c r="F392" s="11" t="s">
        <v>834</v>
      </c>
      <c r="G392" s="12">
        <v>28</v>
      </c>
    </row>
    <row r="393" spans="4:7" x14ac:dyDescent="0.3">
      <c r="D393" s="11" t="s">
        <v>197</v>
      </c>
      <c r="E393" s="11" t="s">
        <v>1085</v>
      </c>
      <c r="F393" s="11" t="s">
        <v>885</v>
      </c>
      <c r="G393" s="12">
        <v>28</v>
      </c>
    </row>
    <row r="394" spans="4:7" x14ac:dyDescent="0.3">
      <c r="D394" s="11" t="s">
        <v>602</v>
      </c>
      <c r="E394" s="11" t="s">
        <v>1081</v>
      </c>
      <c r="F394" s="11" t="s">
        <v>870</v>
      </c>
      <c r="G394" s="12">
        <v>28</v>
      </c>
    </row>
    <row r="395" spans="4:7" x14ac:dyDescent="0.3">
      <c r="D395" s="11" t="s">
        <v>884</v>
      </c>
      <c r="E395" s="11" t="s">
        <v>1094</v>
      </c>
      <c r="F395" s="11" t="s">
        <v>885</v>
      </c>
      <c r="G395" s="12">
        <v>28</v>
      </c>
    </row>
    <row r="396" spans="4:7" x14ac:dyDescent="0.3">
      <c r="D396" s="11" t="s">
        <v>463</v>
      </c>
      <c r="E396" s="11" t="s">
        <v>1091</v>
      </c>
      <c r="F396" s="11" t="s">
        <v>790</v>
      </c>
      <c r="G396" s="12">
        <v>28</v>
      </c>
    </row>
    <row r="397" spans="4:7" x14ac:dyDescent="0.3">
      <c r="D397" s="11" t="s">
        <v>596</v>
      </c>
      <c r="E397" s="11" t="s">
        <v>1121</v>
      </c>
      <c r="F397" s="11" t="s">
        <v>828</v>
      </c>
      <c r="G397" s="12">
        <v>28</v>
      </c>
    </row>
    <row r="398" spans="4:7" x14ac:dyDescent="0.3">
      <c r="D398" s="11" t="s">
        <v>767</v>
      </c>
      <c r="E398" s="11" t="s">
        <v>1081</v>
      </c>
      <c r="F398" s="11" t="s">
        <v>906</v>
      </c>
      <c r="G398" s="12">
        <v>26</v>
      </c>
    </row>
    <row r="399" spans="4:7" x14ac:dyDescent="0.3">
      <c r="D399" s="11" t="s">
        <v>167</v>
      </c>
      <c r="E399" s="11" t="s">
        <v>1118</v>
      </c>
      <c r="F399" s="11" t="s">
        <v>837</v>
      </c>
      <c r="G399" s="12">
        <v>26</v>
      </c>
    </row>
    <row r="400" spans="4:7" x14ac:dyDescent="0.3">
      <c r="D400" s="11" t="s">
        <v>502</v>
      </c>
      <c r="E400" s="11" t="s">
        <v>1119</v>
      </c>
      <c r="F400" s="11" t="s">
        <v>870</v>
      </c>
      <c r="G400" s="12">
        <v>26</v>
      </c>
    </row>
    <row r="401" spans="4:7" x14ac:dyDescent="0.3">
      <c r="D401" s="11" t="s">
        <v>209</v>
      </c>
      <c r="E401" s="11" t="s">
        <v>1116</v>
      </c>
      <c r="F401" s="11" t="s">
        <v>939</v>
      </c>
      <c r="G401" s="12">
        <v>26</v>
      </c>
    </row>
    <row r="402" spans="4:7" x14ac:dyDescent="0.3">
      <c r="D402" s="11" t="s">
        <v>521</v>
      </c>
      <c r="E402" s="11" t="s">
        <v>1108</v>
      </c>
      <c r="F402" s="11" t="s">
        <v>878</v>
      </c>
      <c r="G402" s="12">
        <v>26</v>
      </c>
    </row>
    <row r="403" spans="4:7" x14ac:dyDescent="0.3">
      <c r="D403" s="11" t="s">
        <v>319</v>
      </c>
      <c r="E403" s="11" t="s">
        <v>1094</v>
      </c>
      <c r="F403" s="11" t="s">
        <v>822</v>
      </c>
      <c r="G403" s="12">
        <v>26</v>
      </c>
    </row>
    <row r="404" spans="4:7" x14ac:dyDescent="0.3">
      <c r="D404" s="11" t="s">
        <v>593</v>
      </c>
      <c r="E404" s="11" t="s">
        <v>1086</v>
      </c>
      <c r="F404" s="11" t="s">
        <v>876</v>
      </c>
      <c r="G404" s="12">
        <v>26</v>
      </c>
    </row>
    <row r="405" spans="4:7" x14ac:dyDescent="0.3">
      <c r="D405" s="11" t="s">
        <v>58</v>
      </c>
      <c r="E405" s="11" t="s">
        <v>1095</v>
      </c>
      <c r="F405" s="11" t="s">
        <v>876</v>
      </c>
      <c r="G405" s="12">
        <v>26</v>
      </c>
    </row>
    <row r="406" spans="4:7" x14ac:dyDescent="0.3">
      <c r="D406" s="11" t="s">
        <v>657</v>
      </c>
      <c r="E406" s="11" t="s">
        <v>1106</v>
      </c>
      <c r="F406" s="11" t="s">
        <v>805</v>
      </c>
      <c r="G406" s="12">
        <v>26</v>
      </c>
    </row>
    <row r="407" spans="4:7" x14ac:dyDescent="0.3">
      <c r="D407" s="11" t="s">
        <v>448</v>
      </c>
      <c r="E407" s="11" t="s">
        <v>1088</v>
      </c>
      <c r="F407" s="11" t="s">
        <v>906</v>
      </c>
      <c r="G407" s="12">
        <v>26</v>
      </c>
    </row>
    <row r="408" spans="4:7" x14ac:dyDescent="0.3">
      <c r="D408" s="11" t="s">
        <v>181</v>
      </c>
      <c r="E408" s="11" t="s">
        <v>1080</v>
      </c>
      <c r="F408" s="11" t="s">
        <v>853</v>
      </c>
      <c r="G408" s="12">
        <v>26</v>
      </c>
    </row>
    <row r="409" spans="4:7" x14ac:dyDescent="0.3">
      <c r="D409" s="11" t="s">
        <v>208</v>
      </c>
      <c r="E409" s="11" t="s">
        <v>1105</v>
      </c>
      <c r="F409" s="11" t="s">
        <v>818</v>
      </c>
      <c r="G409" s="12">
        <v>24</v>
      </c>
    </row>
    <row r="410" spans="4:7" x14ac:dyDescent="0.3">
      <c r="D410" s="11" t="s">
        <v>368</v>
      </c>
      <c r="E410" s="11" t="s">
        <v>1077</v>
      </c>
      <c r="F410" s="11" t="s">
        <v>818</v>
      </c>
      <c r="G410" s="12">
        <v>24</v>
      </c>
    </row>
    <row r="411" spans="4:7" x14ac:dyDescent="0.3">
      <c r="D411" s="11" t="s">
        <v>363</v>
      </c>
      <c r="E411" s="11" t="s">
        <v>1106</v>
      </c>
      <c r="F411" s="11" t="s">
        <v>874</v>
      </c>
      <c r="G411" s="12">
        <v>24</v>
      </c>
    </row>
    <row r="412" spans="4:7" x14ac:dyDescent="0.3">
      <c r="D412" s="11" t="s">
        <v>356</v>
      </c>
      <c r="E412" s="11" t="s">
        <v>1096</v>
      </c>
      <c r="F412" s="11" t="s">
        <v>919</v>
      </c>
      <c r="G412" s="12">
        <v>24</v>
      </c>
    </row>
    <row r="413" spans="4:7" x14ac:dyDescent="0.3">
      <c r="D413" s="11" t="s">
        <v>1044</v>
      </c>
      <c r="E413" s="11" t="s">
        <v>1091</v>
      </c>
      <c r="F413" s="11" t="s">
        <v>837</v>
      </c>
      <c r="G413" s="12">
        <v>24</v>
      </c>
    </row>
    <row r="414" spans="4:7" x14ac:dyDescent="0.3">
      <c r="D414" s="11" t="s">
        <v>273</v>
      </c>
      <c r="E414" s="11" t="s">
        <v>1115</v>
      </c>
      <c r="F414" s="11" t="s">
        <v>874</v>
      </c>
      <c r="G414" s="12">
        <v>24</v>
      </c>
    </row>
    <row r="415" spans="4:7" x14ac:dyDescent="0.3">
      <c r="D415" s="11" t="s">
        <v>1020</v>
      </c>
      <c r="E415" s="11" t="s">
        <v>1112</v>
      </c>
      <c r="F415" s="11" t="s">
        <v>893</v>
      </c>
      <c r="G415" s="12">
        <v>24</v>
      </c>
    </row>
    <row r="416" spans="4:7" x14ac:dyDescent="0.3">
      <c r="D416" s="11" t="s">
        <v>425</v>
      </c>
      <c r="E416" s="11" t="s">
        <v>1113</v>
      </c>
      <c r="F416" s="11" t="s">
        <v>860</v>
      </c>
      <c r="G416" s="12">
        <v>24</v>
      </c>
    </row>
    <row r="417" spans="4:7" x14ac:dyDescent="0.3">
      <c r="D417" s="11" t="s">
        <v>333</v>
      </c>
      <c r="E417" s="11" t="s">
        <v>1119</v>
      </c>
      <c r="F417" s="11" t="s">
        <v>842</v>
      </c>
      <c r="G417" s="12">
        <v>24</v>
      </c>
    </row>
    <row r="418" spans="4:7" x14ac:dyDescent="0.3">
      <c r="D418" s="11" t="s">
        <v>717</v>
      </c>
      <c r="E418" s="11" t="s">
        <v>1118</v>
      </c>
      <c r="F418" s="11" t="s">
        <v>883</v>
      </c>
      <c r="G418" s="12">
        <v>24</v>
      </c>
    </row>
    <row r="419" spans="4:7" x14ac:dyDescent="0.3">
      <c r="D419" s="11" t="s">
        <v>384</v>
      </c>
      <c r="E419" s="11" t="s">
        <v>1086</v>
      </c>
      <c r="F419" s="11" t="s">
        <v>918</v>
      </c>
      <c r="G419" s="12">
        <v>24</v>
      </c>
    </row>
    <row r="420" spans="4:7" x14ac:dyDescent="0.3">
      <c r="D420" s="11" t="s">
        <v>85</v>
      </c>
      <c r="E420" s="11" t="s">
        <v>1091</v>
      </c>
      <c r="F420" s="11" t="s">
        <v>870</v>
      </c>
      <c r="G420" s="12">
        <v>24</v>
      </c>
    </row>
    <row r="421" spans="4:7" x14ac:dyDescent="0.3">
      <c r="D421" s="11" t="s">
        <v>776</v>
      </c>
      <c r="E421" s="11" t="s">
        <v>1116</v>
      </c>
      <c r="F421" s="11" t="s">
        <v>827</v>
      </c>
      <c r="G421" s="12">
        <v>24</v>
      </c>
    </row>
    <row r="422" spans="4:7" x14ac:dyDescent="0.3">
      <c r="D422" s="11" t="s">
        <v>254</v>
      </c>
      <c r="E422" s="11" t="s">
        <v>1114</v>
      </c>
      <c r="F422" s="11" t="s">
        <v>837</v>
      </c>
      <c r="G422" s="12">
        <v>24</v>
      </c>
    </row>
    <row r="423" spans="4:7" x14ac:dyDescent="0.3">
      <c r="D423" s="11" t="s">
        <v>275</v>
      </c>
      <c r="E423" s="11" t="s">
        <v>1116</v>
      </c>
      <c r="F423" s="11" t="s">
        <v>919</v>
      </c>
      <c r="G423" s="12">
        <v>24</v>
      </c>
    </row>
    <row r="424" spans="4:7" x14ac:dyDescent="0.3">
      <c r="D424" s="11" t="s">
        <v>194</v>
      </c>
      <c r="E424" s="11" t="s">
        <v>1089</v>
      </c>
      <c r="F424" s="11" t="s">
        <v>810</v>
      </c>
      <c r="G424" s="12">
        <v>24</v>
      </c>
    </row>
    <row r="425" spans="4:7" x14ac:dyDescent="0.3">
      <c r="D425" s="11" t="s">
        <v>457</v>
      </c>
      <c r="E425" s="11" t="s">
        <v>1110</v>
      </c>
      <c r="F425" s="11" t="s">
        <v>888</v>
      </c>
      <c r="G425" s="12">
        <v>24</v>
      </c>
    </row>
    <row r="426" spans="4:7" x14ac:dyDescent="0.3">
      <c r="D426" s="11" t="s">
        <v>665</v>
      </c>
      <c r="E426" s="11" t="s">
        <v>1095</v>
      </c>
      <c r="F426" s="11" t="s">
        <v>827</v>
      </c>
      <c r="G426" s="12">
        <v>24</v>
      </c>
    </row>
    <row r="427" spans="4:7" x14ac:dyDescent="0.3">
      <c r="D427" s="11" t="s">
        <v>216</v>
      </c>
      <c r="E427" s="11" t="s">
        <v>1090</v>
      </c>
      <c r="F427" s="11" t="s">
        <v>837</v>
      </c>
      <c r="G427" s="12">
        <v>24</v>
      </c>
    </row>
    <row r="428" spans="4:7" x14ac:dyDescent="0.3">
      <c r="D428" s="11" t="s">
        <v>482</v>
      </c>
      <c r="E428" s="11" t="s">
        <v>1097</v>
      </c>
      <c r="F428" s="11" t="s">
        <v>883</v>
      </c>
      <c r="G428" s="12">
        <v>24</v>
      </c>
    </row>
    <row r="429" spans="4:7" x14ac:dyDescent="0.3">
      <c r="D429" s="11" t="s">
        <v>589</v>
      </c>
      <c r="E429" s="11" t="s">
        <v>1117</v>
      </c>
      <c r="F429" s="11" t="s">
        <v>801</v>
      </c>
      <c r="G429" s="12">
        <v>24</v>
      </c>
    </row>
    <row r="430" spans="4:7" x14ac:dyDescent="0.3">
      <c r="D430" s="11" t="s">
        <v>571</v>
      </c>
      <c r="E430" s="11" t="s">
        <v>1082</v>
      </c>
      <c r="F430" s="11" t="s">
        <v>805</v>
      </c>
      <c r="G430" s="12">
        <v>24</v>
      </c>
    </row>
    <row r="431" spans="4:7" x14ac:dyDescent="0.3">
      <c r="D431" s="11" t="s">
        <v>954</v>
      </c>
      <c r="E431" s="11" t="s">
        <v>1115</v>
      </c>
      <c r="F431" s="11" t="s">
        <v>893</v>
      </c>
      <c r="G431" s="12">
        <v>24</v>
      </c>
    </row>
    <row r="432" spans="4:7" x14ac:dyDescent="0.3">
      <c r="D432" s="11" t="s">
        <v>102</v>
      </c>
      <c r="E432" s="11" t="s">
        <v>1105</v>
      </c>
      <c r="F432" s="11" t="s">
        <v>914</v>
      </c>
      <c r="G432" s="12">
        <v>24</v>
      </c>
    </row>
    <row r="433" spans="4:7" x14ac:dyDescent="0.3">
      <c r="D433" s="11" t="s">
        <v>620</v>
      </c>
      <c r="E433" s="11" t="s">
        <v>1083</v>
      </c>
      <c r="F433" s="11" t="s">
        <v>828</v>
      </c>
      <c r="G433" s="12">
        <v>24</v>
      </c>
    </row>
    <row r="434" spans="4:7" x14ac:dyDescent="0.3">
      <c r="D434" s="11" t="s">
        <v>25</v>
      </c>
      <c r="E434" s="11" t="s">
        <v>1093</v>
      </c>
      <c r="F434" s="11" t="s">
        <v>816</v>
      </c>
      <c r="G434" s="12">
        <v>24</v>
      </c>
    </row>
    <row r="435" spans="4:7" x14ac:dyDescent="0.3">
      <c r="D435" s="11" t="s">
        <v>493</v>
      </c>
      <c r="E435" s="11" t="s">
        <v>1093</v>
      </c>
      <c r="F435" s="11" t="s">
        <v>876</v>
      </c>
      <c r="G435" s="12">
        <v>24</v>
      </c>
    </row>
    <row r="436" spans="4:7" x14ac:dyDescent="0.3">
      <c r="D436" s="11" t="s">
        <v>694</v>
      </c>
      <c r="E436" s="11" t="s">
        <v>1099</v>
      </c>
      <c r="F436" s="11" t="s">
        <v>828</v>
      </c>
      <c r="G436" s="12">
        <v>24</v>
      </c>
    </row>
    <row r="437" spans="4:7" x14ac:dyDescent="0.3">
      <c r="D437" s="11" t="s">
        <v>959</v>
      </c>
      <c r="E437" s="11" t="s">
        <v>1117</v>
      </c>
      <c r="F437" s="11" t="s">
        <v>853</v>
      </c>
      <c r="G437" s="12">
        <v>24</v>
      </c>
    </row>
    <row r="438" spans="4:7" x14ac:dyDescent="0.3">
      <c r="D438" s="11" t="s">
        <v>234</v>
      </c>
      <c r="E438" s="11" t="s">
        <v>1108</v>
      </c>
      <c r="F438" s="11" t="s">
        <v>893</v>
      </c>
      <c r="G438" s="12">
        <v>24</v>
      </c>
    </row>
    <row r="439" spans="4:7" x14ac:dyDescent="0.3">
      <c r="D439" s="11" t="s">
        <v>729</v>
      </c>
      <c r="E439" s="11" t="s">
        <v>1083</v>
      </c>
      <c r="F439" s="11" t="s">
        <v>915</v>
      </c>
      <c r="G439" s="12">
        <v>24</v>
      </c>
    </row>
    <row r="440" spans="4:7" x14ac:dyDescent="0.3">
      <c r="D440" s="11" t="s">
        <v>308</v>
      </c>
      <c r="E440" s="11" t="s">
        <v>1114</v>
      </c>
      <c r="F440" s="11" t="s">
        <v>828</v>
      </c>
      <c r="G440" s="12">
        <v>24</v>
      </c>
    </row>
    <row r="441" spans="4:7" x14ac:dyDescent="0.3">
      <c r="D441" s="11" t="s">
        <v>189</v>
      </c>
      <c r="E441" s="11" t="s">
        <v>1097</v>
      </c>
      <c r="F441" s="11" t="s">
        <v>864</v>
      </c>
      <c r="G441" s="12">
        <v>24</v>
      </c>
    </row>
    <row r="442" spans="4:7" x14ac:dyDescent="0.3">
      <c r="D442" s="11" t="s">
        <v>649</v>
      </c>
      <c r="E442" s="11" t="s">
        <v>1082</v>
      </c>
      <c r="F442" s="11" t="s">
        <v>932</v>
      </c>
      <c r="G442" s="12">
        <v>24</v>
      </c>
    </row>
    <row r="443" spans="4:7" x14ac:dyDescent="0.3">
      <c r="D443" s="11" t="s">
        <v>477</v>
      </c>
      <c r="E443" s="11" t="s">
        <v>1093</v>
      </c>
      <c r="F443" s="11" t="s">
        <v>876</v>
      </c>
      <c r="G443" s="12">
        <v>24</v>
      </c>
    </row>
    <row r="444" spans="4:7" x14ac:dyDescent="0.3">
      <c r="D444" s="11" t="s">
        <v>582</v>
      </c>
      <c r="E444" s="11" t="s">
        <v>1092</v>
      </c>
      <c r="F444" s="11" t="s">
        <v>939</v>
      </c>
      <c r="G444" s="12">
        <v>24</v>
      </c>
    </row>
    <row r="445" spans="4:7" x14ac:dyDescent="0.3">
      <c r="D445" s="11" t="s">
        <v>721</v>
      </c>
      <c r="E445" s="11" t="s">
        <v>1096</v>
      </c>
      <c r="F445" s="11" t="s">
        <v>816</v>
      </c>
      <c r="G445" s="12">
        <v>24</v>
      </c>
    </row>
    <row r="446" spans="4:7" x14ac:dyDescent="0.3">
      <c r="D446" s="11" t="s">
        <v>555</v>
      </c>
      <c r="E446" s="11" t="s">
        <v>1103</v>
      </c>
      <c r="F446" s="11" t="s">
        <v>805</v>
      </c>
      <c r="G446" s="12">
        <v>24</v>
      </c>
    </row>
    <row r="447" spans="4:7" x14ac:dyDescent="0.3">
      <c r="D447" s="11" t="s">
        <v>626</v>
      </c>
      <c r="E447" s="11" t="s">
        <v>1105</v>
      </c>
      <c r="F447" s="11" t="s">
        <v>914</v>
      </c>
      <c r="G447" s="12">
        <v>24</v>
      </c>
    </row>
    <row r="448" spans="4:7" x14ac:dyDescent="0.3">
      <c r="D448" s="11" t="s">
        <v>327</v>
      </c>
      <c r="E448" s="11" t="s">
        <v>1110</v>
      </c>
      <c r="F448" s="11" t="s">
        <v>881</v>
      </c>
      <c r="G448" s="12">
        <v>22</v>
      </c>
    </row>
    <row r="449" spans="4:7" x14ac:dyDescent="0.3">
      <c r="D449" s="11" t="s">
        <v>134</v>
      </c>
      <c r="E449" s="11" t="s">
        <v>1099</v>
      </c>
      <c r="F449" s="11" t="s">
        <v>834</v>
      </c>
      <c r="G449" s="12">
        <v>20</v>
      </c>
    </row>
    <row r="450" spans="4:7" x14ac:dyDescent="0.3">
      <c r="D450" s="11" t="s">
        <v>123</v>
      </c>
      <c r="E450" s="11" t="s">
        <v>1102</v>
      </c>
      <c r="F450" s="11" t="s">
        <v>860</v>
      </c>
      <c r="G450" s="12">
        <v>20</v>
      </c>
    </row>
    <row r="451" spans="4:7" x14ac:dyDescent="0.3">
      <c r="D451" s="11" t="s">
        <v>471</v>
      </c>
      <c r="E451" s="11" t="s">
        <v>1079</v>
      </c>
      <c r="F451" s="11" t="s">
        <v>816</v>
      </c>
      <c r="G451" s="12">
        <v>20</v>
      </c>
    </row>
    <row r="452" spans="4:7" x14ac:dyDescent="0.3">
      <c r="D452" s="11" t="s">
        <v>426</v>
      </c>
      <c r="E452" s="11" t="s">
        <v>1100</v>
      </c>
      <c r="F452" s="11" t="s">
        <v>915</v>
      </c>
      <c r="G452" s="12">
        <v>20</v>
      </c>
    </row>
    <row r="453" spans="4:7" x14ac:dyDescent="0.3">
      <c r="D453" s="11" t="s">
        <v>442</v>
      </c>
      <c r="E453" s="11" t="s">
        <v>1117</v>
      </c>
      <c r="F453" s="11" t="s">
        <v>825</v>
      </c>
      <c r="G453" s="12">
        <v>20</v>
      </c>
    </row>
    <row r="454" spans="4:7" x14ac:dyDescent="0.3">
      <c r="D454" s="11" t="s">
        <v>566</v>
      </c>
      <c r="E454" s="11" t="s">
        <v>1119</v>
      </c>
      <c r="F454" s="11" t="s">
        <v>830</v>
      </c>
      <c r="G454" s="12">
        <v>20</v>
      </c>
    </row>
    <row r="455" spans="4:7" x14ac:dyDescent="0.3">
      <c r="D455" s="11" t="s">
        <v>576</v>
      </c>
      <c r="E455" s="11" t="s">
        <v>980</v>
      </c>
      <c r="F455" s="11" t="s">
        <v>801</v>
      </c>
      <c r="G455" s="12">
        <v>20</v>
      </c>
    </row>
    <row r="456" spans="4:7" x14ac:dyDescent="0.3">
      <c r="D456" s="11" t="s">
        <v>519</v>
      </c>
      <c r="E456" s="11" t="s">
        <v>1108</v>
      </c>
      <c r="F456" s="11" t="s">
        <v>827</v>
      </c>
      <c r="G456" s="12">
        <v>20</v>
      </c>
    </row>
    <row r="457" spans="4:7" x14ac:dyDescent="0.3">
      <c r="D457" s="11" t="s">
        <v>465</v>
      </c>
      <c r="E457" s="11" t="s">
        <v>1122</v>
      </c>
      <c r="F457" s="11" t="s">
        <v>883</v>
      </c>
      <c r="G457" s="12">
        <v>20</v>
      </c>
    </row>
    <row r="458" spans="4:7" x14ac:dyDescent="0.3">
      <c r="D458" s="11" t="s">
        <v>1028</v>
      </c>
      <c r="E458" s="11" t="s">
        <v>1088</v>
      </c>
      <c r="F458" s="11" t="s">
        <v>926</v>
      </c>
      <c r="G458" s="12">
        <v>20</v>
      </c>
    </row>
    <row r="459" spans="4:7" x14ac:dyDescent="0.3">
      <c r="D459" s="11" t="s">
        <v>268</v>
      </c>
      <c r="E459" s="11" t="s">
        <v>1100</v>
      </c>
      <c r="F459" s="11" t="s">
        <v>895</v>
      </c>
      <c r="G459" s="12">
        <v>20</v>
      </c>
    </row>
    <row r="460" spans="4:7" x14ac:dyDescent="0.3">
      <c r="D460" s="11" t="s">
        <v>459</v>
      </c>
      <c r="E460" s="11" t="s">
        <v>1103</v>
      </c>
      <c r="F460" s="11" t="s">
        <v>857</v>
      </c>
      <c r="G460" s="12">
        <v>20</v>
      </c>
    </row>
    <row r="461" spans="4:7" x14ac:dyDescent="0.3">
      <c r="D461" s="11" t="s">
        <v>574</v>
      </c>
      <c r="E461" s="11" t="s">
        <v>1117</v>
      </c>
      <c r="F461" s="11" t="s">
        <v>899</v>
      </c>
      <c r="G461" s="12">
        <v>20</v>
      </c>
    </row>
    <row r="462" spans="4:7" x14ac:dyDescent="0.3">
      <c r="D462" s="11" t="s">
        <v>1004</v>
      </c>
      <c r="E462" s="11" t="s">
        <v>1109</v>
      </c>
      <c r="F462" s="11" t="s">
        <v>926</v>
      </c>
      <c r="G462" s="12">
        <v>20</v>
      </c>
    </row>
    <row r="463" spans="4:7" x14ac:dyDescent="0.3">
      <c r="D463" s="11" t="s">
        <v>983</v>
      </c>
      <c r="E463" s="11" t="s">
        <v>1087</v>
      </c>
      <c r="F463" s="11" t="s">
        <v>883</v>
      </c>
      <c r="G463" s="12">
        <v>20</v>
      </c>
    </row>
    <row r="464" spans="4:7" x14ac:dyDescent="0.3">
      <c r="D464" s="11" t="s">
        <v>590</v>
      </c>
      <c r="E464" s="11" t="s">
        <v>1100</v>
      </c>
      <c r="F464" s="11" t="s">
        <v>926</v>
      </c>
      <c r="G464" s="12">
        <v>20</v>
      </c>
    </row>
    <row r="465" spans="4:7" x14ac:dyDescent="0.3">
      <c r="D465" s="11" t="s">
        <v>166</v>
      </c>
      <c r="E465" s="11" t="s">
        <v>1124</v>
      </c>
      <c r="F465" s="11" t="s">
        <v>841</v>
      </c>
      <c r="G465" s="12">
        <v>20</v>
      </c>
    </row>
    <row r="466" spans="4:7" x14ac:dyDescent="0.3">
      <c r="D466" s="11" t="s">
        <v>766</v>
      </c>
      <c r="E466" s="11" t="s">
        <v>1086</v>
      </c>
      <c r="F466" s="11" t="s">
        <v>796</v>
      </c>
      <c r="G466" s="12">
        <v>20</v>
      </c>
    </row>
    <row r="467" spans="4:7" x14ac:dyDescent="0.3">
      <c r="D467" s="11" t="s">
        <v>271</v>
      </c>
      <c r="E467" s="11" t="s">
        <v>1101</v>
      </c>
      <c r="F467" s="11" t="s">
        <v>853</v>
      </c>
      <c r="G467" s="12">
        <v>20</v>
      </c>
    </row>
    <row r="468" spans="4:7" x14ac:dyDescent="0.3">
      <c r="D468" s="11" t="s">
        <v>897</v>
      </c>
      <c r="E468" s="11" t="s">
        <v>1080</v>
      </c>
      <c r="F468" s="11" t="s">
        <v>870</v>
      </c>
      <c r="G468" s="12">
        <v>20</v>
      </c>
    </row>
    <row r="469" spans="4:7" x14ac:dyDescent="0.3">
      <c r="D469" s="11" t="s">
        <v>957</v>
      </c>
      <c r="E469" s="11" t="s">
        <v>1084</v>
      </c>
      <c r="F469" s="11" t="s">
        <v>914</v>
      </c>
      <c r="G469" s="12">
        <v>20</v>
      </c>
    </row>
    <row r="470" spans="4:7" x14ac:dyDescent="0.3">
      <c r="D470" s="11" t="s">
        <v>762</v>
      </c>
      <c r="E470" s="11" t="s">
        <v>1109</v>
      </c>
      <c r="F470" s="11" t="s">
        <v>790</v>
      </c>
      <c r="G470" s="12">
        <v>20</v>
      </c>
    </row>
    <row r="471" spans="4:7" x14ac:dyDescent="0.3">
      <c r="D471" s="11" t="s">
        <v>245</v>
      </c>
      <c r="E471" s="11" t="s">
        <v>1093</v>
      </c>
      <c r="F471" s="11" t="s">
        <v>796</v>
      </c>
      <c r="G471" s="12">
        <v>20</v>
      </c>
    </row>
    <row r="472" spans="4:7" x14ac:dyDescent="0.3">
      <c r="D472" s="11" t="s">
        <v>705</v>
      </c>
      <c r="E472" s="11" t="s">
        <v>1114</v>
      </c>
      <c r="F472" s="11" t="s">
        <v>901</v>
      </c>
      <c r="G472" s="12">
        <v>20</v>
      </c>
    </row>
    <row r="473" spans="4:7" x14ac:dyDescent="0.3">
      <c r="D473" s="11" t="s">
        <v>891</v>
      </c>
      <c r="E473" s="11" t="s">
        <v>1090</v>
      </c>
      <c r="F473" s="11" t="s">
        <v>796</v>
      </c>
      <c r="G473" s="12">
        <v>20</v>
      </c>
    </row>
    <row r="474" spans="4:7" x14ac:dyDescent="0.3">
      <c r="D474" s="11" t="s">
        <v>719</v>
      </c>
      <c r="E474" s="11" t="s">
        <v>1088</v>
      </c>
      <c r="F474" s="11" t="s">
        <v>830</v>
      </c>
      <c r="G474" s="12">
        <v>20</v>
      </c>
    </row>
    <row r="475" spans="4:7" x14ac:dyDescent="0.3">
      <c r="D475" s="11" t="s">
        <v>294</v>
      </c>
      <c r="E475" s="11" t="s">
        <v>1087</v>
      </c>
      <c r="F475" s="11" t="s">
        <v>901</v>
      </c>
      <c r="G475" s="12">
        <v>20</v>
      </c>
    </row>
    <row r="476" spans="4:7" x14ac:dyDescent="0.3">
      <c r="D476" s="11" t="s">
        <v>311</v>
      </c>
      <c r="E476" s="11" t="s">
        <v>1097</v>
      </c>
      <c r="F476" s="11" t="s">
        <v>796</v>
      </c>
      <c r="G476" s="12">
        <v>20</v>
      </c>
    </row>
    <row r="477" spans="4:7" x14ac:dyDescent="0.3">
      <c r="D477" s="11" t="s">
        <v>455</v>
      </c>
      <c r="E477" s="11" t="s">
        <v>1078</v>
      </c>
      <c r="F477" s="11" t="s">
        <v>841</v>
      </c>
      <c r="G477" s="12">
        <v>20</v>
      </c>
    </row>
    <row r="478" spans="4:7" x14ac:dyDescent="0.3">
      <c r="D478" s="11" t="s">
        <v>90</v>
      </c>
      <c r="E478" s="11" t="s">
        <v>1110</v>
      </c>
      <c r="F478" s="11" t="s">
        <v>878</v>
      </c>
      <c r="G478" s="12">
        <v>18</v>
      </c>
    </row>
    <row r="479" spans="4:7" x14ac:dyDescent="0.3">
      <c r="D479" s="11" t="s">
        <v>190</v>
      </c>
      <c r="E479" s="11" t="s">
        <v>1110</v>
      </c>
      <c r="F479" s="11" t="s">
        <v>852</v>
      </c>
      <c r="G479" s="12">
        <v>18</v>
      </c>
    </row>
    <row r="480" spans="4:7" x14ac:dyDescent="0.3">
      <c r="D480" s="11" t="s">
        <v>400</v>
      </c>
      <c r="E480" s="11" t="s">
        <v>1090</v>
      </c>
      <c r="F480" s="11" t="s">
        <v>852</v>
      </c>
      <c r="G480" s="12">
        <v>18</v>
      </c>
    </row>
    <row r="481" spans="4:7" x14ac:dyDescent="0.3">
      <c r="D481" s="11" t="s">
        <v>143</v>
      </c>
      <c r="E481" s="11" t="s">
        <v>1105</v>
      </c>
      <c r="F481" s="11" t="s">
        <v>873</v>
      </c>
      <c r="G481" s="12">
        <v>18</v>
      </c>
    </row>
    <row r="482" spans="4:7" x14ac:dyDescent="0.3">
      <c r="D482" s="11" t="s">
        <v>568</v>
      </c>
      <c r="E482" s="11" t="s">
        <v>1083</v>
      </c>
      <c r="F482" s="11" t="s">
        <v>846</v>
      </c>
      <c r="G482" s="12">
        <v>16</v>
      </c>
    </row>
    <row r="483" spans="4:7" x14ac:dyDescent="0.3">
      <c r="D483" s="11" t="s">
        <v>1007</v>
      </c>
      <c r="E483" s="11" t="s">
        <v>1089</v>
      </c>
      <c r="F483" s="11" t="s">
        <v>926</v>
      </c>
      <c r="G483" s="12">
        <v>16</v>
      </c>
    </row>
    <row r="484" spans="4:7" x14ac:dyDescent="0.3">
      <c r="D484" s="11" t="s">
        <v>321</v>
      </c>
      <c r="E484" s="11" t="s">
        <v>1110</v>
      </c>
      <c r="F484" s="11" t="s">
        <v>801</v>
      </c>
      <c r="G484" s="12">
        <v>16</v>
      </c>
    </row>
    <row r="485" spans="4:7" x14ac:dyDescent="0.3">
      <c r="D485" s="11" t="s">
        <v>1023</v>
      </c>
      <c r="E485" s="11" t="s">
        <v>1098</v>
      </c>
      <c r="F485" s="11" t="s">
        <v>939</v>
      </c>
      <c r="G485" s="12">
        <v>16</v>
      </c>
    </row>
    <row r="486" spans="4:7" x14ac:dyDescent="0.3">
      <c r="D486" s="11" t="s">
        <v>627</v>
      </c>
      <c r="E486" s="11" t="s">
        <v>1086</v>
      </c>
      <c r="F486" s="11" t="s">
        <v>873</v>
      </c>
      <c r="G486" s="12">
        <v>16</v>
      </c>
    </row>
    <row r="487" spans="4:7" x14ac:dyDescent="0.3">
      <c r="D487" s="11" t="s">
        <v>575</v>
      </c>
      <c r="E487" s="11" t="s">
        <v>1100</v>
      </c>
      <c r="F487" s="11" t="s">
        <v>829</v>
      </c>
      <c r="G487" s="12">
        <v>16</v>
      </c>
    </row>
    <row r="488" spans="4:7" x14ac:dyDescent="0.3">
      <c r="D488" s="11" t="s">
        <v>704</v>
      </c>
      <c r="E488" s="11" t="s">
        <v>1079</v>
      </c>
      <c r="F488" s="11" t="s">
        <v>878</v>
      </c>
      <c r="G488" s="12">
        <v>16</v>
      </c>
    </row>
    <row r="489" spans="4:7" x14ac:dyDescent="0.3">
      <c r="D489" s="11" t="s">
        <v>49</v>
      </c>
      <c r="E489" s="11" t="s">
        <v>980</v>
      </c>
      <c r="F489" s="11" t="s">
        <v>906</v>
      </c>
      <c r="G489" s="12">
        <v>16</v>
      </c>
    </row>
    <row r="490" spans="4:7" x14ac:dyDescent="0.3">
      <c r="D490" s="11" t="s">
        <v>485</v>
      </c>
      <c r="E490" s="11" t="s">
        <v>1126</v>
      </c>
      <c r="F490" s="11" t="s">
        <v>893</v>
      </c>
      <c r="G490" s="12">
        <v>16</v>
      </c>
    </row>
    <row r="491" spans="4:7" x14ac:dyDescent="0.3">
      <c r="D491" s="11" t="s">
        <v>1027</v>
      </c>
      <c r="E491" s="11" t="s">
        <v>1118</v>
      </c>
      <c r="F491" s="11" t="s">
        <v>885</v>
      </c>
      <c r="G491" s="12">
        <v>16</v>
      </c>
    </row>
    <row r="492" spans="4:7" x14ac:dyDescent="0.3">
      <c r="D492" s="11" t="s">
        <v>1054</v>
      </c>
      <c r="E492" s="11" t="s">
        <v>1103</v>
      </c>
      <c r="F492" s="11" t="s">
        <v>918</v>
      </c>
      <c r="G492" s="12">
        <v>16</v>
      </c>
    </row>
    <row r="493" spans="4:7" x14ac:dyDescent="0.3">
      <c r="D493" s="11" t="s">
        <v>720</v>
      </c>
      <c r="E493" s="11" t="s">
        <v>1098</v>
      </c>
      <c r="F493" s="11" t="s">
        <v>828</v>
      </c>
      <c r="G493" s="12">
        <v>16</v>
      </c>
    </row>
    <row r="494" spans="4:7" x14ac:dyDescent="0.3">
      <c r="D494" s="11" t="s">
        <v>104</v>
      </c>
      <c r="E494" s="11" t="s">
        <v>1107</v>
      </c>
      <c r="F494" s="11" t="s">
        <v>790</v>
      </c>
      <c r="G494" s="12">
        <v>16</v>
      </c>
    </row>
    <row r="495" spans="4:7" x14ac:dyDescent="0.3">
      <c r="D495" s="11" t="s">
        <v>336</v>
      </c>
      <c r="E495" s="11" t="s">
        <v>1106</v>
      </c>
      <c r="F495" s="11" t="s">
        <v>885</v>
      </c>
      <c r="G495" s="12">
        <v>16</v>
      </c>
    </row>
    <row r="496" spans="4:7" x14ac:dyDescent="0.3">
      <c r="D496" s="11" t="s">
        <v>700</v>
      </c>
      <c r="E496" s="11" t="s">
        <v>1087</v>
      </c>
      <c r="F496" s="11" t="s">
        <v>856</v>
      </c>
      <c r="G496" s="12">
        <v>16</v>
      </c>
    </row>
    <row r="497" spans="4:7" x14ac:dyDescent="0.3">
      <c r="D497" s="11" t="s">
        <v>480</v>
      </c>
      <c r="E497" s="11" t="s">
        <v>1113</v>
      </c>
      <c r="F497" s="11" t="s">
        <v>829</v>
      </c>
      <c r="G497" s="12">
        <v>16</v>
      </c>
    </row>
    <row r="498" spans="4:7" x14ac:dyDescent="0.3">
      <c r="D498" s="11" t="s">
        <v>84</v>
      </c>
      <c r="E498" s="11" t="s">
        <v>1113</v>
      </c>
      <c r="F498" s="11" t="s">
        <v>900</v>
      </c>
      <c r="G498" s="12">
        <v>16</v>
      </c>
    </row>
    <row r="499" spans="4:7" x14ac:dyDescent="0.3">
      <c r="D499" s="11" t="s">
        <v>953</v>
      </c>
      <c r="E499" s="11" t="s">
        <v>1123</v>
      </c>
      <c r="F499" s="11" t="s">
        <v>915</v>
      </c>
      <c r="G499" s="12">
        <v>16</v>
      </c>
    </row>
    <row r="500" spans="4:7" x14ac:dyDescent="0.3">
      <c r="D500" s="11" t="s">
        <v>270</v>
      </c>
      <c r="E500" s="11" t="s">
        <v>1099</v>
      </c>
      <c r="F500" s="11" t="s">
        <v>818</v>
      </c>
      <c r="G500" s="12">
        <v>16</v>
      </c>
    </row>
    <row r="501" spans="4:7" x14ac:dyDescent="0.3">
      <c r="D501" s="11" t="s">
        <v>923</v>
      </c>
      <c r="E501" s="11" t="s">
        <v>1117</v>
      </c>
      <c r="F501" s="11" t="s">
        <v>818</v>
      </c>
      <c r="G501" s="12">
        <v>16</v>
      </c>
    </row>
    <row r="502" spans="4:7" x14ac:dyDescent="0.3">
      <c r="D502" s="11" t="s">
        <v>761</v>
      </c>
      <c r="E502" s="11" t="s">
        <v>1110</v>
      </c>
      <c r="F502" s="11" t="s">
        <v>825</v>
      </c>
      <c r="G502" s="12">
        <v>16</v>
      </c>
    </row>
    <row r="503" spans="4:7" x14ac:dyDescent="0.3">
      <c r="D503" s="11" t="s">
        <v>565</v>
      </c>
      <c r="E503" s="11" t="s">
        <v>1103</v>
      </c>
      <c r="F503" s="11" t="s">
        <v>842</v>
      </c>
      <c r="G503" s="12">
        <v>16</v>
      </c>
    </row>
    <row r="504" spans="4:7" x14ac:dyDescent="0.3">
      <c r="D504" s="11" t="s">
        <v>967</v>
      </c>
      <c r="E504" s="11" t="s">
        <v>1087</v>
      </c>
      <c r="F504" s="11" t="s">
        <v>947</v>
      </c>
      <c r="G504" s="12">
        <v>16</v>
      </c>
    </row>
    <row r="505" spans="4:7" x14ac:dyDescent="0.3">
      <c r="D505" s="11" t="s">
        <v>512</v>
      </c>
      <c r="E505" s="11" t="s">
        <v>1106</v>
      </c>
      <c r="F505" s="11" t="s">
        <v>881</v>
      </c>
      <c r="G505" s="12">
        <v>16</v>
      </c>
    </row>
    <row r="506" spans="4:7" x14ac:dyDescent="0.3">
      <c r="D506" s="11" t="s">
        <v>357</v>
      </c>
      <c r="E506" s="11" t="s">
        <v>1117</v>
      </c>
      <c r="F506" s="11" t="s">
        <v>801</v>
      </c>
      <c r="G506" s="12">
        <v>16</v>
      </c>
    </row>
    <row r="507" spans="4:7" x14ac:dyDescent="0.3">
      <c r="D507" s="11" t="s">
        <v>889</v>
      </c>
      <c r="E507" s="11" t="s">
        <v>1079</v>
      </c>
      <c r="F507" s="11" t="s">
        <v>857</v>
      </c>
      <c r="G507" s="12">
        <v>16</v>
      </c>
    </row>
    <row r="508" spans="4:7" x14ac:dyDescent="0.3">
      <c r="D508" s="11" t="s">
        <v>616</v>
      </c>
      <c r="E508" s="11" t="s">
        <v>1082</v>
      </c>
      <c r="F508" s="11" t="s">
        <v>842</v>
      </c>
      <c r="G508" s="12">
        <v>16</v>
      </c>
    </row>
    <row r="509" spans="4:7" x14ac:dyDescent="0.3">
      <c r="D509" s="11" t="s">
        <v>165</v>
      </c>
      <c r="E509" s="11" t="s">
        <v>1115</v>
      </c>
      <c r="F509" s="11" t="s">
        <v>914</v>
      </c>
      <c r="G509" s="12">
        <v>16</v>
      </c>
    </row>
    <row r="510" spans="4:7" x14ac:dyDescent="0.3">
      <c r="D510" s="11" t="s">
        <v>579</v>
      </c>
      <c r="E510" s="11" t="s">
        <v>1088</v>
      </c>
      <c r="F510" s="11" t="s">
        <v>842</v>
      </c>
      <c r="G510" s="12">
        <v>16</v>
      </c>
    </row>
    <row r="511" spans="4:7" x14ac:dyDescent="0.3">
      <c r="D511" s="11" t="s">
        <v>57</v>
      </c>
      <c r="E511" s="11" t="s">
        <v>1080</v>
      </c>
      <c r="F511" s="11" t="s">
        <v>796</v>
      </c>
      <c r="G511" s="12">
        <v>16</v>
      </c>
    </row>
    <row r="512" spans="4:7" x14ac:dyDescent="0.3">
      <c r="D512" s="11" t="s">
        <v>30</v>
      </c>
      <c r="E512" s="11" t="s">
        <v>1124</v>
      </c>
      <c r="F512" s="11" t="s">
        <v>870</v>
      </c>
      <c r="G512" s="12">
        <v>16</v>
      </c>
    </row>
    <row r="513" spans="4:7" x14ac:dyDescent="0.3">
      <c r="D513" s="11" t="s">
        <v>611</v>
      </c>
      <c r="E513" s="11" t="s">
        <v>1078</v>
      </c>
      <c r="F513" s="11" t="s">
        <v>881</v>
      </c>
      <c r="G513" s="12">
        <v>14</v>
      </c>
    </row>
    <row r="514" spans="4:7" x14ac:dyDescent="0.3">
      <c r="D514" s="11" t="s">
        <v>496</v>
      </c>
      <c r="E514" s="11" t="s">
        <v>1104</v>
      </c>
      <c r="F514" s="11" t="s">
        <v>796</v>
      </c>
      <c r="G514" s="12">
        <v>14</v>
      </c>
    </row>
    <row r="515" spans="4:7" x14ac:dyDescent="0.3">
      <c r="D515" s="11" t="s">
        <v>728</v>
      </c>
      <c r="E515" s="11" t="s">
        <v>1095</v>
      </c>
      <c r="F515" s="11" t="s">
        <v>918</v>
      </c>
      <c r="G515" s="12">
        <v>14</v>
      </c>
    </row>
    <row r="516" spans="4:7" x14ac:dyDescent="0.3">
      <c r="D516" s="11" t="s">
        <v>348</v>
      </c>
      <c r="E516" s="11" t="s">
        <v>1098</v>
      </c>
      <c r="F516" s="11" t="s">
        <v>870</v>
      </c>
      <c r="G516" s="12">
        <v>14</v>
      </c>
    </row>
    <row r="517" spans="4:7" x14ac:dyDescent="0.3">
      <c r="D517" s="11" t="s">
        <v>945</v>
      </c>
      <c r="E517" s="11" t="s">
        <v>1117</v>
      </c>
      <c r="F517" s="11" t="s">
        <v>918</v>
      </c>
      <c r="G517" s="12">
        <v>14</v>
      </c>
    </row>
    <row r="518" spans="4:7" x14ac:dyDescent="0.3">
      <c r="D518" s="11" t="s">
        <v>523</v>
      </c>
      <c r="E518" s="11" t="s">
        <v>1084</v>
      </c>
      <c r="F518" s="11" t="s">
        <v>816</v>
      </c>
      <c r="G518" s="12">
        <v>12</v>
      </c>
    </row>
    <row r="519" spans="4:7" x14ac:dyDescent="0.3">
      <c r="D519" s="11" t="s">
        <v>545</v>
      </c>
      <c r="E519" s="11" t="s">
        <v>1114</v>
      </c>
      <c r="F519" s="11" t="s">
        <v>830</v>
      </c>
      <c r="G519" s="12">
        <v>12</v>
      </c>
    </row>
    <row r="520" spans="4:7" x14ac:dyDescent="0.3">
      <c r="D520" s="11" t="s">
        <v>1001</v>
      </c>
      <c r="E520" s="11" t="s">
        <v>1082</v>
      </c>
      <c r="F520" s="11" t="s">
        <v>801</v>
      </c>
      <c r="G520" s="12">
        <v>12</v>
      </c>
    </row>
    <row r="521" spans="4:7" x14ac:dyDescent="0.3">
      <c r="D521" s="11" t="s">
        <v>328</v>
      </c>
      <c r="E521" s="11" t="s">
        <v>1090</v>
      </c>
      <c r="F521" s="11" t="s">
        <v>895</v>
      </c>
      <c r="G521" s="12">
        <v>12</v>
      </c>
    </row>
    <row r="522" spans="4:7" x14ac:dyDescent="0.3">
      <c r="D522" s="11" t="s">
        <v>353</v>
      </c>
      <c r="E522" s="11" t="s">
        <v>1092</v>
      </c>
      <c r="F522" s="11" t="s">
        <v>864</v>
      </c>
      <c r="G522" s="12">
        <v>12</v>
      </c>
    </row>
    <row r="523" spans="4:7" x14ac:dyDescent="0.3">
      <c r="D523" s="11" t="s">
        <v>631</v>
      </c>
      <c r="E523" s="11" t="s">
        <v>1102</v>
      </c>
      <c r="F523" s="11" t="s">
        <v>860</v>
      </c>
      <c r="G523" s="12">
        <v>12</v>
      </c>
    </row>
    <row r="524" spans="4:7" x14ac:dyDescent="0.3">
      <c r="D524" s="11" t="s">
        <v>147</v>
      </c>
      <c r="E524" s="11" t="s">
        <v>1125</v>
      </c>
      <c r="F524" s="11" t="s">
        <v>919</v>
      </c>
      <c r="G524" s="12">
        <v>12</v>
      </c>
    </row>
    <row r="525" spans="4:7" x14ac:dyDescent="0.3">
      <c r="D525" s="11" t="s">
        <v>176</v>
      </c>
      <c r="E525" s="11" t="s">
        <v>1081</v>
      </c>
      <c r="F525" s="11" t="s">
        <v>852</v>
      </c>
      <c r="G525" s="12">
        <v>12</v>
      </c>
    </row>
    <row r="526" spans="4:7" x14ac:dyDescent="0.3">
      <c r="D526" s="11" t="s">
        <v>690</v>
      </c>
      <c r="E526" s="11" t="s">
        <v>1094</v>
      </c>
      <c r="F526" s="11" t="s">
        <v>830</v>
      </c>
      <c r="G526" s="12">
        <v>12</v>
      </c>
    </row>
    <row r="527" spans="4:7" x14ac:dyDescent="0.3">
      <c r="D527" s="11" t="s">
        <v>778</v>
      </c>
      <c r="E527" s="11" t="s">
        <v>1112</v>
      </c>
      <c r="F527" s="11" t="s">
        <v>830</v>
      </c>
      <c r="G527" s="12">
        <v>12</v>
      </c>
    </row>
    <row r="528" spans="4:7" x14ac:dyDescent="0.3">
      <c r="D528" s="11" t="s">
        <v>941</v>
      </c>
      <c r="E528" s="11" t="s">
        <v>1121</v>
      </c>
      <c r="F528" s="11" t="s">
        <v>881</v>
      </c>
      <c r="G528" s="12">
        <v>12</v>
      </c>
    </row>
    <row r="529" spans="4:7" x14ac:dyDescent="0.3">
      <c r="D529" s="11" t="s">
        <v>150</v>
      </c>
      <c r="E529" s="11" t="s">
        <v>1082</v>
      </c>
      <c r="F529" s="11" t="s">
        <v>846</v>
      </c>
      <c r="G529" s="12">
        <v>12</v>
      </c>
    </row>
    <row r="530" spans="4:7" x14ac:dyDescent="0.3">
      <c r="D530" s="11" t="s">
        <v>944</v>
      </c>
      <c r="E530" s="11" t="s">
        <v>1116</v>
      </c>
      <c r="F530" s="11" t="s">
        <v>830</v>
      </c>
      <c r="G530" s="12">
        <v>12</v>
      </c>
    </row>
    <row r="531" spans="4:7" x14ac:dyDescent="0.3">
      <c r="D531" s="11" t="s">
        <v>312</v>
      </c>
      <c r="E531" s="11" t="s">
        <v>1091</v>
      </c>
      <c r="F531" s="11" t="s">
        <v>837</v>
      </c>
      <c r="G531" s="12">
        <v>12</v>
      </c>
    </row>
    <row r="532" spans="4:7" x14ac:dyDescent="0.3">
      <c r="D532" s="11" t="s">
        <v>97</v>
      </c>
      <c r="E532" s="11" t="s">
        <v>1093</v>
      </c>
      <c r="F532" s="11" t="s">
        <v>834</v>
      </c>
      <c r="G532" s="12">
        <v>12</v>
      </c>
    </row>
    <row r="533" spans="4:7" x14ac:dyDescent="0.3">
      <c r="D533" s="11" t="s">
        <v>447</v>
      </c>
      <c r="E533" s="11" t="s">
        <v>1103</v>
      </c>
      <c r="F533" s="11" t="s">
        <v>895</v>
      </c>
      <c r="G533" s="12">
        <v>12</v>
      </c>
    </row>
    <row r="534" spans="4:7" x14ac:dyDescent="0.3">
      <c r="D534" s="11" t="s">
        <v>406</v>
      </c>
      <c r="E534" s="11" t="s">
        <v>1092</v>
      </c>
      <c r="F534" s="11" t="s">
        <v>853</v>
      </c>
      <c r="G534" s="12">
        <v>12</v>
      </c>
    </row>
    <row r="535" spans="4:7" x14ac:dyDescent="0.3">
      <c r="D535" s="11" t="s">
        <v>217</v>
      </c>
      <c r="E535" s="11" t="s">
        <v>1108</v>
      </c>
      <c r="F535" s="11" t="s">
        <v>874</v>
      </c>
      <c r="G535" s="12">
        <v>12</v>
      </c>
    </row>
    <row r="536" spans="4:7" x14ac:dyDescent="0.3">
      <c r="D536" s="11" t="s">
        <v>749</v>
      </c>
      <c r="E536" s="11" t="s">
        <v>1118</v>
      </c>
      <c r="F536" s="11" t="s">
        <v>842</v>
      </c>
      <c r="G536" s="12">
        <v>12</v>
      </c>
    </row>
    <row r="537" spans="4:7" x14ac:dyDescent="0.3">
      <c r="D537" s="11" t="s">
        <v>454</v>
      </c>
      <c r="E537" s="11" t="s">
        <v>1127</v>
      </c>
      <c r="F537" s="11" t="s">
        <v>827</v>
      </c>
      <c r="G537" s="12">
        <v>12</v>
      </c>
    </row>
    <row r="538" spans="4:7" x14ac:dyDescent="0.3">
      <c r="D538" s="11" t="s">
        <v>322</v>
      </c>
      <c r="E538" s="11" t="s">
        <v>1102</v>
      </c>
      <c r="F538" s="11" t="s">
        <v>932</v>
      </c>
      <c r="G538" s="12">
        <v>12</v>
      </c>
    </row>
    <row r="539" spans="4:7" x14ac:dyDescent="0.3">
      <c r="D539" s="11" t="s">
        <v>780</v>
      </c>
      <c r="E539" s="11" t="s">
        <v>1114</v>
      </c>
      <c r="F539" s="11" t="s">
        <v>888</v>
      </c>
      <c r="G539" s="12">
        <v>12</v>
      </c>
    </row>
    <row r="540" spans="4:7" x14ac:dyDescent="0.3">
      <c r="D540" s="11" t="s">
        <v>710</v>
      </c>
      <c r="E540" s="11" t="s">
        <v>1105</v>
      </c>
      <c r="F540" s="11" t="s">
        <v>849</v>
      </c>
      <c r="G540" s="12">
        <v>12</v>
      </c>
    </row>
    <row r="541" spans="4:7" x14ac:dyDescent="0.3">
      <c r="D541" s="11" t="s">
        <v>105</v>
      </c>
      <c r="E541" s="11" t="s">
        <v>1116</v>
      </c>
      <c r="F541" s="11" t="s">
        <v>856</v>
      </c>
      <c r="G541" s="12">
        <v>12</v>
      </c>
    </row>
    <row r="542" spans="4:7" x14ac:dyDescent="0.3">
      <c r="D542" s="11" t="s">
        <v>429</v>
      </c>
      <c r="E542" s="11" t="s">
        <v>1079</v>
      </c>
      <c r="F542" s="11" t="s">
        <v>864</v>
      </c>
      <c r="G542" s="12">
        <v>12</v>
      </c>
    </row>
    <row r="543" spans="4:7" x14ac:dyDescent="0.3">
      <c r="D543" s="11" t="s">
        <v>13</v>
      </c>
      <c r="E543" s="11" t="s">
        <v>1124</v>
      </c>
      <c r="F543" s="11" t="s">
        <v>834</v>
      </c>
      <c r="G543" s="12">
        <v>12</v>
      </c>
    </row>
    <row r="544" spans="4:7" x14ac:dyDescent="0.3">
      <c r="D544" s="11" t="s">
        <v>613</v>
      </c>
      <c r="E544" s="11" t="s">
        <v>1082</v>
      </c>
      <c r="F544" s="11" t="s">
        <v>810</v>
      </c>
      <c r="G544" s="12">
        <v>12</v>
      </c>
    </row>
    <row r="545" spans="4:7" x14ac:dyDescent="0.3">
      <c r="D545" s="11" t="s">
        <v>184</v>
      </c>
      <c r="E545" s="11" t="s">
        <v>1101</v>
      </c>
      <c r="F545" s="11" t="s">
        <v>830</v>
      </c>
      <c r="G545" s="12">
        <v>10</v>
      </c>
    </row>
    <row r="546" spans="4:7" x14ac:dyDescent="0.3">
      <c r="D546" s="11" t="s">
        <v>684</v>
      </c>
      <c r="E546" s="11" t="s">
        <v>1080</v>
      </c>
      <c r="F546" s="11" t="s">
        <v>790</v>
      </c>
      <c r="G546" s="12">
        <v>10</v>
      </c>
    </row>
    <row r="547" spans="4:7" x14ac:dyDescent="0.3">
      <c r="D547" s="11" t="s">
        <v>230</v>
      </c>
      <c r="E547" s="11" t="s">
        <v>1110</v>
      </c>
      <c r="F547" s="11" t="s">
        <v>801</v>
      </c>
      <c r="G547" s="12">
        <v>10</v>
      </c>
    </row>
    <row r="548" spans="4:7" x14ac:dyDescent="0.3">
      <c r="D548" s="11" t="s">
        <v>581</v>
      </c>
      <c r="E548" s="11" t="s">
        <v>1118</v>
      </c>
      <c r="F548" s="11" t="s">
        <v>918</v>
      </c>
      <c r="G548" s="12">
        <v>10</v>
      </c>
    </row>
    <row r="549" spans="4:7" x14ac:dyDescent="0.3">
      <c r="D549" s="11" t="s">
        <v>654</v>
      </c>
      <c r="E549" s="11" t="s">
        <v>1093</v>
      </c>
      <c r="F549" s="11" t="s">
        <v>885</v>
      </c>
      <c r="G549" s="12">
        <v>8</v>
      </c>
    </row>
    <row r="550" spans="4:7" x14ac:dyDescent="0.3">
      <c r="D550" s="11" t="s">
        <v>553</v>
      </c>
      <c r="E550" s="11" t="s">
        <v>1113</v>
      </c>
      <c r="F550" s="11" t="s">
        <v>939</v>
      </c>
      <c r="G550" s="12">
        <v>8</v>
      </c>
    </row>
    <row r="551" spans="4:7" x14ac:dyDescent="0.3">
      <c r="D551" s="11" t="s">
        <v>1000</v>
      </c>
      <c r="E551" s="11" t="s">
        <v>1086</v>
      </c>
      <c r="F551" s="11" t="s">
        <v>864</v>
      </c>
      <c r="G551" s="12">
        <v>8</v>
      </c>
    </row>
    <row r="552" spans="4:7" x14ac:dyDescent="0.3">
      <c r="D552" s="11" t="s">
        <v>660</v>
      </c>
      <c r="E552" s="11" t="s">
        <v>1090</v>
      </c>
      <c r="F552" s="11" t="s">
        <v>816</v>
      </c>
      <c r="G552" s="12">
        <v>8</v>
      </c>
    </row>
    <row r="553" spans="4:7" x14ac:dyDescent="0.3">
      <c r="D553" s="11" t="s">
        <v>89</v>
      </c>
      <c r="E553" s="11" t="s">
        <v>1121</v>
      </c>
      <c r="F553" s="11" t="s">
        <v>899</v>
      </c>
      <c r="G553" s="12">
        <v>8</v>
      </c>
    </row>
    <row r="554" spans="4:7" x14ac:dyDescent="0.3">
      <c r="D554" s="11" t="s">
        <v>125</v>
      </c>
      <c r="E554" s="11" t="s">
        <v>1083</v>
      </c>
      <c r="F554" s="11" t="s">
        <v>805</v>
      </c>
      <c r="G554" s="12">
        <v>8</v>
      </c>
    </row>
    <row r="555" spans="4:7" x14ac:dyDescent="0.3">
      <c r="D555" s="11" t="s">
        <v>1033</v>
      </c>
      <c r="E555" s="11" t="s">
        <v>1087</v>
      </c>
      <c r="F555" s="11" t="s">
        <v>818</v>
      </c>
      <c r="G555" s="12">
        <v>8</v>
      </c>
    </row>
    <row r="556" spans="4:7" x14ac:dyDescent="0.3">
      <c r="D556" s="11" t="s">
        <v>533</v>
      </c>
      <c r="E556" s="11" t="s">
        <v>1110</v>
      </c>
      <c r="F556" s="11" t="s">
        <v>880</v>
      </c>
      <c r="G556" s="12">
        <v>8</v>
      </c>
    </row>
    <row r="557" spans="4:7" x14ac:dyDescent="0.3">
      <c r="D557" s="11" t="s">
        <v>1045</v>
      </c>
      <c r="E557" s="11" t="s">
        <v>1080</v>
      </c>
      <c r="F557" s="11" t="s">
        <v>915</v>
      </c>
      <c r="G557" s="12">
        <v>8</v>
      </c>
    </row>
    <row r="558" spans="4:7" x14ac:dyDescent="0.3">
      <c r="D558" s="11" t="s">
        <v>206</v>
      </c>
      <c r="E558" s="11" t="s">
        <v>1114</v>
      </c>
      <c r="F558" s="11" t="s">
        <v>834</v>
      </c>
      <c r="G558" s="12">
        <v>8</v>
      </c>
    </row>
    <row r="559" spans="4:7" x14ac:dyDescent="0.3">
      <c r="D559" s="11" t="s">
        <v>120</v>
      </c>
      <c r="E559" s="11" t="s">
        <v>1113</v>
      </c>
      <c r="F559" s="11" t="s">
        <v>825</v>
      </c>
      <c r="G559" s="12">
        <v>8</v>
      </c>
    </row>
    <row r="560" spans="4:7" x14ac:dyDescent="0.3">
      <c r="D560" s="11" t="s">
        <v>145</v>
      </c>
      <c r="E560" s="11" t="s">
        <v>1099</v>
      </c>
      <c r="F560" s="11" t="s">
        <v>841</v>
      </c>
      <c r="G560" s="12">
        <v>8</v>
      </c>
    </row>
    <row r="561" spans="4:7" x14ac:dyDescent="0.3">
      <c r="D561" s="11" t="s">
        <v>618</v>
      </c>
      <c r="E561" s="11" t="s">
        <v>1081</v>
      </c>
      <c r="F561" s="11" t="s">
        <v>883</v>
      </c>
      <c r="G561" s="12">
        <v>8</v>
      </c>
    </row>
    <row r="562" spans="4:7" x14ac:dyDescent="0.3">
      <c r="D562" s="11" t="s">
        <v>187</v>
      </c>
      <c r="E562" s="11" t="s">
        <v>1088</v>
      </c>
      <c r="F562" s="11" t="s">
        <v>900</v>
      </c>
      <c r="G562" s="12">
        <v>8</v>
      </c>
    </row>
    <row r="563" spans="4:7" x14ac:dyDescent="0.3">
      <c r="D563" s="11" t="s">
        <v>436</v>
      </c>
      <c r="E563" s="11" t="s">
        <v>1126</v>
      </c>
      <c r="F563" s="11" t="s">
        <v>827</v>
      </c>
      <c r="G563" s="12">
        <v>8</v>
      </c>
    </row>
    <row r="564" spans="4:7" x14ac:dyDescent="0.3">
      <c r="D564" s="11" t="s">
        <v>692</v>
      </c>
      <c r="E564" s="11" t="s">
        <v>1090</v>
      </c>
      <c r="F564" s="11" t="s">
        <v>919</v>
      </c>
      <c r="G564" s="12">
        <v>8</v>
      </c>
    </row>
    <row r="565" spans="4:7" x14ac:dyDescent="0.3">
      <c r="D565" s="11" t="s">
        <v>550</v>
      </c>
      <c r="E565" s="11" t="s">
        <v>1126</v>
      </c>
      <c r="F565" s="11" t="s">
        <v>914</v>
      </c>
      <c r="G565" s="12">
        <v>8</v>
      </c>
    </row>
    <row r="566" spans="4:7" x14ac:dyDescent="0.3">
      <c r="D566" s="11" t="s">
        <v>598</v>
      </c>
      <c r="E566" s="11" t="s">
        <v>1080</v>
      </c>
      <c r="F566" s="11" t="s">
        <v>842</v>
      </c>
      <c r="G566" s="12">
        <v>8</v>
      </c>
    </row>
    <row r="567" spans="4:7" x14ac:dyDescent="0.3">
      <c r="D567" s="11" t="s">
        <v>408</v>
      </c>
      <c r="E567" s="11" t="s">
        <v>1101</v>
      </c>
      <c r="F567" s="11" t="s">
        <v>876</v>
      </c>
      <c r="G567" s="12">
        <v>8</v>
      </c>
    </row>
    <row r="568" spans="4:7" x14ac:dyDescent="0.3">
      <c r="D568" s="11" t="s">
        <v>404</v>
      </c>
      <c r="E568" s="11" t="s">
        <v>1099</v>
      </c>
      <c r="F568" s="11" t="s">
        <v>837</v>
      </c>
      <c r="G568" s="12">
        <v>8</v>
      </c>
    </row>
    <row r="569" spans="4:7" x14ac:dyDescent="0.3">
      <c r="D569" s="11" t="s">
        <v>484</v>
      </c>
      <c r="E569" s="11" t="s">
        <v>1082</v>
      </c>
      <c r="F569" s="11" t="s">
        <v>932</v>
      </c>
      <c r="G569" s="12">
        <v>8</v>
      </c>
    </row>
    <row r="570" spans="4:7" x14ac:dyDescent="0.3">
      <c r="D570" s="11" t="s">
        <v>948</v>
      </c>
      <c r="E570" s="11" t="s">
        <v>1085</v>
      </c>
      <c r="F570" s="11" t="s">
        <v>888</v>
      </c>
      <c r="G570" s="12">
        <v>8</v>
      </c>
    </row>
    <row r="571" spans="4:7" x14ac:dyDescent="0.3">
      <c r="D571" s="11" t="s">
        <v>439</v>
      </c>
      <c r="E571" s="11" t="s">
        <v>1087</v>
      </c>
      <c r="F571" s="11" t="s">
        <v>900</v>
      </c>
      <c r="G571" s="12">
        <v>8</v>
      </c>
    </row>
    <row r="572" spans="4:7" x14ac:dyDescent="0.3">
      <c r="D572" s="11" t="s">
        <v>740</v>
      </c>
      <c r="E572" s="11" t="s">
        <v>1080</v>
      </c>
      <c r="F572" s="11" t="s">
        <v>914</v>
      </c>
      <c r="G572" s="12">
        <v>8</v>
      </c>
    </row>
    <row r="573" spans="4:7" x14ac:dyDescent="0.3">
      <c r="D573" s="11" t="s">
        <v>737</v>
      </c>
      <c r="E573" s="11" t="s">
        <v>1116</v>
      </c>
      <c r="F573" s="11" t="s">
        <v>849</v>
      </c>
      <c r="G573" s="12">
        <v>8</v>
      </c>
    </row>
    <row r="574" spans="4:7" x14ac:dyDescent="0.3">
      <c r="D574" s="11" t="s">
        <v>706</v>
      </c>
      <c r="E574" s="11" t="s">
        <v>1113</v>
      </c>
      <c r="F574" s="11" t="s">
        <v>881</v>
      </c>
      <c r="G574" s="12">
        <v>8</v>
      </c>
    </row>
    <row r="575" spans="4:7" x14ac:dyDescent="0.3">
      <c r="D575" s="11" t="s">
        <v>492</v>
      </c>
      <c r="E575" s="11" t="s">
        <v>1112</v>
      </c>
      <c r="F575" s="11" t="s">
        <v>841</v>
      </c>
      <c r="G575" s="12">
        <v>8</v>
      </c>
    </row>
    <row r="576" spans="4:7" x14ac:dyDescent="0.3">
      <c r="D576" s="11" t="s">
        <v>647</v>
      </c>
      <c r="E576" s="11" t="s">
        <v>1081</v>
      </c>
      <c r="F576" s="11" t="s">
        <v>837</v>
      </c>
      <c r="G576" s="12">
        <v>8</v>
      </c>
    </row>
    <row r="577" spans="4:7" x14ac:dyDescent="0.3">
      <c r="D577" s="11" t="s">
        <v>509</v>
      </c>
      <c r="E577" s="11" t="s">
        <v>1110</v>
      </c>
      <c r="F577" s="11" t="s">
        <v>796</v>
      </c>
      <c r="G577" s="12">
        <v>8</v>
      </c>
    </row>
    <row r="578" spans="4:7" x14ac:dyDescent="0.3">
      <c r="D578" s="11" t="s">
        <v>844</v>
      </c>
      <c r="E578" s="11" t="s">
        <v>980</v>
      </c>
      <c r="F578" s="11" t="s">
        <v>846</v>
      </c>
      <c r="G578" s="12">
        <v>8</v>
      </c>
    </row>
    <row r="579" spans="4:7" x14ac:dyDescent="0.3">
      <c r="D579" s="11" t="s">
        <v>1066</v>
      </c>
      <c r="E579" s="11" t="s">
        <v>1083</v>
      </c>
      <c r="F579" s="11" t="s">
        <v>828</v>
      </c>
      <c r="G579" s="12">
        <v>6</v>
      </c>
    </row>
    <row r="580" spans="4:7" x14ac:dyDescent="0.3">
      <c r="D580" s="11" t="s">
        <v>736</v>
      </c>
      <c r="E580" s="11" t="s">
        <v>1119</v>
      </c>
      <c r="F580" s="11" t="s">
        <v>932</v>
      </c>
      <c r="G580" s="12">
        <v>6</v>
      </c>
    </row>
    <row r="581" spans="4:7" x14ac:dyDescent="0.3">
      <c r="D581" s="11" t="s">
        <v>1008</v>
      </c>
      <c r="E581" s="11" t="s">
        <v>1108</v>
      </c>
      <c r="F581" s="11" t="s">
        <v>818</v>
      </c>
      <c r="G581" s="12">
        <v>6</v>
      </c>
    </row>
    <row r="582" spans="4:7" x14ac:dyDescent="0.3">
      <c r="D582" s="11" t="s">
        <v>421</v>
      </c>
      <c r="E582" s="11" t="s">
        <v>1078</v>
      </c>
      <c r="F582" s="11" t="s">
        <v>895</v>
      </c>
      <c r="G582" s="12">
        <v>6</v>
      </c>
    </row>
    <row r="583" spans="4:7" x14ac:dyDescent="0.3">
      <c r="D583" s="11" t="s">
        <v>472</v>
      </c>
      <c r="E583" s="11" t="s">
        <v>1086</v>
      </c>
      <c r="F583" s="11" t="s">
        <v>860</v>
      </c>
      <c r="G583" s="12">
        <v>6</v>
      </c>
    </row>
    <row r="584" spans="4:7" x14ac:dyDescent="0.3">
      <c r="D584" s="11" t="s">
        <v>743</v>
      </c>
      <c r="E584" s="11" t="s">
        <v>1121</v>
      </c>
      <c r="F584" s="11" t="s">
        <v>829</v>
      </c>
      <c r="G584" s="12">
        <v>6</v>
      </c>
    </row>
    <row r="585" spans="4:7" x14ac:dyDescent="0.3">
      <c r="D585" s="11" t="s">
        <v>450</v>
      </c>
      <c r="E585" s="11" t="s">
        <v>1114</v>
      </c>
      <c r="F585" s="11" t="s">
        <v>805</v>
      </c>
      <c r="G585" s="12">
        <v>6</v>
      </c>
    </row>
    <row r="586" spans="4:7" x14ac:dyDescent="0.3">
      <c r="D586" s="11" t="s">
        <v>748</v>
      </c>
      <c r="E586" s="11" t="s">
        <v>1122</v>
      </c>
      <c r="F586" s="11" t="s">
        <v>900</v>
      </c>
      <c r="G586" s="12">
        <v>6</v>
      </c>
    </row>
    <row r="587" spans="4:7" x14ac:dyDescent="0.3">
      <c r="D587" s="11" t="s">
        <v>18</v>
      </c>
      <c r="E587" s="11" t="s">
        <v>1077</v>
      </c>
      <c r="F587" s="11" t="s">
        <v>901</v>
      </c>
      <c r="G587" s="12">
        <v>6</v>
      </c>
    </row>
    <row r="588" spans="4:7" x14ac:dyDescent="0.3">
      <c r="D588" s="11" t="s">
        <v>699</v>
      </c>
      <c r="E588" s="11" t="s">
        <v>1105</v>
      </c>
      <c r="F588" s="11" t="s">
        <v>873</v>
      </c>
      <c r="G588" s="12">
        <v>6</v>
      </c>
    </row>
    <row r="589" spans="4:7" x14ac:dyDescent="0.3">
      <c r="D589" s="11" t="s">
        <v>316</v>
      </c>
      <c r="E589" s="11" t="s">
        <v>1082</v>
      </c>
      <c r="F589" s="11" t="s">
        <v>853</v>
      </c>
      <c r="G589" s="12">
        <v>6</v>
      </c>
    </row>
    <row r="590" spans="4:7" x14ac:dyDescent="0.3">
      <c r="D590" s="11" t="s">
        <v>961</v>
      </c>
      <c r="E590" s="11" t="s">
        <v>1098</v>
      </c>
      <c r="F590" s="11" t="s">
        <v>827</v>
      </c>
      <c r="G590" s="12">
        <v>6</v>
      </c>
    </row>
    <row r="591" spans="4:7" x14ac:dyDescent="0.3">
      <c r="D591" s="11" t="s">
        <v>129</v>
      </c>
      <c r="E591" s="11" t="s">
        <v>1102</v>
      </c>
      <c r="F591" s="11" t="s">
        <v>829</v>
      </c>
      <c r="G591" s="12">
        <v>6</v>
      </c>
    </row>
    <row r="592" spans="4:7" x14ac:dyDescent="0.3">
      <c r="D592" s="11" t="s">
        <v>916</v>
      </c>
      <c r="E592" s="11" t="s">
        <v>1086</v>
      </c>
      <c r="F592" s="11" t="s">
        <v>895</v>
      </c>
      <c r="G592" s="12">
        <v>6</v>
      </c>
    </row>
    <row r="593" spans="4:7" x14ac:dyDescent="0.3">
      <c r="D593" s="11" t="s">
        <v>730</v>
      </c>
      <c r="E593" s="11" t="s">
        <v>1110</v>
      </c>
      <c r="F593" s="11" t="s">
        <v>880</v>
      </c>
      <c r="G593" s="12">
        <v>6</v>
      </c>
    </row>
    <row r="594" spans="4:7" x14ac:dyDescent="0.3">
      <c r="D594" s="11" t="s">
        <v>391</v>
      </c>
      <c r="E594" s="11" t="s">
        <v>1099</v>
      </c>
      <c r="F594" s="11" t="s">
        <v>828</v>
      </c>
      <c r="G594" s="12">
        <v>6</v>
      </c>
    </row>
    <row r="595" spans="4:7" x14ac:dyDescent="0.3">
      <c r="D595" s="11" t="s">
        <v>760</v>
      </c>
      <c r="E595" s="11" t="s">
        <v>1121</v>
      </c>
      <c r="F595" s="11" t="s">
        <v>906</v>
      </c>
      <c r="G595" s="12">
        <v>6</v>
      </c>
    </row>
    <row r="596" spans="4:7" x14ac:dyDescent="0.3">
      <c r="D596" s="11" t="s">
        <v>292</v>
      </c>
      <c r="E596" s="11" t="s">
        <v>1099</v>
      </c>
      <c r="F596" s="11" t="s">
        <v>837</v>
      </c>
      <c r="G596" s="12">
        <v>4</v>
      </c>
    </row>
    <row r="597" spans="4:7" x14ac:dyDescent="0.3">
      <c r="D597" s="11" t="s">
        <v>548</v>
      </c>
      <c r="E597" s="11" t="s">
        <v>1100</v>
      </c>
      <c r="F597" s="11" t="s">
        <v>813</v>
      </c>
      <c r="G597" s="12">
        <v>4</v>
      </c>
    </row>
    <row r="598" spans="4:7" x14ac:dyDescent="0.3">
      <c r="D598" s="11" t="s">
        <v>524</v>
      </c>
      <c r="E598" s="11" t="s">
        <v>1117</v>
      </c>
      <c r="F598" s="11" t="s">
        <v>813</v>
      </c>
      <c r="G598" s="12">
        <v>4</v>
      </c>
    </row>
    <row r="599" spans="4:7" x14ac:dyDescent="0.3">
      <c r="D599" s="11" t="s">
        <v>522</v>
      </c>
      <c r="E599" s="11" t="s">
        <v>1124</v>
      </c>
      <c r="F599" s="11" t="s">
        <v>805</v>
      </c>
      <c r="G599" s="12">
        <v>4</v>
      </c>
    </row>
    <row r="600" spans="4:7" x14ac:dyDescent="0.3">
      <c r="D600" s="11" t="s">
        <v>1029</v>
      </c>
      <c r="E600" s="11" t="s">
        <v>1113</v>
      </c>
      <c r="F600" s="11" t="s">
        <v>883</v>
      </c>
      <c r="G600" s="12">
        <v>4</v>
      </c>
    </row>
    <row r="601" spans="4:7" x14ac:dyDescent="0.3">
      <c r="D601" s="11" t="s">
        <v>644</v>
      </c>
      <c r="E601" s="11" t="s">
        <v>1085</v>
      </c>
      <c r="F601" s="11" t="s">
        <v>830</v>
      </c>
      <c r="G601" s="12">
        <v>4</v>
      </c>
    </row>
    <row r="602" spans="4:7" x14ac:dyDescent="0.3">
      <c r="D602" s="11" t="s">
        <v>458</v>
      </c>
      <c r="E602" s="11" t="s">
        <v>1079</v>
      </c>
      <c r="F602" s="11" t="s">
        <v>834</v>
      </c>
      <c r="G602" s="12">
        <v>4</v>
      </c>
    </row>
    <row r="603" spans="4:7" x14ac:dyDescent="0.3">
      <c r="D603" s="11" t="s">
        <v>246</v>
      </c>
      <c r="E603" s="11" t="s">
        <v>1097</v>
      </c>
      <c r="F603" s="11" t="s">
        <v>880</v>
      </c>
      <c r="G603" s="12">
        <v>4</v>
      </c>
    </row>
    <row r="604" spans="4:7" x14ac:dyDescent="0.3">
      <c r="D604" s="11" t="s">
        <v>558</v>
      </c>
      <c r="E604" s="11" t="s">
        <v>1101</v>
      </c>
      <c r="F604" s="11" t="s">
        <v>901</v>
      </c>
      <c r="G604" s="12">
        <v>4</v>
      </c>
    </row>
    <row r="605" spans="4:7" x14ac:dyDescent="0.3">
      <c r="D605" s="11" t="s">
        <v>607</v>
      </c>
      <c r="E605" s="11" t="s">
        <v>1086</v>
      </c>
      <c r="F605" s="11" t="s">
        <v>853</v>
      </c>
      <c r="G605" s="12">
        <v>4</v>
      </c>
    </row>
    <row r="606" spans="4:7" x14ac:dyDescent="0.3">
      <c r="D606" s="11" t="s">
        <v>628</v>
      </c>
      <c r="E606" s="11" t="s">
        <v>1118</v>
      </c>
      <c r="F606" s="11" t="s">
        <v>801</v>
      </c>
      <c r="G606" s="12">
        <v>4</v>
      </c>
    </row>
    <row r="607" spans="4:7" x14ac:dyDescent="0.3">
      <c r="D607" s="11" t="s">
        <v>536</v>
      </c>
      <c r="E607" s="11" t="s">
        <v>1097</v>
      </c>
      <c r="F607" s="11" t="s">
        <v>918</v>
      </c>
      <c r="G607" s="12">
        <v>4</v>
      </c>
    </row>
    <row r="608" spans="4:7" x14ac:dyDescent="0.3">
      <c r="D608" s="11" t="s">
        <v>674</v>
      </c>
      <c r="E608" s="11" t="s">
        <v>1086</v>
      </c>
      <c r="F608" s="11" t="s">
        <v>964</v>
      </c>
      <c r="G608" s="12">
        <v>4</v>
      </c>
    </row>
    <row r="609" spans="4:7" x14ac:dyDescent="0.3">
      <c r="D609" s="11" t="s">
        <v>756</v>
      </c>
      <c r="E609" s="11" t="s">
        <v>1112</v>
      </c>
      <c r="F609" s="11" t="s">
        <v>900</v>
      </c>
      <c r="G609" s="12">
        <v>4</v>
      </c>
    </row>
    <row r="610" spans="4:7" x14ac:dyDescent="0.3">
      <c r="D610" s="11" t="s">
        <v>683</v>
      </c>
      <c r="E610" s="11" t="s">
        <v>1113</v>
      </c>
      <c r="F610" s="11" t="s">
        <v>827</v>
      </c>
      <c r="G610" s="12">
        <v>4</v>
      </c>
    </row>
    <row r="611" spans="4:7" x14ac:dyDescent="0.3">
      <c r="D611" s="11" t="s">
        <v>966</v>
      </c>
      <c r="E611" s="11" t="s">
        <v>1087</v>
      </c>
      <c r="F611" s="11" t="s">
        <v>825</v>
      </c>
      <c r="G611" s="12">
        <v>4</v>
      </c>
    </row>
    <row r="612" spans="4:7" x14ac:dyDescent="0.3">
      <c r="D612" s="11" t="s">
        <v>928</v>
      </c>
      <c r="E612" s="11" t="s">
        <v>1104</v>
      </c>
      <c r="F612" s="11" t="s">
        <v>885</v>
      </c>
      <c r="G612" s="12">
        <v>4</v>
      </c>
    </row>
    <row r="613" spans="4:7" x14ac:dyDescent="0.3">
      <c r="D613" s="11" t="s">
        <v>636</v>
      </c>
      <c r="E613" s="11" t="s">
        <v>1123</v>
      </c>
      <c r="F613" s="11" t="s">
        <v>900</v>
      </c>
      <c r="G613" s="12">
        <v>4</v>
      </c>
    </row>
    <row r="614" spans="4:7" x14ac:dyDescent="0.3">
      <c r="D614" s="11" t="s">
        <v>597</v>
      </c>
      <c r="E614" s="11" t="s">
        <v>1081</v>
      </c>
      <c r="F614" s="11" t="s">
        <v>830</v>
      </c>
      <c r="G614" s="12">
        <v>4</v>
      </c>
    </row>
    <row r="615" spans="4:7" x14ac:dyDescent="0.3">
      <c r="D615" s="11" t="s">
        <v>227</v>
      </c>
      <c r="E615" s="11" t="s">
        <v>1079</v>
      </c>
      <c r="F615" s="11" t="s">
        <v>878</v>
      </c>
      <c r="G615" s="12">
        <v>4</v>
      </c>
    </row>
    <row r="616" spans="4:7" x14ac:dyDescent="0.3">
      <c r="D616" s="11" t="s">
        <v>777</v>
      </c>
      <c r="E616" s="11" t="s">
        <v>1078</v>
      </c>
      <c r="F616" s="11" t="s">
        <v>880</v>
      </c>
      <c r="G616" s="12">
        <v>4</v>
      </c>
    </row>
    <row r="617" spans="4:7" x14ac:dyDescent="0.3">
      <c r="D617" s="11" t="s">
        <v>949</v>
      </c>
      <c r="E617" s="11" t="s">
        <v>1077</v>
      </c>
      <c r="F617" s="11" t="s">
        <v>816</v>
      </c>
      <c r="G617" s="12">
        <v>4</v>
      </c>
    </row>
    <row r="618" spans="4:7" x14ac:dyDescent="0.3">
      <c r="D618" s="11" t="s">
        <v>752</v>
      </c>
      <c r="E618" s="11" t="s">
        <v>1115</v>
      </c>
      <c r="F618" s="11" t="s">
        <v>895</v>
      </c>
      <c r="G618" s="12">
        <v>4</v>
      </c>
    </row>
    <row r="619" spans="4:7" x14ac:dyDescent="0.3">
      <c r="D619" s="11" t="s">
        <v>908</v>
      </c>
      <c r="E619" s="11" t="s">
        <v>1110</v>
      </c>
      <c r="F619" s="11" t="s">
        <v>849</v>
      </c>
      <c r="G619" s="12">
        <v>4</v>
      </c>
    </row>
    <row r="620" spans="4:7" x14ac:dyDescent="0.3">
      <c r="D620" s="11" t="s">
        <v>612</v>
      </c>
      <c r="E620" s="11" t="s">
        <v>1079</v>
      </c>
      <c r="F620" s="11" t="s">
        <v>947</v>
      </c>
      <c r="G620" s="12">
        <v>0</v>
      </c>
    </row>
    <row r="621" spans="4:7" x14ac:dyDescent="0.3">
      <c r="D621" s="11" t="s">
        <v>402</v>
      </c>
      <c r="E621" s="11" t="s">
        <v>1105</v>
      </c>
      <c r="F621" s="11" t="s">
        <v>939</v>
      </c>
      <c r="G621" s="12">
        <v>0</v>
      </c>
    </row>
    <row r="622" spans="4:7" x14ac:dyDescent="0.3">
      <c r="D622" s="11" t="s">
        <v>1047</v>
      </c>
      <c r="E622" s="11" t="s">
        <v>1119</v>
      </c>
      <c r="F622" s="11" t="s">
        <v>901</v>
      </c>
      <c r="G622" s="12">
        <v>0</v>
      </c>
    </row>
    <row r="623" spans="4:7" x14ac:dyDescent="0.3">
      <c r="D623" s="11" t="s">
        <v>139</v>
      </c>
      <c r="E623" s="11" t="s">
        <v>1106</v>
      </c>
      <c r="F623" s="11" t="s">
        <v>837</v>
      </c>
      <c r="G623" s="12">
        <v>0</v>
      </c>
    </row>
    <row r="624" spans="4:7" x14ac:dyDescent="0.3">
      <c r="D624" s="11" t="s">
        <v>658</v>
      </c>
      <c r="E624" s="11" t="s">
        <v>1091</v>
      </c>
      <c r="F624" s="11" t="s">
        <v>900</v>
      </c>
      <c r="G624" s="12">
        <v>0</v>
      </c>
    </row>
    <row r="625" spans="4:7" x14ac:dyDescent="0.3">
      <c r="D625" s="11" t="s">
        <v>444</v>
      </c>
      <c r="E625" s="11" t="s">
        <v>1125</v>
      </c>
      <c r="F625" s="11" t="s">
        <v>849</v>
      </c>
      <c r="G625" s="12">
        <v>0</v>
      </c>
    </row>
    <row r="626" spans="4:7" x14ac:dyDescent="0.3">
      <c r="D626" s="11" t="s">
        <v>1075</v>
      </c>
      <c r="G626" s="12">
        <v>23710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01"/>
  <sheetViews>
    <sheetView showGridLines="0" topLeftCell="B2" workbookViewId="0">
      <selection activeCell="E14" sqref="E14"/>
    </sheetView>
  </sheetViews>
  <sheetFormatPr defaultRowHeight="14.4" x14ac:dyDescent="0.3"/>
  <cols>
    <col min="1" max="1" width="13.5546875" hidden="1" customWidth="1"/>
    <col min="2" max="6" width="17.109375" customWidth="1"/>
    <col min="7" max="7" width="4.77734375" hidden="1" customWidth="1"/>
    <col min="8" max="8" width="31.21875" customWidth="1"/>
    <col min="9" max="9" width="8.88671875" hidden="1" customWidth="1"/>
    <col min="10" max="10" width="18.33203125" customWidth="1"/>
    <col min="11" max="11" width="20.109375" customWidth="1"/>
    <col min="12" max="12" width="14.88671875" customWidth="1"/>
    <col min="13" max="13" width="21.5546875" customWidth="1"/>
    <col min="14" max="14" width="4.109375" hidden="1" customWidth="1"/>
  </cols>
  <sheetData>
    <row r="1" spans="1:14" x14ac:dyDescent="0.3">
      <c r="A1" s="2" t="s">
        <v>1069</v>
      </c>
      <c r="B1" s="2" t="s">
        <v>0</v>
      </c>
      <c r="C1" s="2" t="s">
        <v>781</v>
      </c>
      <c r="D1" s="2" t="s">
        <v>782</v>
      </c>
      <c r="E1" s="2" t="s">
        <v>788</v>
      </c>
      <c r="F1" s="2" t="s">
        <v>1</v>
      </c>
      <c r="G1" s="2" t="s">
        <v>1070</v>
      </c>
      <c r="H1" s="2" t="s">
        <v>2</v>
      </c>
      <c r="I1" s="2" t="s">
        <v>1071</v>
      </c>
      <c r="J1" s="2" t="s">
        <v>3</v>
      </c>
      <c r="K1" s="2" t="s">
        <v>4</v>
      </c>
      <c r="L1" s="2" t="s">
        <v>5</v>
      </c>
      <c r="M1" s="2" t="s">
        <v>6</v>
      </c>
      <c r="N1" s="2" t="s">
        <v>1074</v>
      </c>
    </row>
    <row r="2" spans="1:14" x14ac:dyDescent="0.3">
      <c r="A2" t="s">
        <v>642</v>
      </c>
      <c r="B2" t="str">
        <f>TRIM(TTrainingSource[[#This Row],[EMPloyee_ID2]])</f>
        <v>EMP10000</v>
      </c>
      <c r="C2" t="str">
        <f>IFERROR(VLOOKUP(TTrainingSource[[#This Row],[Employee_ID]],THrList[],3,FALSE),"")</f>
        <v>LEROY</v>
      </c>
      <c r="D2" t="str">
        <f>IFERROR(VLOOKUP(TTrainingSource[[#This Row],[Employee_ID]],THrList[],4,FALSE),"")</f>
        <v>Ama</v>
      </c>
      <c r="E2" t="str">
        <f>IFERROR(VLOOKUP(TTrainingSource[[#This Row],[Employee_ID]],THrList[],10,FALSE),"")</f>
        <v>Procurement</v>
      </c>
      <c r="F2" t="str">
        <f>TRIM(PROPER(TTrainingSource[[#This Row],[Training_Status2]]))</f>
        <v>Completed</v>
      </c>
      <c r="G2" t="s">
        <v>17</v>
      </c>
      <c r="H2" t="str">
        <f>TRIM(PROPER(TTrainingSource[[#This Row],[Training_Title2]]))</f>
        <v>Introduction To Python For Data</v>
      </c>
      <c r="I2" t="s">
        <v>62</v>
      </c>
      <c r="J2" s="1">
        <v>45760</v>
      </c>
      <c r="K2" t="s">
        <v>32</v>
      </c>
      <c r="L2" s="7">
        <v>32</v>
      </c>
      <c r="M2">
        <f>ROUND(TTrainingSource[[#This Row],[Satisfaction_Score2]],0)</f>
        <v>3</v>
      </c>
      <c r="N2">
        <v>2.7</v>
      </c>
    </row>
    <row r="3" spans="1:14" x14ac:dyDescent="0.3">
      <c r="A3" t="s">
        <v>572</v>
      </c>
      <c r="B3" t="str">
        <f>TRIM(TTrainingSource[[#This Row],[EMPloyee_ID2]])</f>
        <v>EMP10001</v>
      </c>
      <c r="C3" t="str">
        <f>IFERROR(VLOOKUP(TTrainingSource[[#This Row],[Employee_ID]],THrList[],3,FALSE),"")</f>
        <v>GIRARD</v>
      </c>
      <c r="D3" t="str">
        <f>IFERROR(VLOOKUP(TTrainingSource[[#This Row],[Employee_ID]],THrList[],4,FALSE),"")</f>
        <v>Kwame</v>
      </c>
      <c r="E3" t="str">
        <f>IFERROR(VLOOKUP(TTrainingSource[[#This Row],[Employee_ID]],THrList[],10,FALSE),"")</f>
        <v>Finance</v>
      </c>
      <c r="F3" t="str">
        <f>TRIM(PROPER(TTrainingSource[[#This Row],[Training_Status2]]))</f>
        <v>Planned</v>
      </c>
      <c r="G3" t="s">
        <v>19</v>
      </c>
      <c r="H3" t="str">
        <f>TRIM(PROPER(TTrainingSource[[#This Row],[Training_Title2]]))</f>
        <v>Introduction To Python For Data</v>
      </c>
      <c r="I3" t="s">
        <v>573</v>
      </c>
      <c r="J3" s="1">
        <v>45769</v>
      </c>
      <c r="K3" t="s">
        <v>42</v>
      </c>
      <c r="L3" s="7">
        <v>40</v>
      </c>
      <c r="M3">
        <f>ROUND(TTrainingSource[[#This Row],[Satisfaction_Score2]],0)</f>
        <v>4</v>
      </c>
      <c r="N3">
        <v>3.6</v>
      </c>
    </row>
    <row r="4" spans="1:14" x14ac:dyDescent="0.3">
      <c r="A4" t="s">
        <v>572</v>
      </c>
      <c r="B4" t="str">
        <f>TRIM(TTrainingSource[[#This Row],[EMPloyee_ID2]])</f>
        <v>EMP10001</v>
      </c>
      <c r="C4" t="str">
        <f>IFERROR(VLOOKUP(TTrainingSource[[#This Row],[Employee_ID]],THrList[],3,FALSE),"")</f>
        <v>GIRARD</v>
      </c>
      <c r="D4" t="str">
        <f>IFERROR(VLOOKUP(TTrainingSource[[#This Row],[Employee_ID]],THrList[],4,FALSE),"")</f>
        <v>Kwame</v>
      </c>
      <c r="E4" t="str">
        <f>IFERROR(VLOOKUP(TTrainingSource[[#This Row],[Employee_ID]],THrList[],10,FALSE),"")</f>
        <v>Finance</v>
      </c>
      <c r="F4" t="str">
        <f>TRIM(PROPER(TTrainingSource[[#This Row],[Training_Status2]]))</f>
        <v>Completed</v>
      </c>
      <c r="G4" t="s">
        <v>17</v>
      </c>
      <c r="H4" t="str">
        <f>TRIM(PROPER(TTrainingSource[[#This Row],[Training_Title2]]))</f>
        <v>Digital Marketing Strategy</v>
      </c>
      <c r="I4" t="s">
        <v>43</v>
      </c>
      <c r="J4" s="1">
        <v>44949</v>
      </c>
      <c r="K4" t="s">
        <v>12</v>
      </c>
      <c r="L4" s="7">
        <v>40</v>
      </c>
      <c r="M4">
        <f>ROUND(TTrainingSource[[#This Row],[Satisfaction_Score2]],0)</f>
        <v>4</v>
      </c>
      <c r="N4">
        <v>4.2</v>
      </c>
    </row>
    <row r="5" spans="1:14" x14ac:dyDescent="0.3">
      <c r="A5" t="s">
        <v>572</v>
      </c>
      <c r="B5" t="str">
        <f>TRIM(TTrainingSource[[#This Row],[EMPloyee_ID2]])</f>
        <v>EMP10001</v>
      </c>
      <c r="C5" t="str">
        <f>IFERROR(VLOOKUP(TTrainingSource[[#This Row],[Employee_ID]],THrList[],3,FALSE),"")</f>
        <v>GIRARD</v>
      </c>
      <c r="D5" t="str">
        <f>IFERROR(VLOOKUP(TTrainingSource[[#This Row],[Employee_ID]],THrList[],4,FALSE),"")</f>
        <v>Kwame</v>
      </c>
      <c r="E5" t="str">
        <f>IFERROR(VLOOKUP(TTrainingSource[[#This Row],[Employee_ID]],THrList[],10,FALSE),"")</f>
        <v>Finance</v>
      </c>
      <c r="F5" t="str">
        <f>TRIM(PROPER(TTrainingSource[[#This Row],[Training_Status2]]))</f>
        <v>Planned</v>
      </c>
      <c r="G5" t="s">
        <v>19</v>
      </c>
      <c r="H5" t="str">
        <f>TRIM(PROPER(TTrainingSource[[#This Row],[Training_Title2]]))</f>
        <v>Introduction To Python For Data</v>
      </c>
      <c r="I5" t="s">
        <v>62</v>
      </c>
      <c r="J5" s="1">
        <v>45426</v>
      </c>
      <c r="K5" t="s">
        <v>46</v>
      </c>
      <c r="L5" s="7">
        <v>6</v>
      </c>
      <c r="M5">
        <f>ROUND(TTrainingSource[[#This Row],[Satisfaction_Score2]],0)</f>
        <v>5</v>
      </c>
      <c r="N5">
        <v>5</v>
      </c>
    </row>
    <row r="6" spans="1:14" x14ac:dyDescent="0.3">
      <c r="A6" t="s">
        <v>211</v>
      </c>
      <c r="B6" t="str">
        <f>TRIM(TTrainingSource[[#This Row],[EMPloyee_ID2]])</f>
        <v>EMP10002</v>
      </c>
      <c r="C6" t="str">
        <f>IFERROR(VLOOKUP(TTrainingSource[[#This Row],[Employee_ID]],THrList[],3,FALSE),"")</f>
        <v>JOHNSON</v>
      </c>
      <c r="D6" t="str">
        <f>IFERROR(VLOOKUP(TTrainingSource[[#This Row],[Employee_ID]],THrList[],4,FALSE),"")</f>
        <v>Binta</v>
      </c>
      <c r="E6" t="str">
        <f>IFERROR(VLOOKUP(TTrainingSource[[#This Row],[Employee_ID]],THrList[],10,FALSE),"")</f>
        <v>Procurement</v>
      </c>
      <c r="F6" t="str">
        <f>TRIM(PROPER(TTrainingSource[[#This Row],[Training_Status2]]))</f>
        <v>In Progress</v>
      </c>
      <c r="G6" t="s">
        <v>8</v>
      </c>
      <c r="H6" t="str">
        <f>TRIM(PROPER(TTrainingSource[[#This Row],[Training_Title2]]))</f>
        <v>Introduction To Python For Data</v>
      </c>
      <c r="I6" t="s">
        <v>62</v>
      </c>
      <c r="J6" s="1">
        <v>45251</v>
      </c>
      <c r="K6" t="s">
        <v>39</v>
      </c>
      <c r="L6" s="7">
        <v>12</v>
      </c>
      <c r="M6">
        <f>ROUND(TTrainingSource[[#This Row],[Satisfaction_Score2]],0)</f>
        <v>3</v>
      </c>
      <c r="N6">
        <v>3</v>
      </c>
    </row>
    <row r="7" spans="1:14" x14ac:dyDescent="0.3">
      <c r="A7" t="s">
        <v>211</v>
      </c>
      <c r="B7" t="str">
        <f>TRIM(TTrainingSource[[#This Row],[EMPloyee_ID2]])</f>
        <v>EMP10002</v>
      </c>
      <c r="C7" t="str">
        <f>IFERROR(VLOOKUP(TTrainingSource[[#This Row],[Employee_ID]],THrList[],3,FALSE),"")</f>
        <v>JOHNSON</v>
      </c>
      <c r="D7" t="str">
        <f>IFERROR(VLOOKUP(TTrainingSource[[#This Row],[Employee_ID]],THrList[],4,FALSE),"")</f>
        <v>Binta</v>
      </c>
      <c r="E7" t="str">
        <f>IFERROR(VLOOKUP(TTrainingSource[[#This Row],[Employee_ID]],THrList[],10,FALSE),"")</f>
        <v>Procurement</v>
      </c>
      <c r="F7" t="str">
        <f>TRIM(PROPER(TTrainingSource[[#This Row],[Training_Status2]]))</f>
        <v>In Progress</v>
      </c>
      <c r="G7" t="s">
        <v>8</v>
      </c>
      <c r="H7" t="str">
        <f>TRIM(PROPER(TTrainingSource[[#This Row],[Training_Title2]]))</f>
        <v>Sql For Data Analytics</v>
      </c>
      <c r="I7" t="s">
        <v>26</v>
      </c>
      <c r="J7" s="1">
        <v>45288</v>
      </c>
      <c r="K7" t="s">
        <v>44</v>
      </c>
      <c r="L7" s="7">
        <v>16</v>
      </c>
      <c r="M7">
        <f>ROUND(TTrainingSource[[#This Row],[Satisfaction_Score2]],0)</f>
        <v>3</v>
      </c>
      <c r="N7">
        <v>3.2</v>
      </c>
    </row>
    <row r="8" spans="1:14" x14ac:dyDescent="0.3">
      <c r="A8" t="s">
        <v>211</v>
      </c>
      <c r="B8" t="str">
        <f>TRIM(TTrainingSource[[#This Row],[EMPloyee_ID2]])</f>
        <v>EMP10002</v>
      </c>
      <c r="C8" t="str">
        <f>IFERROR(VLOOKUP(TTrainingSource[[#This Row],[Employee_ID]],THrList[],3,FALSE),"")</f>
        <v>JOHNSON</v>
      </c>
      <c r="D8" t="str">
        <f>IFERROR(VLOOKUP(TTrainingSource[[#This Row],[Employee_ID]],THrList[],4,FALSE),"")</f>
        <v>Binta</v>
      </c>
      <c r="E8" t="str">
        <f>IFERROR(VLOOKUP(TTrainingSource[[#This Row],[Employee_ID]],THrList[],10,FALSE),"")</f>
        <v>Procurement</v>
      </c>
      <c r="F8" t="str">
        <f>TRIM(PROPER(TTrainingSource[[#This Row],[Training_Status2]]))</f>
        <v>Planned</v>
      </c>
      <c r="G8" t="s">
        <v>19</v>
      </c>
      <c r="H8" t="str">
        <f>TRIM(PROPER(TTrainingSource[[#This Row],[Training_Title2]]))</f>
        <v>Power Bi Reporting</v>
      </c>
      <c r="I8" t="s">
        <v>24</v>
      </c>
      <c r="J8" s="1">
        <v>45722</v>
      </c>
      <c r="K8" t="s">
        <v>44</v>
      </c>
      <c r="L8" s="7">
        <v>20</v>
      </c>
      <c r="M8">
        <f>ROUND(TTrainingSource[[#This Row],[Satisfaction_Score2]],0)</f>
        <v>4</v>
      </c>
      <c r="N8">
        <v>3.6</v>
      </c>
    </row>
    <row r="9" spans="1:14" x14ac:dyDescent="0.3">
      <c r="A9" t="s">
        <v>684</v>
      </c>
      <c r="B9" t="str">
        <f>TRIM(TTrainingSource[[#This Row],[EMPloyee_ID2]])</f>
        <v>EMP10003</v>
      </c>
      <c r="C9" t="str">
        <f>IFERROR(VLOOKUP(TTrainingSource[[#This Row],[Employee_ID]],THrList[],3,FALSE),"")</f>
        <v>GARCIA</v>
      </c>
      <c r="D9" t="str">
        <f>IFERROR(VLOOKUP(TTrainingSource[[#This Row],[Employee_ID]],THrList[],4,FALSE),"")</f>
        <v>Ama</v>
      </c>
      <c r="E9" t="str">
        <f>IFERROR(VLOOKUP(TTrainingSource[[#This Row],[Employee_ID]],THrList[],10,FALSE),"")</f>
        <v>Operations</v>
      </c>
      <c r="F9" t="str">
        <f>TRIM(PROPER(TTrainingSource[[#This Row],[Training_Status2]]))</f>
        <v>Completed</v>
      </c>
      <c r="G9" t="s">
        <v>17</v>
      </c>
      <c r="H9" t="str">
        <f>TRIM(PROPER(TTrainingSource[[#This Row],[Training_Title2]]))</f>
        <v>Data Analysis Fundamentals</v>
      </c>
      <c r="I9" t="s">
        <v>9</v>
      </c>
      <c r="J9" s="1">
        <v>45068</v>
      </c>
      <c r="K9" t="s">
        <v>46</v>
      </c>
      <c r="L9" s="7">
        <v>6</v>
      </c>
      <c r="M9">
        <f>ROUND(TTrainingSource[[#This Row],[Satisfaction_Score2]],0)</f>
        <v>5</v>
      </c>
      <c r="N9">
        <v>4.7</v>
      </c>
    </row>
    <row r="10" spans="1:14" x14ac:dyDescent="0.3">
      <c r="A10" t="s">
        <v>684</v>
      </c>
      <c r="B10" t="str">
        <f>TRIM(TTrainingSource[[#This Row],[EMPloyee_ID2]])</f>
        <v>EMP10003</v>
      </c>
      <c r="C10" t="str">
        <f>IFERROR(VLOOKUP(TTrainingSource[[#This Row],[Employee_ID]],THrList[],3,FALSE),"")</f>
        <v>GARCIA</v>
      </c>
      <c r="D10" t="str">
        <f>IFERROR(VLOOKUP(TTrainingSource[[#This Row],[Employee_ID]],THrList[],4,FALSE),"")</f>
        <v>Ama</v>
      </c>
      <c r="E10" t="str">
        <f>IFERROR(VLOOKUP(TTrainingSource[[#This Row],[Employee_ID]],THrList[],10,FALSE),"")</f>
        <v>Operations</v>
      </c>
      <c r="F10" t="str">
        <f>TRIM(PROPER(TTrainingSource[[#This Row],[Training_Status2]]))</f>
        <v>In Progress</v>
      </c>
      <c r="G10" t="s">
        <v>8</v>
      </c>
      <c r="H10" t="str">
        <f>TRIM(PROPER(TTrainingSource[[#This Row],[Training_Title2]]))</f>
        <v>Data Visualization Best Practices</v>
      </c>
      <c r="I10" t="s">
        <v>20</v>
      </c>
      <c r="J10" s="1">
        <v>45612</v>
      </c>
      <c r="K10" t="s">
        <v>12</v>
      </c>
      <c r="L10" s="7">
        <v>4</v>
      </c>
      <c r="M10">
        <f>ROUND(TTrainingSource[[#This Row],[Satisfaction_Score2]],0)</f>
        <v>3</v>
      </c>
      <c r="N10">
        <v>2.8</v>
      </c>
    </row>
    <row r="11" spans="1:14" x14ac:dyDescent="0.3">
      <c r="A11" t="s">
        <v>310</v>
      </c>
      <c r="B11" t="str">
        <f>TRIM(TTrainingSource[[#This Row],[EMPloyee_ID2]])</f>
        <v>EMP10004</v>
      </c>
      <c r="C11" t="str">
        <f>IFERROR(VLOOKUP(TTrainingSource[[#This Row],[Employee_ID]],THrList[],3,FALSE),"")</f>
        <v>SMITH</v>
      </c>
      <c r="D11" t="str">
        <f>IFERROR(VLOOKUP(TTrainingSource[[#This Row],[Employee_ID]],THrList[],4,FALSE),"")</f>
        <v>Claire</v>
      </c>
      <c r="E11" t="str">
        <f>IFERROR(VLOOKUP(TTrainingSource[[#This Row],[Employee_ID]],THrList[],10,FALSE),"")</f>
        <v>IT</v>
      </c>
      <c r="F11" t="str">
        <f>TRIM(PROPER(TTrainingSource[[#This Row],[Training_Status2]]))</f>
        <v>Completed</v>
      </c>
      <c r="G11" t="s">
        <v>17</v>
      </c>
      <c r="H11" t="str">
        <f>TRIM(PROPER(TTrainingSource[[#This Row],[Training_Title2]]))</f>
        <v>Data Visualization Best Practices</v>
      </c>
      <c r="I11" t="s">
        <v>20</v>
      </c>
      <c r="J11" s="1">
        <v>45456</v>
      </c>
      <c r="K11" t="s">
        <v>29</v>
      </c>
      <c r="L11" s="7">
        <v>4</v>
      </c>
      <c r="M11">
        <f>ROUND(TTrainingSource[[#This Row],[Satisfaction_Score2]],0)</f>
        <v>4</v>
      </c>
      <c r="N11">
        <v>4</v>
      </c>
    </row>
    <row r="12" spans="1:14" x14ac:dyDescent="0.3">
      <c r="A12" t="s">
        <v>310</v>
      </c>
      <c r="B12" t="str">
        <f>TRIM(TTrainingSource[[#This Row],[EMPloyee_ID2]])</f>
        <v>EMP10004</v>
      </c>
      <c r="C12" t="str">
        <f>IFERROR(VLOOKUP(TTrainingSource[[#This Row],[Employee_ID]],THrList[],3,FALSE),"")</f>
        <v>SMITH</v>
      </c>
      <c r="D12" t="str">
        <f>IFERROR(VLOOKUP(TTrainingSource[[#This Row],[Employee_ID]],THrList[],4,FALSE),"")</f>
        <v>Claire</v>
      </c>
      <c r="E12" t="str">
        <f>IFERROR(VLOOKUP(TTrainingSource[[#This Row],[Employee_ID]],THrList[],10,FALSE),"")</f>
        <v>IT</v>
      </c>
      <c r="F12" t="str">
        <f>TRIM(PROPER(TTrainingSource[[#This Row],[Training_Status2]]))</f>
        <v>Completed</v>
      </c>
      <c r="G12" t="s">
        <v>17</v>
      </c>
      <c r="H12" t="str">
        <f>TRIM(PROPER(TTrainingSource[[#This Row],[Training_Title2]]))</f>
        <v>Customer Data Analysis</v>
      </c>
      <c r="I12" t="s">
        <v>31</v>
      </c>
      <c r="J12" s="1">
        <v>45266</v>
      </c>
      <c r="K12" t="s">
        <v>39</v>
      </c>
      <c r="L12" s="7">
        <v>24</v>
      </c>
      <c r="M12">
        <f>ROUND(TTrainingSource[[#This Row],[Satisfaction_Score2]],0)</f>
        <v>4</v>
      </c>
      <c r="N12">
        <v>3.6</v>
      </c>
    </row>
    <row r="13" spans="1:14" x14ac:dyDescent="0.3">
      <c r="A13" t="s">
        <v>310</v>
      </c>
      <c r="B13" t="str">
        <f>TRIM(TTrainingSource[[#This Row],[EMPloyee_ID2]])</f>
        <v>EMP10004</v>
      </c>
      <c r="C13" t="str">
        <f>IFERROR(VLOOKUP(TTrainingSource[[#This Row],[Employee_ID]],THrList[],3,FALSE),"")</f>
        <v>SMITH</v>
      </c>
      <c r="D13" t="str">
        <f>IFERROR(VLOOKUP(TTrainingSource[[#This Row],[Employee_ID]],THrList[],4,FALSE),"")</f>
        <v>Claire</v>
      </c>
      <c r="E13" t="str">
        <f>IFERROR(VLOOKUP(TTrainingSource[[#This Row],[Employee_ID]],THrList[],10,FALSE),"")</f>
        <v>IT</v>
      </c>
      <c r="F13" t="str">
        <f>TRIM(PROPER(TTrainingSource[[#This Row],[Training_Status2]]))</f>
        <v>In Progress</v>
      </c>
      <c r="G13" t="s">
        <v>8</v>
      </c>
      <c r="H13" t="str">
        <f>TRIM(PROPER(TTrainingSource[[#This Row],[Training_Title2]]))</f>
        <v>Digital Marketing Strategy</v>
      </c>
      <c r="I13" t="s">
        <v>43</v>
      </c>
      <c r="J13" s="1">
        <v>45689</v>
      </c>
      <c r="K13" t="s">
        <v>44</v>
      </c>
      <c r="L13" s="7">
        <v>4</v>
      </c>
      <c r="M13">
        <f>ROUND(TTrainingSource[[#This Row],[Satisfaction_Score2]],0)</f>
        <v>3</v>
      </c>
      <c r="N13">
        <v>2.8</v>
      </c>
    </row>
    <row r="14" spans="1:14" x14ac:dyDescent="0.3">
      <c r="A14" t="s">
        <v>310</v>
      </c>
      <c r="B14" t="str">
        <f>TRIM(TTrainingSource[[#This Row],[EMPloyee_ID2]])</f>
        <v>EMP10004</v>
      </c>
      <c r="C14" t="str">
        <f>IFERROR(VLOOKUP(TTrainingSource[[#This Row],[Employee_ID]],THrList[],3,FALSE),"")</f>
        <v>SMITH</v>
      </c>
      <c r="D14" t="str">
        <f>IFERROR(VLOOKUP(TTrainingSource[[#This Row],[Employee_ID]],THrList[],4,FALSE),"")</f>
        <v>Claire</v>
      </c>
      <c r="E14" t="str">
        <f>IFERROR(VLOOKUP(TTrainingSource[[#This Row],[Employee_ID]],THrList[],10,FALSE),"")</f>
        <v>IT</v>
      </c>
      <c r="F14" t="str">
        <f>TRIM(PROPER(TTrainingSource[[#This Row],[Training_Status2]]))</f>
        <v>Completed</v>
      </c>
      <c r="G14" t="s">
        <v>17</v>
      </c>
      <c r="H14" t="str">
        <f>TRIM(PROPER(TTrainingSource[[#This Row],[Training_Title2]]))</f>
        <v>Advanced Excel For Business</v>
      </c>
      <c r="I14" t="s">
        <v>52</v>
      </c>
      <c r="J14" s="1">
        <v>45028</v>
      </c>
      <c r="K14" t="s">
        <v>46</v>
      </c>
      <c r="L14" s="7">
        <v>4</v>
      </c>
      <c r="M14">
        <f>ROUND(TTrainingSource[[#This Row],[Satisfaction_Score2]],0)</f>
        <v>3</v>
      </c>
      <c r="N14">
        <v>2.8</v>
      </c>
    </row>
    <row r="15" spans="1:14" x14ac:dyDescent="0.3">
      <c r="A15" t="s">
        <v>613</v>
      </c>
      <c r="B15" t="str">
        <f>TRIM(TTrainingSource[[#This Row],[EMPloyee_ID2]])</f>
        <v>EMP10005</v>
      </c>
      <c r="C15" t="str">
        <f>IFERROR(VLOOKUP(TTrainingSource[[#This Row],[Employee_ID]],THrList[],3,FALSE),"")</f>
        <v>TRAORE</v>
      </c>
      <c r="D15" t="str">
        <f>IFERROR(VLOOKUP(TTrainingSource[[#This Row],[Employee_ID]],THrList[],4,FALSE),"")</f>
        <v>Emily</v>
      </c>
      <c r="E15" t="str">
        <f>IFERROR(VLOOKUP(TTrainingSource[[#This Row],[Employee_ID]],THrList[],10,FALSE),"")</f>
        <v>Finance</v>
      </c>
      <c r="F15" t="str">
        <f>TRIM(PROPER(TTrainingSource[[#This Row],[Training_Status2]]))</f>
        <v>Completed</v>
      </c>
      <c r="G15" t="s">
        <v>17</v>
      </c>
      <c r="H15" t="str">
        <f>TRIM(PROPER(TTrainingSource[[#This Row],[Training_Title2]]))</f>
        <v>Financial Modeling Basics</v>
      </c>
      <c r="I15" t="s">
        <v>530</v>
      </c>
      <c r="J15" s="1">
        <v>44603</v>
      </c>
      <c r="K15" t="s">
        <v>29</v>
      </c>
      <c r="L15" s="7">
        <v>4</v>
      </c>
      <c r="M15">
        <f>ROUND(TTrainingSource[[#This Row],[Satisfaction_Score2]],0)</f>
        <v>4</v>
      </c>
      <c r="N15">
        <v>4.4000000000000004</v>
      </c>
    </row>
    <row r="16" spans="1:14" x14ac:dyDescent="0.3">
      <c r="A16" t="s">
        <v>613</v>
      </c>
      <c r="B16" t="str">
        <f>TRIM(TTrainingSource[[#This Row],[EMPloyee_ID2]])</f>
        <v>EMP10005</v>
      </c>
      <c r="C16" t="str">
        <f>IFERROR(VLOOKUP(TTrainingSource[[#This Row],[Employee_ID]],THrList[],3,FALSE),"")</f>
        <v>TRAORE</v>
      </c>
      <c r="D16" t="str">
        <f>IFERROR(VLOOKUP(TTrainingSource[[#This Row],[Employee_ID]],THrList[],4,FALSE),"")</f>
        <v>Emily</v>
      </c>
      <c r="E16" t="str">
        <f>IFERROR(VLOOKUP(TTrainingSource[[#This Row],[Employee_ID]],THrList[],10,FALSE),"")</f>
        <v>Finance</v>
      </c>
      <c r="F16" t="str">
        <f>TRIM(PROPER(TTrainingSource[[#This Row],[Training_Status2]]))</f>
        <v>In Progress</v>
      </c>
      <c r="G16" t="s">
        <v>8</v>
      </c>
      <c r="H16" t="str">
        <f>TRIM(PROPER(TTrainingSource[[#This Row],[Training_Title2]]))</f>
        <v>Digital Marketing Strategy</v>
      </c>
      <c r="I16" t="s">
        <v>43</v>
      </c>
      <c r="J16" s="1">
        <v>45673</v>
      </c>
      <c r="K16" t="s">
        <v>42</v>
      </c>
      <c r="L16" s="7">
        <v>8</v>
      </c>
      <c r="M16">
        <f>ROUND(TTrainingSource[[#This Row],[Satisfaction_Score2]],0)</f>
        <v>3</v>
      </c>
      <c r="N16">
        <v>3.3</v>
      </c>
    </row>
    <row r="17" spans="1:14" x14ac:dyDescent="0.3">
      <c r="A17" t="s">
        <v>758</v>
      </c>
      <c r="B17" t="str">
        <f>TRIM(TTrainingSource[[#This Row],[EMPloyee_ID2]])</f>
        <v>EMP10006</v>
      </c>
      <c r="C17" t="str">
        <f>IFERROR(VLOOKUP(TTrainingSource[[#This Row],[Employee_ID]],THrList[],3,FALSE),"")</f>
        <v>CAMARA</v>
      </c>
      <c r="D17" t="str">
        <f>IFERROR(VLOOKUP(TTrainingSource[[#This Row],[Employee_ID]],THrList[],4,FALSE),"")</f>
        <v>Lucas</v>
      </c>
      <c r="E17" t="str">
        <f>IFERROR(VLOOKUP(TTrainingSource[[#This Row],[Employee_ID]],THrList[],10,FALSE),"")</f>
        <v>Compliance</v>
      </c>
      <c r="F17" t="str">
        <f>TRIM(PROPER(TTrainingSource[[#This Row],[Training_Status2]]))</f>
        <v>Completed</v>
      </c>
      <c r="G17" t="s">
        <v>17</v>
      </c>
      <c r="H17" t="str">
        <f>TRIM(PROPER(TTrainingSource[[#This Row],[Training_Title2]]))</f>
        <v>Business Intelligence With Tableau</v>
      </c>
      <c r="I17" t="s">
        <v>22</v>
      </c>
      <c r="J17" s="1">
        <v>45360</v>
      </c>
      <c r="K17" t="s">
        <v>46</v>
      </c>
      <c r="L17" s="7">
        <v>40</v>
      </c>
      <c r="M17">
        <f>ROUND(TTrainingSource[[#This Row],[Satisfaction_Score2]],0)</f>
        <v>5</v>
      </c>
      <c r="N17">
        <v>4.9000000000000004</v>
      </c>
    </row>
    <row r="18" spans="1:14" x14ac:dyDescent="0.3">
      <c r="A18" t="s">
        <v>355</v>
      </c>
      <c r="B18" t="str">
        <f>TRIM(TTrainingSource[[#This Row],[EMPloyee_ID2]])</f>
        <v>EMP10007</v>
      </c>
      <c r="C18" t="str">
        <f>IFERROR(VLOOKUP(TTrainingSource[[#This Row],[Employee_ID]],THrList[],3,FALSE),"")</f>
        <v>MARTIN</v>
      </c>
      <c r="D18" t="str">
        <f>IFERROR(VLOOKUP(TTrainingSource[[#This Row],[Employee_ID]],THrList[],4,FALSE),"")</f>
        <v>Akosua</v>
      </c>
      <c r="E18" t="str">
        <f>IFERROR(VLOOKUP(TTrainingSource[[#This Row],[Employee_ID]],THrList[],10,FALSE),"")</f>
        <v>Finance</v>
      </c>
      <c r="F18" t="str">
        <f>TRIM(PROPER(TTrainingSource[[#This Row],[Training_Status2]]))</f>
        <v>Completed</v>
      </c>
      <c r="G18" t="s">
        <v>17</v>
      </c>
      <c r="H18" t="str">
        <f>TRIM(PROPER(TTrainingSource[[#This Row],[Training_Title2]]))</f>
        <v>Power Bi Reporting</v>
      </c>
      <c r="I18" t="s">
        <v>95</v>
      </c>
      <c r="J18" s="1">
        <v>45756</v>
      </c>
      <c r="K18" t="s">
        <v>15</v>
      </c>
      <c r="L18" s="7">
        <v>32</v>
      </c>
      <c r="M18">
        <f>ROUND(TTrainingSource[[#This Row],[Satisfaction_Score2]],0)</f>
        <v>4</v>
      </c>
      <c r="N18">
        <v>4.2</v>
      </c>
    </row>
    <row r="19" spans="1:14" x14ac:dyDescent="0.3">
      <c r="A19" t="s">
        <v>355</v>
      </c>
      <c r="B19" t="str">
        <f>TRIM(TTrainingSource[[#This Row],[EMPloyee_ID2]])</f>
        <v>EMP10007</v>
      </c>
      <c r="C19" t="str">
        <f>IFERROR(VLOOKUP(TTrainingSource[[#This Row],[Employee_ID]],THrList[],3,FALSE),"")</f>
        <v>MARTIN</v>
      </c>
      <c r="D19" t="str">
        <f>IFERROR(VLOOKUP(TTrainingSource[[#This Row],[Employee_ID]],THrList[],4,FALSE),"")</f>
        <v>Akosua</v>
      </c>
      <c r="E19" t="str">
        <f>IFERROR(VLOOKUP(TTrainingSource[[#This Row],[Employee_ID]],THrList[],10,FALSE),"")</f>
        <v>Finance</v>
      </c>
      <c r="F19" t="str">
        <f>TRIM(PROPER(TTrainingSource[[#This Row],[Training_Status2]]))</f>
        <v>Completed</v>
      </c>
      <c r="G19" t="s">
        <v>17</v>
      </c>
      <c r="H19" t="str">
        <f>TRIM(PROPER(TTrainingSource[[#This Row],[Training_Title2]]))</f>
        <v>Introduction To Python For Data</v>
      </c>
      <c r="I19" t="s">
        <v>62</v>
      </c>
      <c r="J19" s="1">
        <v>44702</v>
      </c>
      <c r="K19" t="s">
        <v>42</v>
      </c>
      <c r="L19" s="7">
        <v>20</v>
      </c>
      <c r="M19">
        <f>ROUND(TTrainingSource[[#This Row],[Satisfaction_Score2]],0)</f>
        <v>3</v>
      </c>
      <c r="N19">
        <v>2.6</v>
      </c>
    </row>
    <row r="20" spans="1:14" x14ac:dyDescent="0.3">
      <c r="A20" t="s">
        <v>355</v>
      </c>
      <c r="B20" t="str">
        <f>TRIM(TTrainingSource[[#This Row],[EMPloyee_ID2]])</f>
        <v>EMP10007</v>
      </c>
      <c r="C20" t="str">
        <f>IFERROR(VLOOKUP(TTrainingSource[[#This Row],[Employee_ID]],THrList[],3,FALSE),"")</f>
        <v>MARTIN</v>
      </c>
      <c r="D20" t="str">
        <f>IFERROR(VLOOKUP(TTrainingSource[[#This Row],[Employee_ID]],THrList[],4,FALSE),"")</f>
        <v>Akosua</v>
      </c>
      <c r="E20" t="str">
        <f>IFERROR(VLOOKUP(TTrainingSource[[#This Row],[Employee_ID]],THrList[],10,FALSE),"")</f>
        <v>Finance</v>
      </c>
      <c r="F20" t="str">
        <f>TRIM(PROPER(TTrainingSource[[#This Row],[Training_Status2]]))</f>
        <v>In Progress</v>
      </c>
      <c r="G20" t="s">
        <v>8</v>
      </c>
      <c r="H20" t="str">
        <f>TRIM(PROPER(TTrainingSource[[#This Row],[Training_Title2]]))</f>
        <v>Communication For Analysts</v>
      </c>
      <c r="I20" t="s">
        <v>28</v>
      </c>
      <c r="J20" s="1">
        <v>44958</v>
      </c>
      <c r="K20" t="s">
        <v>98</v>
      </c>
      <c r="L20" s="7">
        <v>32</v>
      </c>
      <c r="M20">
        <f>ROUND(TTrainingSource[[#This Row],[Satisfaction_Score2]],0)</f>
        <v>4</v>
      </c>
      <c r="N20">
        <v>4.4000000000000004</v>
      </c>
    </row>
    <row r="21" spans="1:14" x14ac:dyDescent="0.3">
      <c r="A21" t="s">
        <v>355</v>
      </c>
      <c r="B21" t="str">
        <f>TRIM(TTrainingSource[[#This Row],[EMPloyee_ID2]])</f>
        <v>EMP10007</v>
      </c>
      <c r="C21" t="str">
        <f>IFERROR(VLOOKUP(TTrainingSource[[#This Row],[Employee_ID]],THrList[],3,FALSE),"")</f>
        <v>MARTIN</v>
      </c>
      <c r="D21" t="str">
        <f>IFERROR(VLOOKUP(TTrainingSource[[#This Row],[Employee_ID]],THrList[],4,FALSE),"")</f>
        <v>Akosua</v>
      </c>
      <c r="E21" t="str">
        <f>IFERROR(VLOOKUP(TTrainingSource[[#This Row],[Employee_ID]],THrList[],10,FALSE),"")</f>
        <v>Finance</v>
      </c>
      <c r="F21" t="str">
        <f>TRIM(PROPER(TTrainingSource[[#This Row],[Training_Status2]]))</f>
        <v>In Progress</v>
      </c>
      <c r="G21" t="s">
        <v>8</v>
      </c>
      <c r="H21" t="str">
        <f>TRIM(PROPER(TTrainingSource[[#This Row],[Training_Title2]]))</f>
        <v>Data Analysis Fundamentals</v>
      </c>
      <c r="I21" t="s">
        <v>9</v>
      </c>
      <c r="J21" s="1">
        <v>44872</v>
      </c>
      <c r="K21" t="s">
        <v>39</v>
      </c>
      <c r="L21" s="7">
        <v>4</v>
      </c>
      <c r="M21">
        <f>ROUND(TTrainingSource[[#This Row],[Satisfaction_Score2]],0)</f>
        <v>4</v>
      </c>
      <c r="N21">
        <v>3.8</v>
      </c>
    </row>
    <row r="22" spans="1:14" x14ac:dyDescent="0.3">
      <c r="A22" t="s">
        <v>420</v>
      </c>
      <c r="B22" t="str">
        <f>TRIM(TTrainingSource[[#This Row],[EMPloyee_ID2]])</f>
        <v>EMP10008</v>
      </c>
      <c r="C22" t="str">
        <f>IFERROR(VLOOKUP(TTrainingSource[[#This Row],[Employee_ID]],THrList[],3,FALSE),"")</f>
        <v>JACKSON</v>
      </c>
      <c r="D22" t="str">
        <f>IFERROR(VLOOKUP(TTrainingSource[[#This Row],[Employee_ID]],THrList[],4,FALSE),"")</f>
        <v>Amina</v>
      </c>
      <c r="E22" t="str">
        <f>IFERROR(VLOOKUP(TTrainingSource[[#This Row],[Employee_ID]],THrList[],10,FALSE),"")</f>
        <v>Customer Support</v>
      </c>
      <c r="F22" t="str">
        <f>TRIM(PROPER(TTrainingSource[[#This Row],[Training_Status2]]))</f>
        <v>Planned</v>
      </c>
      <c r="G22" t="s">
        <v>19</v>
      </c>
      <c r="H22" t="str">
        <f>TRIM(PROPER(TTrainingSource[[#This Row],[Training_Title2]]))</f>
        <v>Financial Modeling Basics</v>
      </c>
      <c r="I22" t="s">
        <v>38</v>
      </c>
      <c r="J22" s="1">
        <v>45908</v>
      </c>
      <c r="K22" t="s">
        <v>39</v>
      </c>
      <c r="L22" s="7">
        <v>40</v>
      </c>
      <c r="M22">
        <f>ROUND(TTrainingSource[[#This Row],[Satisfaction_Score2]],0)</f>
        <v>4</v>
      </c>
      <c r="N22">
        <v>4.2</v>
      </c>
    </row>
    <row r="23" spans="1:14" x14ac:dyDescent="0.3">
      <c r="A23" t="s">
        <v>420</v>
      </c>
      <c r="B23" t="str">
        <f>TRIM(TTrainingSource[[#This Row],[EMPloyee_ID2]])</f>
        <v>EMP10008</v>
      </c>
      <c r="C23" t="str">
        <f>IFERROR(VLOOKUP(TTrainingSource[[#This Row],[Employee_ID]],THrList[],3,FALSE),"")</f>
        <v>JACKSON</v>
      </c>
      <c r="D23" t="str">
        <f>IFERROR(VLOOKUP(TTrainingSource[[#This Row],[Employee_ID]],THrList[],4,FALSE),"")</f>
        <v>Amina</v>
      </c>
      <c r="E23" t="str">
        <f>IFERROR(VLOOKUP(TTrainingSource[[#This Row],[Employee_ID]],THrList[],10,FALSE),"")</f>
        <v>Customer Support</v>
      </c>
      <c r="F23" t="str">
        <f>TRIM(PROPER(TTrainingSource[[#This Row],[Training_Status2]]))</f>
        <v>Completed</v>
      </c>
      <c r="G23" t="s">
        <v>17</v>
      </c>
      <c r="H23" t="str">
        <f>TRIM(PROPER(TTrainingSource[[#This Row],[Training_Title2]]))</f>
        <v>Data Visualization Best Practices</v>
      </c>
      <c r="I23" t="s">
        <v>20</v>
      </c>
      <c r="J23" s="1">
        <v>44653</v>
      </c>
      <c r="K23" t="s">
        <v>98</v>
      </c>
      <c r="L23" s="7">
        <v>40</v>
      </c>
      <c r="M23">
        <f>ROUND(TTrainingSource[[#This Row],[Satisfaction_Score2]],0)</f>
        <v>3</v>
      </c>
      <c r="N23">
        <v>2.7</v>
      </c>
    </row>
    <row r="24" spans="1:14" x14ac:dyDescent="0.3">
      <c r="A24" t="s">
        <v>420</v>
      </c>
      <c r="B24" t="str">
        <f>TRIM(TTrainingSource[[#This Row],[EMPloyee_ID2]])</f>
        <v>EMP10008</v>
      </c>
      <c r="C24" t="str">
        <f>IFERROR(VLOOKUP(TTrainingSource[[#This Row],[Employee_ID]],THrList[],3,FALSE),"")</f>
        <v>JACKSON</v>
      </c>
      <c r="D24" t="str">
        <f>IFERROR(VLOOKUP(TTrainingSource[[#This Row],[Employee_ID]],THrList[],4,FALSE),"")</f>
        <v>Amina</v>
      </c>
      <c r="E24" t="str">
        <f>IFERROR(VLOOKUP(TTrainingSource[[#This Row],[Employee_ID]],THrList[],10,FALSE),"")</f>
        <v>Customer Support</v>
      </c>
      <c r="F24" t="str">
        <f>TRIM(PROPER(TTrainingSource[[#This Row],[Training_Status2]]))</f>
        <v>Planned</v>
      </c>
      <c r="G24" t="s">
        <v>10</v>
      </c>
      <c r="H24" t="str">
        <f>TRIM(PROPER(TTrainingSource[[#This Row],[Training_Title2]]))</f>
        <v>Project Management Essentials</v>
      </c>
      <c r="I24" t="s">
        <v>14</v>
      </c>
      <c r="J24" s="1">
        <v>44621</v>
      </c>
      <c r="K24" t="s">
        <v>44</v>
      </c>
      <c r="L24" s="7">
        <v>24</v>
      </c>
      <c r="M24">
        <f>ROUND(TTrainingSource[[#This Row],[Satisfaction_Score2]],0)</f>
        <v>3</v>
      </c>
      <c r="N24">
        <v>3.2</v>
      </c>
    </row>
    <row r="25" spans="1:14" x14ac:dyDescent="0.3">
      <c r="A25" t="s">
        <v>420</v>
      </c>
      <c r="B25" t="str">
        <f>TRIM(TTrainingSource[[#This Row],[EMPloyee_ID2]])</f>
        <v>EMP10008</v>
      </c>
      <c r="C25" t="str">
        <f>IFERROR(VLOOKUP(TTrainingSource[[#This Row],[Employee_ID]],THrList[],3,FALSE),"")</f>
        <v>JACKSON</v>
      </c>
      <c r="D25" t="str">
        <f>IFERROR(VLOOKUP(TTrainingSource[[#This Row],[Employee_ID]],THrList[],4,FALSE),"")</f>
        <v>Amina</v>
      </c>
      <c r="E25" t="str">
        <f>IFERROR(VLOOKUP(TTrainingSource[[#This Row],[Employee_ID]],THrList[],10,FALSE),"")</f>
        <v>Customer Support</v>
      </c>
      <c r="F25" t="str">
        <f>TRIM(PROPER(TTrainingSource[[#This Row],[Training_Status2]]))</f>
        <v>In Progress</v>
      </c>
      <c r="G25" t="s">
        <v>8</v>
      </c>
      <c r="H25" t="str">
        <f>TRIM(PROPER(TTrainingSource[[#This Row],[Training_Title2]]))</f>
        <v>Digital Marketing Strategy</v>
      </c>
      <c r="I25" t="s">
        <v>43</v>
      </c>
      <c r="J25" s="1">
        <v>44592</v>
      </c>
      <c r="K25" t="s">
        <v>32</v>
      </c>
      <c r="L25" s="7">
        <v>4</v>
      </c>
      <c r="M25">
        <f>ROUND(TTrainingSource[[#This Row],[Satisfaction_Score2]],0)</f>
        <v>3</v>
      </c>
      <c r="N25">
        <v>3.4</v>
      </c>
    </row>
    <row r="26" spans="1:14" x14ac:dyDescent="0.3">
      <c r="A26" t="s">
        <v>100</v>
      </c>
      <c r="B26" t="str">
        <f>TRIM(TTrainingSource[[#This Row],[EMPloyee_ID2]])</f>
        <v>EMP10010</v>
      </c>
      <c r="C26" t="str">
        <f>IFERROR(VLOOKUP(TTrainingSource[[#This Row],[Employee_ID]],THrList[],3,FALSE),"")</f>
        <v>SOW</v>
      </c>
      <c r="D26" t="str">
        <f>IFERROR(VLOOKUP(TTrainingSource[[#This Row],[Employee_ID]],THrList[],4,FALSE),"")</f>
        <v>Mia</v>
      </c>
      <c r="E26" t="str">
        <f>IFERROR(VLOOKUP(TTrainingSource[[#This Row],[Employee_ID]],THrList[],10,FALSE),"")</f>
        <v>Finance</v>
      </c>
      <c r="F26" t="str">
        <f>TRIM(PROPER(TTrainingSource[[#This Row],[Training_Status2]]))</f>
        <v>Completed</v>
      </c>
      <c r="G26" t="s">
        <v>17</v>
      </c>
      <c r="H26" t="str">
        <f>TRIM(PROPER(TTrainingSource[[#This Row],[Training_Title2]]))</f>
        <v>Introduction To Python For Data</v>
      </c>
      <c r="I26" t="s">
        <v>101</v>
      </c>
      <c r="J26" s="1">
        <v>45719</v>
      </c>
      <c r="K26" t="s">
        <v>44</v>
      </c>
      <c r="L26" s="7">
        <v>12</v>
      </c>
      <c r="M26">
        <f>ROUND(TTrainingSource[[#This Row],[Satisfaction_Score2]],0)</f>
        <v>5</v>
      </c>
      <c r="N26">
        <v>4.5999999999999996</v>
      </c>
    </row>
    <row r="27" spans="1:14" x14ac:dyDescent="0.3">
      <c r="A27" t="s">
        <v>100</v>
      </c>
      <c r="B27" t="str">
        <f>TRIM(TTrainingSource[[#This Row],[EMPloyee_ID2]])</f>
        <v>EMP10010</v>
      </c>
      <c r="C27" t="str">
        <f>IFERROR(VLOOKUP(TTrainingSource[[#This Row],[Employee_ID]],THrList[],3,FALSE),"")</f>
        <v>SOW</v>
      </c>
      <c r="D27" t="str">
        <f>IFERROR(VLOOKUP(TTrainingSource[[#This Row],[Employee_ID]],THrList[],4,FALSE),"")</f>
        <v>Mia</v>
      </c>
      <c r="E27" t="str">
        <f>IFERROR(VLOOKUP(TTrainingSource[[#This Row],[Employee_ID]],THrList[],10,FALSE),"")</f>
        <v>Finance</v>
      </c>
      <c r="F27" t="str">
        <f>TRIM(PROPER(TTrainingSource[[#This Row],[Training_Status2]]))</f>
        <v>Completed</v>
      </c>
      <c r="G27" t="s">
        <v>17</v>
      </c>
      <c r="H27" t="str">
        <f>TRIM(PROPER(TTrainingSource[[#This Row],[Training_Title2]]))</f>
        <v>Digital Marketing Strategy</v>
      </c>
      <c r="I27" t="s">
        <v>43</v>
      </c>
      <c r="J27" s="1">
        <v>45024</v>
      </c>
      <c r="K27" t="s">
        <v>42</v>
      </c>
      <c r="L27" s="7">
        <v>4</v>
      </c>
      <c r="M27">
        <f>ROUND(TTrainingSource[[#This Row],[Satisfaction_Score2]],0)</f>
        <v>3</v>
      </c>
      <c r="N27">
        <v>3.2</v>
      </c>
    </row>
    <row r="28" spans="1:14" x14ac:dyDescent="0.3">
      <c r="A28" t="s">
        <v>100</v>
      </c>
      <c r="B28" t="str">
        <f>TRIM(TTrainingSource[[#This Row],[EMPloyee_ID2]])</f>
        <v>EMP10010</v>
      </c>
      <c r="C28" t="str">
        <f>IFERROR(VLOOKUP(TTrainingSource[[#This Row],[Employee_ID]],THrList[],3,FALSE),"")</f>
        <v>SOW</v>
      </c>
      <c r="D28" t="str">
        <f>IFERROR(VLOOKUP(TTrainingSource[[#This Row],[Employee_ID]],THrList[],4,FALSE),"")</f>
        <v>Mia</v>
      </c>
      <c r="E28" t="str">
        <f>IFERROR(VLOOKUP(TTrainingSource[[#This Row],[Employee_ID]],THrList[],10,FALSE),"")</f>
        <v>Finance</v>
      </c>
      <c r="F28" t="str">
        <f>TRIM(PROPER(TTrainingSource[[#This Row],[Training_Status2]]))</f>
        <v>Planned</v>
      </c>
      <c r="G28" t="s">
        <v>19</v>
      </c>
      <c r="H28" t="str">
        <f>TRIM(PROPER(TTrainingSource[[#This Row],[Training_Title2]]))</f>
        <v>Financial Modeling Basics</v>
      </c>
      <c r="I28" t="s">
        <v>164</v>
      </c>
      <c r="J28" s="1">
        <v>45618</v>
      </c>
      <c r="K28" t="s">
        <v>46</v>
      </c>
      <c r="L28" s="7">
        <v>0</v>
      </c>
      <c r="M28">
        <f>ROUND(TTrainingSource[[#This Row],[Satisfaction_Score2]],0)</f>
        <v>3</v>
      </c>
      <c r="N28">
        <v>3.3</v>
      </c>
    </row>
    <row r="29" spans="1:14" x14ac:dyDescent="0.3">
      <c r="A29" t="s">
        <v>100</v>
      </c>
      <c r="B29" t="str">
        <f>TRIM(TTrainingSource[[#This Row],[EMPloyee_ID2]])</f>
        <v>EMP10010</v>
      </c>
      <c r="C29" t="str">
        <f>IFERROR(VLOOKUP(TTrainingSource[[#This Row],[Employee_ID]],THrList[],3,FALSE),"")</f>
        <v>SOW</v>
      </c>
      <c r="D29" t="str">
        <f>IFERROR(VLOOKUP(TTrainingSource[[#This Row],[Employee_ID]],THrList[],4,FALSE),"")</f>
        <v>Mia</v>
      </c>
      <c r="E29" t="str">
        <f>IFERROR(VLOOKUP(TTrainingSource[[#This Row],[Employee_ID]],THrList[],10,FALSE),"")</f>
        <v>Finance</v>
      </c>
      <c r="F29" t="str">
        <f>TRIM(PROPER(TTrainingSource[[#This Row],[Training_Status2]]))</f>
        <v>Completed</v>
      </c>
      <c r="G29" t="s">
        <v>69</v>
      </c>
      <c r="H29" t="str">
        <f>TRIM(PROPER(TTrainingSource[[#This Row],[Training_Title2]]))</f>
        <v>Customer Data Analysis</v>
      </c>
      <c r="I29" t="s">
        <v>31</v>
      </c>
      <c r="J29" s="1">
        <v>44981</v>
      </c>
      <c r="K29" t="s">
        <v>42</v>
      </c>
      <c r="L29" s="7">
        <v>20</v>
      </c>
      <c r="M29">
        <f>ROUND(TTrainingSource[[#This Row],[Satisfaction_Score2]],0)</f>
        <v>3</v>
      </c>
      <c r="N29">
        <v>3.3</v>
      </c>
    </row>
    <row r="30" spans="1:14" x14ac:dyDescent="0.3">
      <c r="A30" t="s">
        <v>100</v>
      </c>
      <c r="B30" t="str">
        <f>TRIM(TTrainingSource[[#This Row],[EMPloyee_ID2]])</f>
        <v>EMP10010</v>
      </c>
      <c r="C30" t="str">
        <f>IFERROR(VLOOKUP(TTrainingSource[[#This Row],[Employee_ID]],THrList[],3,FALSE),"")</f>
        <v>SOW</v>
      </c>
      <c r="D30" t="str">
        <f>IFERROR(VLOOKUP(TTrainingSource[[#This Row],[Employee_ID]],THrList[],4,FALSE),"")</f>
        <v>Mia</v>
      </c>
      <c r="E30" t="str">
        <f>IFERROR(VLOOKUP(TTrainingSource[[#This Row],[Employee_ID]],THrList[],10,FALSE),"")</f>
        <v>Finance</v>
      </c>
      <c r="F30" t="str">
        <f>TRIM(PROPER(TTrainingSource[[#This Row],[Training_Status2]]))</f>
        <v>Completed</v>
      </c>
      <c r="G30" t="s">
        <v>69</v>
      </c>
      <c r="H30" t="str">
        <f>TRIM(PROPER(TTrainingSource[[#This Row],[Training_Title2]]))</f>
        <v>Data Visualization Best Practices</v>
      </c>
      <c r="I30" t="s">
        <v>20</v>
      </c>
      <c r="J30" s="1">
        <v>44590</v>
      </c>
      <c r="K30" t="s">
        <v>98</v>
      </c>
      <c r="L30" s="7">
        <v>8</v>
      </c>
      <c r="M30">
        <f>ROUND(TTrainingSource[[#This Row],[Satisfaction_Score2]],0)</f>
        <v>5</v>
      </c>
      <c r="N30">
        <v>5</v>
      </c>
    </row>
    <row r="31" spans="1:14" x14ac:dyDescent="0.3">
      <c r="A31" t="s">
        <v>100</v>
      </c>
      <c r="B31" t="str">
        <f>TRIM(TTrainingSource[[#This Row],[EMPloyee_ID2]])</f>
        <v>EMP10010</v>
      </c>
      <c r="C31" t="str">
        <f>IFERROR(VLOOKUP(TTrainingSource[[#This Row],[Employee_ID]],THrList[],3,FALSE),"")</f>
        <v>SOW</v>
      </c>
      <c r="D31" t="str">
        <f>IFERROR(VLOOKUP(TTrainingSource[[#This Row],[Employee_ID]],THrList[],4,FALSE),"")</f>
        <v>Mia</v>
      </c>
      <c r="E31" t="str">
        <f>IFERROR(VLOOKUP(TTrainingSource[[#This Row],[Employee_ID]],THrList[],10,FALSE),"")</f>
        <v>Finance</v>
      </c>
      <c r="F31" t="str">
        <f>TRIM(PROPER(TTrainingSource[[#This Row],[Training_Status2]]))</f>
        <v>In Progress</v>
      </c>
      <c r="G31" t="s">
        <v>8</v>
      </c>
      <c r="H31" t="str">
        <f>TRIM(PROPER(TTrainingSource[[#This Row],[Training_Title2]]))</f>
        <v>Business Intelligence With Tableau</v>
      </c>
      <c r="I31" t="s">
        <v>517</v>
      </c>
      <c r="J31" s="1">
        <v>45631</v>
      </c>
      <c r="K31" t="s">
        <v>42</v>
      </c>
      <c r="L31" s="7">
        <v>16</v>
      </c>
      <c r="M31">
        <f>ROUND(TTrainingSource[[#This Row],[Satisfaction_Score2]],0)</f>
        <v>4</v>
      </c>
      <c r="N31">
        <v>3.8</v>
      </c>
    </row>
    <row r="32" spans="1:14" x14ac:dyDescent="0.3">
      <c r="A32" t="s">
        <v>68</v>
      </c>
      <c r="B32" t="str">
        <f>TRIM(TTrainingSource[[#This Row],[EMPloyee_ID2]])</f>
        <v>EMP10011</v>
      </c>
      <c r="C32" t="str">
        <f>IFERROR(VLOOKUP(TTrainingSource[[#This Row],[Employee_ID]],THrList[],3,FALSE),"")</f>
        <v>RODRIGUEZ</v>
      </c>
      <c r="D32" t="str">
        <f>IFERROR(VLOOKUP(TTrainingSource[[#This Row],[Employee_ID]],THrList[],4,FALSE),"")</f>
        <v>Olivia</v>
      </c>
      <c r="E32" t="str">
        <f>IFERROR(VLOOKUP(TTrainingSource[[#This Row],[Employee_ID]],THrList[],10,FALSE),"")</f>
        <v>IT</v>
      </c>
      <c r="F32" t="str">
        <f>TRIM(PROPER(TTrainingSource[[#This Row],[Training_Status2]]))</f>
        <v>Completed</v>
      </c>
      <c r="G32" t="s">
        <v>69</v>
      </c>
      <c r="H32" t="str">
        <f>TRIM(PROPER(TTrainingSource[[#This Row],[Training_Title2]]))</f>
        <v>Sql For Data Analytics</v>
      </c>
      <c r="I32" t="s">
        <v>11</v>
      </c>
      <c r="J32" s="1">
        <v>44670</v>
      </c>
      <c r="K32" t="s">
        <v>44</v>
      </c>
      <c r="L32" s="7">
        <v>8</v>
      </c>
      <c r="M32">
        <f>ROUND(TTrainingSource[[#This Row],[Satisfaction_Score2]],0)</f>
        <v>3</v>
      </c>
      <c r="N32">
        <v>3.3</v>
      </c>
    </row>
    <row r="33" spans="1:14" x14ac:dyDescent="0.3">
      <c r="A33" t="s">
        <v>68</v>
      </c>
      <c r="B33" t="str">
        <f>TRIM(TTrainingSource[[#This Row],[EMPloyee_ID2]])</f>
        <v>EMP10011</v>
      </c>
      <c r="C33" t="str">
        <f>IFERROR(VLOOKUP(TTrainingSource[[#This Row],[Employee_ID]],THrList[],3,FALSE),"")</f>
        <v>RODRIGUEZ</v>
      </c>
      <c r="D33" t="str">
        <f>IFERROR(VLOOKUP(TTrainingSource[[#This Row],[Employee_ID]],THrList[],4,FALSE),"")</f>
        <v>Olivia</v>
      </c>
      <c r="E33" t="str">
        <f>IFERROR(VLOOKUP(TTrainingSource[[#This Row],[Employee_ID]],THrList[],10,FALSE),"")</f>
        <v>IT</v>
      </c>
      <c r="F33" t="str">
        <f>TRIM(PROPER(TTrainingSource[[#This Row],[Training_Status2]]))</f>
        <v>Planned</v>
      </c>
      <c r="G33" t="s">
        <v>19</v>
      </c>
      <c r="H33" t="str">
        <f>TRIM(PROPER(TTrainingSource[[#This Row],[Training_Title2]]))</f>
        <v>Digital Marketing Strategy</v>
      </c>
      <c r="I33" t="s">
        <v>43</v>
      </c>
      <c r="J33" s="1">
        <v>44867</v>
      </c>
      <c r="K33" t="s">
        <v>98</v>
      </c>
      <c r="L33" s="7">
        <v>40</v>
      </c>
      <c r="M33">
        <f>ROUND(TTrainingSource[[#This Row],[Satisfaction_Score2]],0)</f>
        <v>4</v>
      </c>
      <c r="N33">
        <v>3.6</v>
      </c>
    </row>
    <row r="34" spans="1:14" x14ac:dyDescent="0.3">
      <c r="A34" t="s">
        <v>620</v>
      </c>
      <c r="B34" t="str">
        <f>TRIM(TTrainingSource[[#This Row],[EMPloyee_ID2]])</f>
        <v>EMP10012</v>
      </c>
      <c r="C34" t="str">
        <f>IFERROR(VLOOKUP(TTrainingSource[[#This Row],[Employee_ID]],THrList[],3,FALSE),"")</f>
        <v>CAMARA</v>
      </c>
      <c r="D34" t="str">
        <f>IFERROR(VLOOKUP(TTrainingSource[[#This Row],[Employee_ID]],THrList[],4,FALSE),"")</f>
        <v>Layla</v>
      </c>
      <c r="E34" t="str">
        <f>IFERROR(VLOOKUP(TTrainingSource[[#This Row],[Employee_ID]],THrList[],10,FALSE),"")</f>
        <v>IT</v>
      </c>
      <c r="F34" t="str">
        <f>TRIM(PROPER(TTrainingSource[[#This Row],[Training_Status2]]))</f>
        <v>In Progress</v>
      </c>
      <c r="G34" t="s">
        <v>8</v>
      </c>
      <c r="H34" t="str">
        <f>TRIM(PROPER(TTrainingSource[[#This Row],[Training_Title2]]))</f>
        <v>Financial Modeling Basics</v>
      </c>
      <c r="I34" t="s">
        <v>94</v>
      </c>
      <c r="J34" s="1">
        <v>45368</v>
      </c>
      <c r="K34" t="s">
        <v>46</v>
      </c>
      <c r="L34" s="7">
        <v>24</v>
      </c>
      <c r="M34">
        <f>ROUND(TTrainingSource[[#This Row],[Satisfaction_Score2]],0)</f>
        <v>3</v>
      </c>
      <c r="N34">
        <v>2.9</v>
      </c>
    </row>
    <row r="35" spans="1:14" x14ac:dyDescent="0.3">
      <c r="A35" t="s">
        <v>719</v>
      </c>
      <c r="B35" t="str">
        <f>TRIM(TTrainingSource[[#This Row],[EMPloyee_ID2]])</f>
        <v>EMP10013</v>
      </c>
      <c r="C35" t="str">
        <f>IFERROR(VLOOKUP(TTrainingSource[[#This Row],[Employee_ID]],THrList[],3,FALSE),"")</f>
        <v>HASSAN</v>
      </c>
      <c r="D35" t="str">
        <f>IFERROR(VLOOKUP(TTrainingSource[[#This Row],[Employee_ID]],THrList[],4,FALSE),"")</f>
        <v>Kofi</v>
      </c>
      <c r="E35" t="str">
        <f>IFERROR(VLOOKUP(TTrainingSource[[#This Row],[Employee_ID]],THrList[],10,FALSE),"")</f>
        <v>Human Resources</v>
      </c>
      <c r="F35" t="str">
        <f>TRIM(PROPER(TTrainingSource[[#This Row],[Training_Status2]]))</f>
        <v>Completed</v>
      </c>
      <c r="G35" t="s">
        <v>17</v>
      </c>
      <c r="H35" t="str">
        <f>TRIM(PROPER(TTrainingSource[[#This Row],[Training_Title2]]))</f>
        <v>Communication For Analysts</v>
      </c>
      <c r="I35" t="s">
        <v>28</v>
      </c>
      <c r="J35" s="1">
        <v>45195</v>
      </c>
      <c r="K35" t="s">
        <v>32</v>
      </c>
      <c r="L35" s="7">
        <v>4</v>
      </c>
      <c r="M35">
        <f>ROUND(TTrainingSource[[#This Row],[Satisfaction_Score2]],0)</f>
        <v>3</v>
      </c>
      <c r="N35">
        <v>2.9</v>
      </c>
    </row>
    <row r="36" spans="1:14" x14ac:dyDescent="0.3">
      <c r="A36" t="s">
        <v>719</v>
      </c>
      <c r="B36" t="str">
        <f>TRIM(TTrainingSource[[#This Row],[EMPloyee_ID2]])</f>
        <v>EMP10013</v>
      </c>
      <c r="C36" t="str">
        <f>IFERROR(VLOOKUP(TTrainingSource[[#This Row],[Employee_ID]],THrList[],3,FALSE),"")</f>
        <v>HASSAN</v>
      </c>
      <c r="D36" t="str">
        <f>IFERROR(VLOOKUP(TTrainingSource[[#This Row],[Employee_ID]],THrList[],4,FALSE),"")</f>
        <v>Kofi</v>
      </c>
      <c r="E36" t="str">
        <f>IFERROR(VLOOKUP(TTrainingSource[[#This Row],[Employee_ID]],THrList[],10,FALSE),"")</f>
        <v>Human Resources</v>
      </c>
      <c r="F36" t="str">
        <f>TRIM(PROPER(TTrainingSource[[#This Row],[Training_Status2]]))</f>
        <v>Completed</v>
      </c>
      <c r="G36" t="s">
        <v>17</v>
      </c>
      <c r="H36" t="str">
        <f>TRIM(PROPER(TTrainingSource[[#This Row],[Training_Title2]]))</f>
        <v>Data Analysis Fundamentals</v>
      </c>
      <c r="I36" t="s">
        <v>9</v>
      </c>
      <c r="J36" s="1">
        <v>45680</v>
      </c>
      <c r="K36" t="s">
        <v>44</v>
      </c>
      <c r="L36" s="7">
        <v>16</v>
      </c>
      <c r="M36">
        <f>ROUND(TTrainingSource[[#This Row],[Satisfaction_Score2]],0)</f>
        <v>5</v>
      </c>
      <c r="N36">
        <v>4.5999999999999996</v>
      </c>
    </row>
    <row r="37" spans="1:14" x14ac:dyDescent="0.3">
      <c r="A37" t="s">
        <v>281</v>
      </c>
      <c r="B37" t="str">
        <f>TRIM(TTrainingSource[[#This Row],[EMPloyee_ID2]])</f>
        <v>EMP10015</v>
      </c>
      <c r="C37" t="str">
        <f>IFERROR(VLOOKUP(TTrainingSource[[#This Row],[Employee_ID]],THrList[],3,FALSE),"")</f>
        <v>JONES</v>
      </c>
      <c r="D37" t="str">
        <f>IFERROR(VLOOKUP(TTrainingSource[[#This Row],[Employee_ID]],THrList[],4,FALSE),"")</f>
        <v>Chinedu</v>
      </c>
      <c r="E37" t="str">
        <f>IFERROR(VLOOKUP(TTrainingSource[[#This Row],[Employee_ID]],THrList[],10,FALSE),"")</f>
        <v>Customer Support</v>
      </c>
      <c r="F37" t="str">
        <f>TRIM(PROPER(TTrainingSource[[#This Row],[Training_Status2]]))</f>
        <v>Completed</v>
      </c>
      <c r="G37" t="s">
        <v>17</v>
      </c>
      <c r="H37" t="str">
        <f>TRIM(PROPER(TTrainingSource[[#This Row],[Training_Title2]]))</f>
        <v>Advanced Excel For Business</v>
      </c>
      <c r="I37" t="s">
        <v>282</v>
      </c>
      <c r="J37" s="1">
        <v>44824</v>
      </c>
      <c r="K37" t="s">
        <v>1072</v>
      </c>
      <c r="L37" s="7">
        <v>20</v>
      </c>
      <c r="M37">
        <f>ROUND(TTrainingSource[[#This Row],[Satisfaction_Score2]],0)</f>
        <v>3</v>
      </c>
      <c r="N37">
        <v>3.1</v>
      </c>
    </row>
    <row r="38" spans="1:14" x14ac:dyDescent="0.3">
      <c r="A38" t="s">
        <v>281</v>
      </c>
      <c r="B38" t="str">
        <f>TRIM(TTrainingSource[[#This Row],[EMPloyee_ID2]])</f>
        <v>EMP10015</v>
      </c>
      <c r="C38" t="str">
        <f>IFERROR(VLOOKUP(TTrainingSource[[#This Row],[Employee_ID]],THrList[],3,FALSE),"")</f>
        <v>JONES</v>
      </c>
      <c r="D38" t="str">
        <f>IFERROR(VLOOKUP(TTrainingSource[[#This Row],[Employee_ID]],THrList[],4,FALSE),"")</f>
        <v>Chinedu</v>
      </c>
      <c r="E38" t="str">
        <f>IFERROR(VLOOKUP(TTrainingSource[[#This Row],[Employee_ID]],THrList[],10,FALSE),"")</f>
        <v>Customer Support</v>
      </c>
      <c r="F38" t="str">
        <f>TRIM(PROPER(TTrainingSource[[#This Row],[Training_Status2]]))</f>
        <v>Planned</v>
      </c>
      <c r="G38" t="s">
        <v>19</v>
      </c>
      <c r="H38" t="str">
        <f>TRIM(PROPER(TTrainingSource[[#This Row],[Training_Title2]]))</f>
        <v>Sql For Data Analytics</v>
      </c>
      <c r="I38" t="s">
        <v>26</v>
      </c>
      <c r="J38" s="1">
        <v>45328</v>
      </c>
      <c r="K38" t="s">
        <v>42</v>
      </c>
      <c r="L38" s="7">
        <v>12</v>
      </c>
      <c r="M38">
        <f>ROUND(TTrainingSource[[#This Row],[Satisfaction_Score2]],0)</f>
        <v>3</v>
      </c>
      <c r="N38">
        <v>3</v>
      </c>
    </row>
    <row r="39" spans="1:14" x14ac:dyDescent="0.3">
      <c r="A39" t="s">
        <v>542</v>
      </c>
      <c r="B39" t="str">
        <f>TRIM(TTrainingSource[[#This Row],[EMPloyee_ID2]])</f>
        <v>EMP10015</v>
      </c>
      <c r="C39" t="str">
        <f>IFERROR(VLOOKUP(TTrainingSource[[#This Row],[Employee_ID]],THrList[],3,FALSE),"")</f>
        <v>JONES</v>
      </c>
      <c r="D39" t="str">
        <f>IFERROR(VLOOKUP(TTrainingSource[[#This Row],[Employee_ID]],THrList[],4,FALSE),"")</f>
        <v>Chinedu</v>
      </c>
      <c r="E39" t="str">
        <f>IFERROR(VLOOKUP(TTrainingSource[[#This Row],[Employee_ID]],THrList[],10,FALSE),"")</f>
        <v>Customer Support</v>
      </c>
      <c r="F39" t="str">
        <f>TRIM(PROPER(TTrainingSource[[#This Row],[Training_Status2]]))</f>
        <v>Completed</v>
      </c>
      <c r="G39" t="s">
        <v>17</v>
      </c>
      <c r="H39" t="str">
        <f>TRIM(PROPER(TTrainingSource[[#This Row],[Training_Title2]]))</f>
        <v>Customer Data Analysis</v>
      </c>
      <c r="I39" t="s">
        <v>31</v>
      </c>
      <c r="J39" s="1">
        <v>45275</v>
      </c>
      <c r="K39" t="s">
        <v>1072</v>
      </c>
      <c r="L39" s="7">
        <v>0</v>
      </c>
      <c r="M39">
        <f>ROUND(TTrainingSource[[#This Row],[Satisfaction_Score2]],0)</f>
        <v>4</v>
      </c>
      <c r="N39">
        <v>3.6</v>
      </c>
    </row>
    <row r="40" spans="1:14" x14ac:dyDescent="0.3">
      <c r="A40" t="s">
        <v>656</v>
      </c>
      <c r="B40" t="str">
        <f>TRIM(TTrainingSource[[#This Row],[EMPloyee_ID2]])</f>
        <v>EMP10016</v>
      </c>
      <c r="C40" t="str">
        <f>IFERROR(VLOOKUP(TTrainingSource[[#This Row],[Employee_ID]],THrList[],3,FALSE),"")</f>
        <v>FOURNIER</v>
      </c>
      <c r="D40" t="str">
        <f>IFERROR(VLOOKUP(TTrainingSource[[#This Row],[Employee_ID]],THrList[],4,FALSE),"")</f>
        <v>Layla</v>
      </c>
      <c r="E40" t="str">
        <f>IFERROR(VLOOKUP(TTrainingSource[[#This Row],[Employee_ID]],THrList[],10,FALSE),"")</f>
        <v>Sales</v>
      </c>
      <c r="F40" t="str">
        <f>TRIM(PROPER(TTrainingSource[[#This Row],[Training_Status2]]))</f>
        <v>In Progress</v>
      </c>
      <c r="G40" t="s">
        <v>8</v>
      </c>
      <c r="H40" t="str">
        <f>TRIM(PROPER(TTrainingSource[[#This Row],[Training_Title2]]))</f>
        <v>Sql For Data Analytics</v>
      </c>
      <c r="I40" t="s">
        <v>418</v>
      </c>
      <c r="J40" s="1">
        <v>45248</v>
      </c>
      <c r="K40" t="s">
        <v>46</v>
      </c>
      <c r="L40" s="7">
        <v>20</v>
      </c>
      <c r="M40">
        <f>ROUND(TTrainingSource[[#This Row],[Satisfaction_Score2]],0)</f>
        <v>4</v>
      </c>
      <c r="N40">
        <v>3.8</v>
      </c>
    </row>
    <row r="41" spans="1:14" x14ac:dyDescent="0.3">
      <c r="A41" t="s">
        <v>656</v>
      </c>
      <c r="B41" t="str">
        <f>TRIM(TTrainingSource[[#This Row],[EMPloyee_ID2]])</f>
        <v>EMP10016</v>
      </c>
      <c r="C41" t="str">
        <f>IFERROR(VLOOKUP(TTrainingSource[[#This Row],[Employee_ID]],THrList[],3,FALSE),"")</f>
        <v>FOURNIER</v>
      </c>
      <c r="D41" t="str">
        <f>IFERROR(VLOOKUP(TTrainingSource[[#This Row],[Employee_ID]],THrList[],4,FALSE),"")</f>
        <v>Layla</v>
      </c>
      <c r="E41" t="str">
        <f>IFERROR(VLOOKUP(TTrainingSource[[#This Row],[Employee_ID]],THrList[],10,FALSE),"")</f>
        <v>Sales</v>
      </c>
      <c r="F41" t="str">
        <f>TRIM(PROPER(TTrainingSource[[#This Row],[Training_Status2]]))</f>
        <v>In Progress</v>
      </c>
      <c r="G41" t="s">
        <v>8</v>
      </c>
      <c r="H41" t="str">
        <f>TRIM(PROPER(TTrainingSource[[#This Row],[Training_Title2]]))</f>
        <v>Communication For Analysts</v>
      </c>
      <c r="I41" t="s">
        <v>401</v>
      </c>
      <c r="J41" s="1">
        <v>44701</v>
      </c>
      <c r="K41" t="s">
        <v>44</v>
      </c>
      <c r="L41" s="7">
        <v>40</v>
      </c>
      <c r="M41">
        <f>ROUND(TTrainingSource[[#This Row],[Satisfaction_Score2]],0)</f>
        <v>4</v>
      </c>
      <c r="N41">
        <v>4.2</v>
      </c>
    </row>
    <row r="42" spans="1:14" x14ac:dyDescent="0.3">
      <c r="A42" t="s">
        <v>656</v>
      </c>
      <c r="B42" t="str">
        <f>TRIM(TTrainingSource[[#This Row],[EMPloyee_ID2]])</f>
        <v>EMP10016</v>
      </c>
      <c r="C42" t="str">
        <f>IFERROR(VLOOKUP(TTrainingSource[[#This Row],[Employee_ID]],THrList[],3,FALSE),"")</f>
        <v>FOURNIER</v>
      </c>
      <c r="D42" t="str">
        <f>IFERROR(VLOOKUP(TTrainingSource[[#This Row],[Employee_ID]],THrList[],4,FALSE),"")</f>
        <v>Layla</v>
      </c>
      <c r="E42" t="str">
        <f>IFERROR(VLOOKUP(TTrainingSource[[#This Row],[Employee_ID]],THrList[],10,FALSE),"")</f>
        <v>Sales</v>
      </c>
      <c r="F42" t="str">
        <f>TRIM(PROPER(TTrainingSource[[#This Row],[Training_Status2]]))</f>
        <v>Planned</v>
      </c>
      <c r="G42" t="s">
        <v>19</v>
      </c>
      <c r="H42" t="str">
        <f>TRIM(PROPER(TTrainingSource[[#This Row],[Training_Title2]]))</f>
        <v>Introduction To Python For Data</v>
      </c>
      <c r="I42" t="s">
        <v>62</v>
      </c>
      <c r="J42" s="1">
        <v>44842</v>
      </c>
      <c r="K42" t="s">
        <v>132</v>
      </c>
      <c r="L42" s="7">
        <v>16</v>
      </c>
      <c r="M42">
        <f>ROUND(TTrainingSource[[#This Row],[Satisfaction_Score2]],0)</f>
        <v>5</v>
      </c>
      <c r="N42">
        <v>4.8</v>
      </c>
    </row>
    <row r="43" spans="1:14" x14ac:dyDescent="0.3">
      <c r="A43" t="s">
        <v>312</v>
      </c>
      <c r="B43" t="str">
        <f>TRIM(TTrainingSource[[#This Row],[EMPloyee_ID2]])</f>
        <v>EMP10017</v>
      </c>
      <c r="C43" t="str">
        <f>IFERROR(VLOOKUP(TTrainingSource[[#This Row],[Employee_ID]],THrList[],3,FALSE),"")</f>
        <v>ANDERSON</v>
      </c>
      <c r="D43" t="str">
        <f>IFERROR(VLOOKUP(TTrainingSource[[#This Row],[Employee_ID]],THrList[],4,FALSE),"")</f>
        <v>Liam</v>
      </c>
      <c r="E43" t="str">
        <f>IFERROR(VLOOKUP(TTrainingSource[[#This Row],[Employee_ID]],THrList[],10,FALSE),"")</f>
        <v>Marketing</v>
      </c>
      <c r="F43" t="str">
        <f>TRIM(PROPER(TTrainingSource[[#This Row],[Training_Status2]]))</f>
        <v>Completed</v>
      </c>
      <c r="G43" t="s">
        <v>17</v>
      </c>
      <c r="H43" t="str">
        <f>TRIM(PROPER(TTrainingSource[[#This Row],[Training_Title2]]))</f>
        <v>Customer Data Analysis</v>
      </c>
      <c r="I43" t="s">
        <v>31</v>
      </c>
      <c r="J43" s="1">
        <v>45367</v>
      </c>
      <c r="K43" t="s">
        <v>39</v>
      </c>
      <c r="L43" s="7">
        <v>12</v>
      </c>
      <c r="M43">
        <f>ROUND(TTrainingSource[[#This Row],[Satisfaction_Score2]],0)</f>
        <v>5</v>
      </c>
      <c r="N43">
        <v>4.9000000000000004</v>
      </c>
    </row>
    <row r="44" spans="1:14" x14ac:dyDescent="0.3">
      <c r="A44" t="s">
        <v>579</v>
      </c>
      <c r="B44" t="str">
        <f>TRIM(TTrainingSource[[#This Row],[EMPloyee_ID2]])</f>
        <v>EMP10019</v>
      </c>
      <c r="C44" t="str">
        <f>IFERROR(VLOOKUP(TTrainingSource[[#This Row],[Employee_ID]],THrList[],3,FALSE),"")</f>
        <v>HASSAN</v>
      </c>
      <c r="D44" t="str">
        <f>IFERROR(VLOOKUP(TTrainingSource[[#This Row],[Employee_ID]],THrList[],4,FALSE),"")</f>
        <v>Alexander</v>
      </c>
      <c r="E44" t="str">
        <f>IFERROR(VLOOKUP(TTrainingSource[[#This Row],[Employee_ID]],THrList[],10,FALSE),"")</f>
        <v>Sales</v>
      </c>
      <c r="F44" t="str">
        <f>TRIM(PROPER(TTrainingSource[[#This Row],[Training_Status2]]))</f>
        <v>Completed</v>
      </c>
      <c r="G44" t="s">
        <v>17</v>
      </c>
      <c r="H44" t="str">
        <f>TRIM(PROPER(TTrainingSource[[#This Row],[Training_Title2]]))</f>
        <v>Advanced Excel For Business</v>
      </c>
      <c r="I44" t="s">
        <v>52</v>
      </c>
      <c r="J44" s="1">
        <v>45408</v>
      </c>
      <c r="K44" t="s">
        <v>39</v>
      </c>
      <c r="L44" s="7">
        <v>16</v>
      </c>
      <c r="M44">
        <f>ROUND(TTrainingSource[[#This Row],[Satisfaction_Score2]],0)</f>
        <v>3</v>
      </c>
      <c r="N44">
        <v>2.5</v>
      </c>
    </row>
    <row r="45" spans="1:14" x14ac:dyDescent="0.3">
      <c r="A45" t="s">
        <v>844</v>
      </c>
      <c r="B45" t="str">
        <f>TRIM(TTrainingSource[[#This Row],[EMPloyee_ID2]])</f>
        <v>EMP10020</v>
      </c>
      <c r="C45" t="str">
        <f>IFERROR(VLOOKUP(TTrainingSource[[#This Row],[Employee_ID]],THrList[],3,FALSE),"")</f>
        <v>WILSON</v>
      </c>
      <c r="D45" t="str">
        <f>IFERROR(VLOOKUP(TTrainingSource[[#This Row],[Employee_ID]],THrList[],4,FALSE),"")</f>
        <v>Evelyn</v>
      </c>
      <c r="E45" t="str">
        <f>IFERROR(VLOOKUP(TTrainingSource[[#This Row],[Employee_ID]],THrList[],10,FALSE),"")</f>
        <v>Customer Support</v>
      </c>
      <c r="F45" t="str">
        <f>TRIM(PROPER(TTrainingSource[[#This Row],[Training_Status2]]))</f>
        <v>Completed</v>
      </c>
      <c r="G45" t="s">
        <v>17</v>
      </c>
      <c r="H45" t="str">
        <f>TRIM(PROPER(TTrainingSource[[#This Row],[Training_Title2]]))</f>
        <v>Data Visualization Best Practices</v>
      </c>
      <c r="I45" t="s">
        <v>20</v>
      </c>
      <c r="J45" s="1">
        <v>45117</v>
      </c>
      <c r="K45" t="s">
        <v>132</v>
      </c>
      <c r="L45" s="7">
        <v>8</v>
      </c>
      <c r="M45">
        <f>ROUND(TTrainingSource[[#This Row],[Satisfaction_Score2]],0)</f>
        <v>3</v>
      </c>
      <c r="N45">
        <v>3</v>
      </c>
    </row>
    <row r="46" spans="1:14" x14ac:dyDescent="0.3">
      <c r="A46" t="s">
        <v>698</v>
      </c>
      <c r="B46" t="str">
        <f>TRIM(TTrainingSource[[#This Row],[EMPloyee_ID2]])</f>
        <v>EMP10021</v>
      </c>
      <c r="C46" t="str">
        <f>IFERROR(VLOOKUP(TTrainingSource[[#This Row],[Employee_ID]],THrList[],3,FALSE),"")</f>
        <v>ALI</v>
      </c>
      <c r="D46" t="str">
        <f>IFERROR(VLOOKUP(TTrainingSource[[#This Row],[Employee_ID]],THrList[],4,FALSE),"")</f>
        <v>Evelyn</v>
      </c>
      <c r="E46" t="str">
        <f>IFERROR(VLOOKUP(TTrainingSource[[#This Row],[Employee_ID]],THrList[],10,FALSE),"")</f>
        <v>Sales</v>
      </c>
      <c r="F46" t="str">
        <f>TRIM(PROPER(TTrainingSource[[#This Row],[Training_Status2]]))</f>
        <v>Completed</v>
      </c>
      <c r="G46" t="s">
        <v>69</v>
      </c>
      <c r="H46" t="str">
        <f>TRIM(PROPER(TTrainingSource[[#This Row],[Training_Title2]]))</f>
        <v>Introduction To Python For Data</v>
      </c>
      <c r="I46" t="s">
        <v>62</v>
      </c>
      <c r="J46" s="1">
        <v>45291</v>
      </c>
      <c r="K46" t="s">
        <v>32</v>
      </c>
      <c r="L46" s="7">
        <v>16</v>
      </c>
      <c r="M46">
        <f>ROUND(TTrainingSource[[#This Row],[Satisfaction_Score2]],0)</f>
        <v>5</v>
      </c>
      <c r="N46">
        <v>4.5</v>
      </c>
    </row>
    <row r="47" spans="1:14" x14ac:dyDescent="0.3">
      <c r="A47" t="s">
        <v>698</v>
      </c>
      <c r="B47" t="str">
        <f>TRIM(TTrainingSource[[#This Row],[EMPloyee_ID2]])</f>
        <v>EMP10021</v>
      </c>
      <c r="C47" t="str">
        <f>IFERROR(VLOOKUP(TTrainingSource[[#This Row],[Employee_ID]],THrList[],3,FALSE),"")</f>
        <v>ALI</v>
      </c>
      <c r="D47" t="str">
        <f>IFERROR(VLOOKUP(TTrainingSource[[#This Row],[Employee_ID]],THrList[],4,FALSE),"")</f>
        <v>Evelyn</v>
      </c>
      <c r="E47" t="str">
        <f>IFERROR(VLOOKUP(TTrainingSource[[#This Row],[Employee_ID]],THrList[],10,FALSE),"")</f>
        <v>Sales</v>
      </c>
      <c r="F47" t="str">
        <f>TRIM(PROPER(TTrainingSource[[#This Row],[Training_Status2]]))</f>
        <v>Planned</v>
      </c>
      <c r="G47" t="s">
        <v>19</v>
      </c>
      <c r="H47" t="str">
        <f>TRIM(PROPER(TTrainingSource[[#This Row],[Training_Title2]]))</f>
        <v>Project Management Essentials</v>
      </c>
      <c r="I47" t="s">
        <v>224</v>
      </c>
      <c r="J47" s="1">
        <v>44707</v>
      </c>
      <c r="K47" t="s">
        <v>29</v>
      </c>
      <c r="L47" s="7">
        <v>24</v>
      </c>
      <c r="M47">
        <f>ROUND(TTrainingSource[[#This Row],[Satisfaction_Score2]],0)</f>
        <v>4</v>
      </c>
      <c r="N47">
        <v>3.5</v>
      </c>
    </row>
    <row r="48" spans="1:14" x14ac:dyDescent="0.3">
      <c r="A48" t="s">
        <v>283</v>
      </c>
      <c r="B48" t="str">
        <f>TRIM(TTrainingSource[[#This Row],[EMPloyee_ID2]])</f>
        <v>EMP10023</v>
      </c>
      <c r="C48" t="str">
        <f>IFERROR(VLOOKUP(TTrainingSource[[#This Row],[Employee_ID]],THrList[],3,FALSE),"")</f>
        <v>NGUYEN</v>
      </c>
      <c r="D48" t="str">
        <f>IFERROR(VLOOKUP(TTrainingSource[[#This Row],[Employee_ID]],THrList[],4,FALSE),"")</f>
        <v>Nina</v>
      </c>
      <c r="E48" t="str">
        <f>IFERROR(VLOOKUP(TTrainingSource[[#This Row],[Employee_ID]],THrList[],10,FALSE),"")</f>
        <v>Compliance</v>
      </c>
      <c r="F48" t="str">
        <f>TRIM(PROPER(TTrainingSource[[#This Row],[Training_Status2]]))</f>
        <v>Completed</v>
      </c>
      <c r="G48" t="s">
        <v>17</v>
      </c>
      <c r="H48" t="str">
        <f>TRIM(PROPER(TTrainingSource[[#This Row],[Training_Title2]]))</f>
        <v>Digital Marketing Strategy</v>
      </c>
      <c r="I48" t="s">
        <v>284</v>
      </c>
      <c r="J48" s="1">
        <v>44690</v>
      </c>
      <c r="K48" t="s">
        <v>42</v>
      </c>
      <c r="L48" s="7">
        <v>24</v>
      </c>
      <c r="M48">
        <f>ROUND(TTrainingSource[[#This Row],[Satisfaction_Score2]],0)</f>
        <v>3</v>
      </c>
      <c r="N48">
        <v>2.7</v>
      </c>
    </row>
    <row r="49" spans="1:14" x14ac:dyDescent="0.3">
      <c r="A49" t="s">
        <v>850</v>
      </c>
      <c r="B49" t="str">
        <f>TRIM(TTrainingSource[[#This Row],[EMPloyee_ID2]])</f>
        <v>EMP10023</v>
      </c>
      <c r="C49" t="str">
        <f>IFERROR(VLOOKUP(TTrainingSource[[#This Row],[Employee_ID]],THrList[],3,FALSE),"")</f>
        <v>NGUYEN</v>
      </c>
      <c r="D49" t="str">
        <f>IFERROR(VLOOKUP(TTrainingSource[[#This Row],[Employee_ID]],THrList[],4,FALSE),"")</f>
        <v>Nina</v>
      </c>
      <c r="E49" t="str">
        <f>IFERROR(VLOOKUP(TTrainingSource[[#This Row],[Employee_ID]],THrList[],10,FALSE),"")</f>
        <v>Compliance</v>
      </c>
      <c r="F49" t="str">
        <f>TRIM(PROPER(TTrainingSource[[#This Row],[Training_Status2]]))</f>
        <v>Completed</v>
      </c>
      <c r="G49" t="s">
        <v>17</v>
      </c>
      <c r="H49" t="str">
        <f>TRIM(PROPER(TTrainingSource[[#This Row],[Training_Title2]]))</f>
        <v>Sql For Data Analytics</v>
      </c>
      <c r="I49" t="s">
        <v>277</v>
      </c>
      <c r="J49" s="1">
        <v>44751</v>
      </c>
      <c r="K49" t="s">
        <v>98</v>
      </c>
      <c r="L49" s="7">
        <v>6</v>
      </c>
      <c r="M49">
        <f>ROUND(TTrainingSource[[#This Row],[Satisfaction_Score2]],0)</f>
        <v>4</v>
      </c>
      <c r="N49">
        <v>4.4000000000000004</v>
      </c>
    </row>
    <row r="50" spans="1:14" x14ac:dyDescent="0.3">
      <c r="A50" t="s">
        <v>598</v>
      </c>
      <c r="B50" t="str">
        <f>TRIM(TTrainingSource[[#This Row],[EMPloyee_ID2]])</f>
        <v>EMP10024</v>
      </c>
      <c r="C50" t="str">
        <f>IFERROR(VLOOKUP(TTrainingSource[[#This Row],[Employee_ID]],THrList[],3,FALSE),"")</f>
        <v>GARCIA</v>
      </c>
      <c r="D50" t="str">
        <f>IFERROR(VLOOKUP(TTrainingSource[[#This Row],[Employee_ID]],THrList[],4,FALSE),"")</f>
        <v>Alexander</v>
      </c>
      <c r="E50" t="str">
        <f>IFERROR(VLOOKUP(TTrainingSource[[#This Row],[Employee_ID]],THrList[],10,FALSE),"")</f>
        <v>Customer Support</v>
      </c>
      <c r="F50" t="str">
        <f>TRIM(PROPER(TTrainingSource[[#This Row],[Training_Status2]]))</f>
        <v>Completed</v>
      </c>
      <c r="G50" t="s">
        <v>17</v>
      </c>
      <c r="H50" t="str">
        <f>TRIM(PROPER(TTrainingSource[[#This Row],[Training_Title2]]))</f>
        <v>Power Bi Reporting</v>
      </c>
      <c r="I50" t="s">
        <v>130</v>
      </c>
      <c r="J50" s="1">
        <v>44717</v>
      </c>
      <c r="K50" t="s">
        <v>44</v>
      </c>
      <c r="L50" s="7">
        <v>8</v>
      </c>
      <c r="M50">
        <f>ROUND(TTrainingSource[[#This Row],[Satisfaction_Score2]],0)</f>
        <v>5</v>
      </c>
      <c r="N50">
        <v>4.9000000000000004</v>
      </c>
    </row>
    <row r="51" spans="1:14" x14ac:dyDescent="0.3">
      <c r="A51" t="s">
        <v>316</v>
      </c>
      <c r="B51" t="str">
        <f>TRIM(TTrainingSource[[#This Row],[EMPloyee_ID2]])</f>
        <v>EMP10025</v>
      </c>
      <c r="C51" t="str">
        <f>IFERROR(VLOOKUP(TTrainingSource[[#This Row],[Employee_ID]],THrList[],3,FALSE),"")</f>
        <v>TRAORE</v>
      </c>
      <c r="D51" t="str">
        <f>IFERROR(VLOOKUP(TTrainingSource[[#This Row],[Employee_ID]],THrList[],4,FALSE),"")</f>
        <v>Ngozi</v>
      </c>
      <c r="E51" t="str">
        <f>IFERROR(VLOOKUP(TTrainingSource[[#This Row],[Employee_ID]],THrList[],10,FALSE),"")</f>
        <v>Procurement</v>
      </c>
      <c r="F51" t="str">
        <f>TRIM(PROPER(TTrainingSource[[#This Row],[Training_Status2]]))</f>
        <v>Completed</v>
      </c>
      <c r="G51" t="s">
        <v>17</v>
      </c>
      <c r="H51" t="str">
        <f>TRIM(PROPER(TTrainingSource[[#This Row],[Training_Title2]]))</f>
        <v>Advanced Excel For Business</v>
      </c>
      <c r="I51" t="s">
        <v>52</v>
      </c>
      <c r="J51" s="1">
        <v>45889</v>
      </c>
      <c r="K51" t="s">
        <v>29</v>
      </c>
      <c r="L51" s="7">
        <v>6</v>
      </c>
      <c r="M51">
        <f>ROUND(TTrainingSource[[#This Row],[Satisfaction_Score2]],0)</f>
        <v>4</v>
      </c>
      <c r="N51">
        <v>3.7</v>
      </c>
    </row>
    <row r="52" spans="1:14" x14ac:dyDescent="0.3">
      <c r="A52" t="s">
        <v>118</v>
      </c>
      <c r="B52" t="str">
        <f>TRIM(TTrainingSource[[#This Row],[EMPloyee_ID2]])</f>
        <v>EMP10027</v>
      </c>
      <c r="C52" t="str">
        <f>IFERROR(VLOOKUP(TTrainingSource[[#This Row],[Employee_ID]],THrList[],3,FALSE),"")</f>
        <v>TRAORE</v>
      </c>
      <c r="D52" t="str">
        <f>IFERROR(VLOOKUP(TTrainingSource[[#This Row],[Employee_ID]],THrList[],4,FALSE),"")</f>
        <v>Kwame</v>
      </c>
      <c r="E52" t="str">
        <f>IFERROR(VLOOKUP(TTrainingSource[[#This Row],[Employee_ID]],THrList[],10,FALSE),"")</f>
        <v>Human Resources</v>
      </c>
      <c r="F52" t="str">
        <f>TRIM(PROPER(TTrainingSource[[#This Row],[Training_Status2]]))</f>
        <v>Completed</v>
      </c>
      <c r="G52" t="s">
        <v>17</v>
      </c>
      <c r="H52" t="str">
        <f>TRIM(PROPER(TTrainingSource[[#This Row],[Training_Title2]]))</f>
        <v>Communication For Analysts</v>
      </c>
      <c r="I52" t="s">
        <v>119</v>
      </c>
      <c r="J52" s="1">
        <v>44766</v>
      </c>
      <c r="K52" t="s">
        <v>29</v>
      </c>
      <c r="L52" s="7">
        <v>24</v>
      </c>
      <c r="M52">
        <f>ROUND(TTrainingSource[[#This Row],[Satisfaction_Score2]],0)</f>
        <v>4</v>
      </c>
      <c r="N52">
        <v>4</v>
      </c>
    </row>
    <row r="53" spans="1:14" x14ac:dyDescent="0.3">
      <c r="A53" t="s">
        <v>118</v>
      </c>
      <c r="B53" t="str">
        <f>TRIM(TTrainingSource[[#This Row],[EMPloyee_ID2]])</f>
        <v>EMP10027</v>
      </c>
      <c r="C53" t="str">
        <f>IFERROR(VLOOKUP(TTrainingSource[[#This Row],[Employee_ID]],THrList[],3,FALSE),"")</f>
        <v>TRAORE</v>
      </c>
      <c r="D53" t="str">
        <f>IFERROR(VLOOKUP(TTrainingSource[[#This Row],[Employee_ID]],THrList[],4,FALSE),"")</f>
        <v>Kwame</v>
      </c>
      <c r="E53" t="str">
        <f>IFERROR(VLOOKUP(TTrainingSource[[#This Row],[Employee_ID]],THrList[],10,FALSE),"")</f>
        <v>Human Resources</v>
      </c>
      <c r="F53" t="str">
        <f>TRIM(PROPER(TTrainingSource[[#This Row],[Training_Status2]]))</f>
        <v>In Progress</v>
      </c>
      <c r="G53" t="s">
        <v>8</v>
      </c>
      <c r="H53" t="str">
        <f>TRIM(PROPER(TTrainingSource[[#This Row],[Training_Title2]]))</f>
        <v>Introduction To Python For Data</v>
      </c>
      <c r="I53" t="s">
        <v>62</v>
      </c>
      <c r="J53" s="1">
        <v>45002</v>
      </c>
      <c r="K53" t="s">
        <v>71</v>
      </c>
      <c r="L53" s="7">
        <v>0</v>
      </c>
      <c r="M53">
        <f>ROUND(TTrainingSource[[#This Row],[Satisfaction_Score2]],0)</f>
        <v>3</v>
      </c>
      <c r="N53">
        <v>3.3</v>
      </c>
    </row>
    <row r="54" spans="1:14" x14ac:dyDescent="0.3">
      <c r="A54" t="s">
        <v>118</v>
      </c>
      <c r="B54" t="str">
        <f>TRIM(TTrainingSource[[#This Row],[EMPloyee_ID2]])</f>
        <v>EMP10027</v>
      </c>
      <c r="C54" t="str">
        <f>IFERROR(VLOOKUP(TTrainingSource[[#This Row],[Employee_ID]],THrList[],3,FALSE),"")</f>
        <v>TRAORE</v>
      </c>
      <c r="D54" t="str">
        <f>IFERROR(VLOOKUP(TTrainingSource[[#This Row],[Employee_ID]],THrList[],4,FALSE),"")</f>
        <v>Kwame</v>
      </c>
      <c r="E54" t="str">
        <f>IFERROR(VLOOKUP(TTrainingSource[[#This Row],[Employee_ID]],THrList[],10,FALSE),"")</f>
        <v>Human Resources</v>
      </c>
      <c r="F54" t="str">
        <f>TRIM(PROPER(TTrainingSource[[#This Row],[Training_Status2]]))</f>
        <v>In Progress</v>
      </c>
      <c r="G54" t="s">
        <v>8</v>
      </c>
      <c r="H54" t="str">
        <f>TRIM(PROPER(TTrainingSource[[#This Row],[Training_Title2]]))</f>
        <v>Introduction To Python For Data</v>
      </c>
      <c r="I54" t="s">
        <v>62</v>
      </c>
      <c r="J54" s="1">
        <v>45941</v>
      </c>
      <c r="K54" t="s">
        <v>98</v>
      </c>
      <c r="L54" s="7">
        <v>8</v>
      </c>
      <c r="M54">
        <f>ROUND(TTrainingSource[[#This Row],[Satisfaction_Score2]],0)</f>
        <v>4</v>
      </c>
      <c r="N54">
        <v>4.3</v>
      </c>
    </row>
    <row r="55" spans="1:14" x14ac:dyDescent="0.3">
      <c r="A55" t="s">
        <v>118</v>
      </c>
      <c r="B55" t="str">
        <f>TRIM(TTrainingSource[[#This Row],[EMPloyee_ID2]])</f>
        <v>EMP10027</v>
      </c>
      <c r="C55" t="str">
        <f>IFERROR(VLOOKUP(TTrainingSource[[#This Row],[Employee_ID]],THrList[],3,FALSE),"")</f>
        <v>TRAORE</v>
      </c>
      <c r="D55" t="str">
        <f>IFERROR(VLOOKUP(TTrainingSource[[#This Row],[Employee_ID]],THrList[],4,FALSE),"")</f>
        <v>Kwame</v>
      </c>
      <c r="E55" t="str">
        <f>IFERROR(VLOOKUP(TTrainingSource[[#This Row],[Employee_ID]],THrList[],10,FALSE),"")</f>
        <v>Human Resources</v>
      </c>
      <c r="F55" t="str">
        <f>TRIM(PROPER(TTrainingSource[[#This Row],[Training_Status2]]))</f>
        <v>Completed</v>
      </c>
      <c r="G55" t="s">
        <v>17</v>
      </c>
      <c r="H55" t="str">
        <f>TRIM(PROPER(TTrainingSource[[#This Row],[Training_Title2]]))</f>
        <v>Power Bi Reporting</v>
      </c>
      <c r="I55" t="s">
        <v>24</v>
      </c>
      <c r="J55" s="1">
        <v>45014</v>
      </c>
      <c r="K55" t="s">
        <v>32</v>
      </c>
      <c r="L55" s="7">
        <v>12</v>
      </c>
      <c r="M55">
        <f>ROUND(TTrainingSource[[#This Row],[Satisfaction_Score2]],0)</f>
        <v>3</v>
      </c>
      <c r="N55">
        <v>3.2</v>
      </c>
    </row>
    <row r="56" spans="1:14" x14ac:dyDescent="0.3">
      <c r="A56" t="s">
        <v>714</v>
      </c>
      <c r="B56" t="str">
        <f>TRIM(TTrainingSource[[#This Row],[EMPloyee_ID2]])</f>
        <v>EMP10028</v>
      </c>
      <c r="C56" t="str">
        <f>IFERROR(VLOOKUP(TTrainingSource[[#This Row],[Employee_ID]],THrList[],3,FALSE),"")</f>
        <v>FOURNIER</v>
      </c>
      <c r="D56" t="str">
        <f>IFERROR(VLOOKUP(TTrainingSource[[#This Row],[Employee_ID]],THrList[],4,FALSE),"")</f>
        <v>Abigail</v>
      </c>
      <c r="E56" t="str">
        <f>IFERROR(VLOOKUP(TTrainingSource[[#This Row],[Employee_ID]],THrList[],10,FALSE),"")</f>
        <v>Compliance</v>
      </c>
      <c r="F56" t="str">
        <f>TRIM(PROPER(TTrainingSource[[#This Row],[Training_Status2]]))</f>
        <v>Planned</v>
      </c>
      <c r="G56" t="s">
        <v>19</v>
      </c>
      <c r="H56" t="str">
        <f>TRIM(PROPER(TTrainingSource[[#This Row],[Training_Title2]]))</f>
        <v>Power Bi Reporting</v>
      </c>
      <c r="I56" t="s">
        <v>24</v>
      </c>
      <c r="J56" s="1">
        <v>45078</v>
      </c>
      <c r="K56" t="s">
        <v>71</v>
      </c>
      <c r="L56" s="7">
        <v>40</v>
      </c>
      <c r="M56">
        <f>ROUND(TTrainingSource[[#This Row],[Satisfaction_Score2]],0)</f>
        <v>4</v>
      </c>
      <c r="N56">
        <v>3.8</v>
      </c>
    </row>
    <row r="57" spans="1:14" x14ac:dyDescent="0.3">
      <c r="A57" t="s">
        <v>714</v>
      </c>
      <c r="B57" t="str">
        <f>TRIM(TTrainingSource[[#This Row],[EMPloyee_ID2]])</f>
        <v>EMP10028</v>
      </c>
      <c r="C57" t="str">
        <f>IFERROR(VLOOKUP(TTrainingSource[[#This Row],[Employee_ID]],THrList[],3,FALSE),"")</f>
        <v>FOURNIER</v>
      </c>
      <c r="D57" t="str">
        <f>IFERROR(VLOOKUP(TTrainingSource[[#This Row],[Employee_ID]],THrList[],4,FALSE),"")</f>
        <v>Abigail</v>
      </c>
      <c r="E57" t="str">
        <f>IFERROR(VLOOKUP(TTrainingSource[[#This Row],[Employee_ID]],THrList[],10,FALSE),"")</f>
        <v>Compliance</v>
      </c>
      <c r="F57" t="str">
        <f>TRIM(PROPER(TTrainingSource[[#This Row],[Training_Status2]]))</f>
        <v>In Progress</v>
      </c>
      <c r="G57" t="s">
        <v>67</v>
      </c>
      <c r="H57" t="str">
        <f>TRIM(PROPER(TTrainingSource[[#This Row],[Training_Title2]]))</f>
        <v>Data Visualization Best Practices</v>
      </c>
      <c r="I57" t="s">
        <v>20</v>
      </c>
      <c r="J57" s="1">
        <v>45908</v>
      </c>
      <c r="K57" t="s">
        <v>44</v>
      </c>
      <c r="L57" s="7">
        <v>12</v>
      </c>
      <c r="M57">
        <f>ROUND(TTrainingSource[[#This Row],[Satisfaction_Score2]],0)</f>
        <v>5</v>
      </c>
      <c r="N57">
        <v>4.8</v>
      </c>
    </row>
    <row r="58" spans="1:14" x14ac:dyDescent="0.3">
      <c r="A58" t="s">
        <v>690</v>
      </c>
      <c r="B58" t="str">
        <f>TRIM(TTrainingSource[[#This Row],[EMPloyee_ID2]])</f>
        <v>EMP10029</v>
      </c>
      <c r="C58" t="str">
        <f>IFERROR(VLOOKUP(TTrainingSource[[#This Row],[Employee_ID]],THrList[],3,FALSE),"")</f>
        <v>MOORE</v>
      </c>
      <c r="D58" t="str">
        <f>IFERROR(VLOOKUP(TTrainingSource[[#This Row],[Employee_ID]],THrList[],4,FALSE),"")</f>
        <v>Kofi</v>
      </c>
      <c r="E58" t="str">
        <f>IFERROR(VLOOKUP(TTrainingSource[[#This Row],[Employee_ID]],THrList[],10,FALSE),"")</f>
        <v>Procurement</v>
      </c>
      <c r="F58" t="str">
        <f>TRIM(PROPER(TTrainingSource[[#This Row],[Training_Status2]]))</f>
        <v>Completed</v>
      </c>
      <c r="G58" t="s">
        <v>17</v>
      </c>
      <c r="H58" t="str">
        <f>TRIM(PROPER(TTrainingSource[[#This Row],[Training_Title2]]))</f>
        <v>Sql For Data Analytics</v>
      </c>
      <c r="I58" t="s">
        <v>26</v>
      </c>
      <c r="J58" s="1">
        <v>44877</v>
      </c>
      <c r="K58" t="s">
        <v>98</v>
      </c>
      <c r="L58" s="7">
        <v>4</v>
      </c>
      <c r="M58">
        <f>ROUND(TTrainingSource[[#This Row],[Satisfaction_Score2]],0)</f>
        <v>4</v>
      </c>
      <c r="N58">
        <v>3.7</v>
      </c>
    </row>
    <row r="59" spans="1:14" x14ac:dyDescent="0.3">
      <c r="A59" t="s">
        <v>690</v>
      </c>
      <c r="B59" t="str">
        <f>TRIM(TTrainingSource[[#This Row],[EMPloyee_ID2]])</f>
        <v>EMP10029</v>
      </c>
      <c r="C59" t="str">
        <f>IFERROR(VLOOKUP(TTrainingSource[[#This Row],[Employee_ID]],THrList[],3,FALSE),"")</f>
        <v>MOORE</v>
      </c>
      <c r="D59" t="str">
        <f>IFERROR(VLOOKUP(TTrainingSource[[#This Row],[Employee_ID]],THrList[],4,FALSE),"")</f>
        <v>Kofi</v>
      </c>
      <c r="E59" t="str">
        <f>IFERROR(VLOOKUP(TTrainingSource[[#This Row],[Employee_ID]],THrList[],10,FALSE),"")</f>
        <v>Procurement</v>
      </c>
      <c r="F59" t="str">
        <f>TRIM(PROPER(TTrainingSource[[#This Row],[Training_Status2]]))</f>
        <v>Completed</v>
      </c>
      <c r="G59" t="s">
        <v>17</v>
      </c>
      <c r="H59" t="str">
        <f>TRIM(PROPER(TTrainingSource[[#This Row],[Training_Title2]]))</f>
        <v>Customer Data Analysis</v>
      </c>
      <c r="I59" t="s">
        <v>31</v>
      </c>
      <c r="J59" s="1">
        <v>44786</v>
      </c>
      <c r="K59" t="s">
        <v>46</v>
      </c>
      <c r="L59" s="7">
        <v>8</v>
      </c>
      <c r="M59">
        <f>ROUND(TTrainingSource[[#This Row],[Satisfaction_Score2]],0)</f>
        <v>3</v>
      </c>
      <c r="N59">
        <v>3.1</v>
      </c>
    </row>
    <row r="60" spans="1:14" x14ac:dyDescent="0.3">
      <c r="A60" t="s">
        <v>722</v>
      </c>
      <c r="B60" t="str">
        <f>TRIM(TTrainingSource[[#This Row],[EMPloyee_ID2]])</f>
        <v>EMP10030</v>
      </c>
      <c r="C60" t="str">
        <f>IFERROR(VLOOKUP(TTrainingSource[[#This Row],[Employee_ID]],THrList[],3,FALSE),"")</f>
        <v>PATEL</v>
      </c>
      <c r="D60" t="str">
        <f>IFERROR(VLOOKUP(TTrainingSource[[#This Row],[Employee_ID]],THrList[],4,FALSE),"")</f>
        <v>Amelia</v>
      </c>
      <c r="E60" t="str">
        <f>IFERROR(VLOOKUP(TTrainingSource[[#This Row],[Employee_ID]],THrList[],10,FALSE),"")</f>
        <v>Marketing</v>
      </c>
      <c r="F60" t="str">
        <f>TRIM(PROPER(TTrainingSource[[#This Row],[Training_Status2]]))</f>
        <v>Completed</v>
      </c>
      <c r="G60" t="s">
        <v>17</v>
      </c>
      <c r="H60" t="str">
        <f>TRIM(PROPER(TTrainingSource[[#This Row],[Training_Title2]]))</f>
        <v>Introduction To Python For Data</v>
      </c>
      <c r="I60" t="s">
        <v>62</v>
      </c>
      <c r="J60" s="1">
        <v>44976</v>
      </c>
      <c r="K60" t="s">
        <v>98</v>
      </c>
      <c r="L60" s="7">
        <v>8</v>
      </c>
      <c r="M60">
        <f>ROUND(TTrainingSource[[#This Row],[Satisfaction_Score2]],0)</f>
        <v>3</v>
      </c>
      <c r="N60">
        <v>2.8</v>
      </c>
    </row>
    <row r="61" spans="1:14" x14ac:dyDescent="0.3">
      <c r="A61" t="s">
        <v>722</v>
      </c>
      <c r="B61" t="str">
        <f>TRIM(TTrainingSource[[#This Row],[EMPloyee_ID2]])</f>
        <v>EMP10030</v>
      </c>
      <c r="C61" t="str">
        <f>IFERROR(VLOOKUP(TTrainingSource[[#This Row],[Employee_ID]],THrList[],3,FALSE),"")</f>
        <v>PATEL</v>
      </c>
      <c r="D61" t="str">
        <f>IFERROR(VLOOKUP(TTrainingSource[[#This Row],[Employee_ID]],THrList[],4,FALSE),"")</f>
        <v>Amelia</v>
      </c>
      <c r="E61" t="str">
        <f>IFERROR(VLOOKUP(TTrainingSource[[#This Row],[Employee_ID]],THrList[],10,FALSE),"")</f>
        <v>Marketing</v>
      </c>
      <c r="F61" t="str">
        <f>TRIM(PROPER(TTrainingSource[[#This Row],[Training_Status2]]))</f>
        <v>Completed</v>
      </c>
      <c r="G61" t="s">
        <v>17</v>
      </c>
      <c r="H61" t="str">
        <f>TRIM(PROPER(TTrainingSource[[#This Row],[Training_Title2]]))</f>
        <v>Introduction To Python For Data</v>
      </c>
      <c r="I61" t="s">
        <v>62</v>
      </c>
      <c r="J61" s="1">
        <v>45081</v>
      </c>
      <c r="K61" t="s">
        <v>39</v>
      </c>
      <c r="L61" s="7">
        <v>24</v>
      </c>
      <c r="M61">
        <f>ROUND(TTrainingSource[[#This Row],[Satisfaction_Score2]],0)</f>
        <v>3</v>
      </c>
      <c r="N61">
        <v>2.7</v>
      </c>
    </row>
    <row r="62" spans="1:14" x14ac:dyDescent="0.3">
      <c r="A62" t="s">
        <v>742</v>
      </c>
      <c r="B62" t="str">
        <f>TRIM(TTrainingSource[[#This Row],[EMPloyee_ID2]])</f>
        <v>EMP10031</v>
      </c>
      <c r="C62" t="str">
        <f>IFERROR(VLOOKUP(TTrainingSource[[#This Row],[Employee_ID]],THrList[],3,FALSE),"")</f>
        <v>CHEN</v>
      </c>
      <c r="D62" t="str">
        <f>IFERROR(VLOOKUP(TTrainingSource[[#This Row],[Employee_ID]],THrList[],4,FALSE),"")</f>
        <v>Chinedu</v>
      </c>
      <c r="E62" t="str">
        <f>IFERROR(VLOOKUP(TTrainingSource[[#This Row],[Employee_ID]],THrList[],10,FALSE),"")</f>
        <v>Sales</v>
      </c>
      <c r="F62" t="str">
        <f>TRIM(PROPER(TTrainingSource[[#This Row],[Training_Status2]]))</f>
        <v>Completed</v>
      </c>
      <c r="G62" t="s">
        <v>17</v>
      </c>
      <c r="H62" t="str">
        <f>TRIM(PROPER(TTrainingSource[[#This Row],[Training_Title2]]))</f>
        <v>Data Analysis Fundamentals</v>
      </c>
      <c r="I62" t="s">
        <v>9</v>
      </c>
      <c r="J62" s="1">
        <v>45200</v>
      </c>
      <c r="K62" t="s">
        <v>44</v>
      </c>
      <c r="L62" s="7">
        <v>16</v>
      </c>
      <c r="M62">
        <f>ROUND(TTrainingSource[[#This Row],[Satisfaction_Score2]],0)</f>
        <v>3</v>
      </c>
      <c r="N62">
        <v>2.5</v>
      </c>
    </row>
    <row r="63" spans="1:14" x14ac:dyDescent="0.3">
      <c r="A63" t="s">
        <v>742</v>
      </c>
      <c r="B63" t="str">
        <f>TRIM(TTrainingSource[[#This Row],[EMPloyee_ID2]])</f>
        <v>EMP10031</v>
      </c>
      <c r="C63" t="str">
        <f>IFERROR(VLOOKUP(TTrainingSource[[#This Row],[Employee_ID]],THrList[],3,FALSE),"")</f>
        <v>CHEN</v>
      </c>
      <c r="D63" t="str">
        <f>IFERROR(VLOOKUP(TTrainingSource[[#This Row],[Employee_ID]],THrList[],4,FALSE),"")</f>
        <v>Chinedu</v>
      </c>
      <c r="E63" t="str">
        <f>IFERROR(VLOOKUP(TTrainingSource[[#This Row],[Employee_ID]],THrList[],10,FALSE),"")</f>
        <v>Sales</v>
      </c>
      <c r="F63" t="str">
        <f>TRIM(PROPER(TTrainingSource[[#This Row],[Training_Status2]]))</f>
        <v>In Progress</v>
      </c>
      <c r="G63" t="s">
        <v>8</v>
      </c>
      <c r="H63" t="str">
        <f>TRIM(PROPER(TTrainingSource[[#This Row],[Training_Title2]]))</f>
        <v>Sql For Data Analytics</v>
      </c>
      <c r="I63" t="s">
        <v>418</v>
      </c>
      <c r="J63" s="1">
        <v>45916</v>
      </c>
      <c r="K63" t="s">
        <v>46</v>
      </c>
      <c r="L63" s="7">
        <v>12</v>
      </c>
      <c r="M63">
        <f>ROUND(TTrainingSource[[#This Row],[Satisfaction_Score2]],0)</f>
        <v>5</v>
      </c>
      <c r="N63">
        <v>4.5</v>
      </c>
    </row>
    <row r="64" spans="1:14" x14ac:dyDescent="0.3">
      <c r="A64" t="s">
        <v>189</v>
      </c>
      <c r="B64" t="str">
        <f>TRIM(TTrainingSource[[#This Row],[EMPloyee_ID2]])</f>
        <v>EMP10032</v>
      </c>
      <c r="C64" t="str">
        <f>IFERROR(VLOOKUP(TTrainingSource[[#This Row],[Employee_ID]],THrList[],3,FALSE),"")</f>
        <v>THOMAS</v>
      </c>
      <c r="D64" t="str">
        <f>IFERROR(VLOOKUP(TTrainingSource[[#This Row],[Employee_ID]],THrList[],4,FALSE),"")</f>
        <v>Zainab</v>
      </c>
      <c r="E64" t="str">
        <f>IFERROR(VLOOKUP(TTrainingSource[[#This Row],[Employee_ID]],THrList[],10,FALSE),"")</f>
        <v>Procurement</v>
      </c>
      <c r="F64" t="str">
        <f>TRIM(PROPER(TTrainingSource[[#This Row],[Training_Status2]]))</f>
        <v>Completed</v>
      </c>
      <c r="G64" t="s">
        <v>17</v>
      </c>
      <c r="H64" t="str">
        <f>TRIM(PROPER(TTrainingSource[[#This Row],[Training_Title2]]))</f>
        <v>Communication For Analysts</v>
      </c>
      <c r="I64" t="s">
        <v>28</v>
      </c>
      <c r="J64" s="1">
        <v>45810</v>
      </c>
      <c r="K64" t="s">
        <v>71</v>
      </c>
      <c r="L64" s="7">
        <v>4</v>
      </c>
      <c r="M64">
        <f>ROUND(TTrainingSource[[#This Row],[Satisfaction_Score2]],0)</f>
        <v>3</v>
      </c>
      <c r="N64">
        <v>2.5</v>
      </c>
    </row>
    <row r="65" spans="1:14" x14ac:dyDescent="0.3">
      <c r="A65" t="s">
        <v>210</v>
      </c>
      <c r="B65" t="str">
        <f>TRIM(TTrainingSource[[#This Row],[EMPloyee_ID2]])</f>
        <v>EMP10032</v>
      </c>
      <c r="C65" t="str">
        <f>IFERROR(VLOOKUP(TTrainingSource[[#This Row],[Employee_ID]],THrList[],3,FALSE),"")</f>
        <v>THOMAS</v>
      </c>
      <c r="D65" t="str">
        <f>IFERROR(VLOOKUP(TTrainingSource[[#This Row],[Employee_ID]],THrList[],4,FALSE),"")</f>
        <v>Zainab</v>
      </c>
      <c r="E65" t="str">
        <f>IFERROR(VLOOKUP(TTrainingSource[[#This Row],[Employee_ID]],THrList[],10,FALSE),"")</f>
        <v>Procurement</v>
      </c>
      <c r="F65" t="str">
        <f>TRIM(PROPER(TTrainingSource[[#This Row],[Training_Status2]]))</f>
        <v>Planned</v>
      </c>
      <c r="G65" t="s">
        <v>19</v>
      </c>
      <c r="H65" t="str">
        <f>TRIM(PROPER(TTrainingSource[[#This Row],[Training_Title2]]))</f>
        <v>Financial Modeling Basics</v>
      </c>
      <c r="I65" t="s">
        <v>38</v>
      </c>
      <c r="J65" s="1">
        <v>45316</v>
      </c>
      <c r="K65" t="s">
        <v>71</v>
      </c>
      <c r="L65" s="7">
        <v>20</v>
      </c>
      <c r="M65">
        <f>ROUND(TTrainingSource[[#This Row],[Satisfaction_Score2]],0)</f>
        <v>5</v>
      </c>
      <c r="N65">
        <v>4.8</v>
      </c>
    </row>
    <row r="66" spans="1:14" x14ac:dyDescent="0.3">
      <c r="A66" t="s">
        <v>348</v>
      </c>
      <c r="B66" t="str">
        <f>TRIM(TTrainingSource[[#This Row],[EMPloyee_ID2]])</f>
        <v>EMP10035</v>
      </c>
      <c r="C66" t="str">
        <f>IFERROR(VLOOKUP(TTrainingSource[[#This Row],[Employee_ID]],THrList[],3,FALSE),"")</f>
        <v>MILLER</v>
      </c>
      <c r="D66" t="str">
        <f>IFERROR(VLOOKUP(TTrainingSource[[#This Row],[Employee_ID]],THrList[],4,FALSE),"")</f>
        <v>Omar</v>
      </c>
      <c r="E66" t="str">
        <f>IFERROR(VLOOKUP(TTrainingSource[[#This Row],[Employee_ID]],THrList[],10,FALSE),"")</f>
        <v>Customer Support</v>
      </c>
      <c r="F66" t="str">
        <f>TRIM(PROPER(TTrainingSource[[#This Row],[Training_Status2]]))</f>
        <v>In Progress</v>
      </c>
      <c r="G66" t="s">
        <v>8</v>
      </c>
      <c r="H66" t="str">
        <f>TRIM(PROPER(TTrainingSource[[#This Row],[Training_Title2]]))</f>
        <v>Project Management Essentials</v>
      </c>
      <c r="I66" t="s">
        <v>14</v>
      </c>
      <c r="J66" s="1">
        <v>45083</v>
      </c>
      <c r="K66" t="s">
        <v>29</v>
      </c>
      <c r="L66" s="7">
        <v>8</v>
      </c>
      <c r="M66">
        <f>ROUND(TTrainingSource[[#This Row],[Satisfaction_Score2]],0)</f>
        <v>4</v>
      </c>
      <c r="N66">
        <v>3.7</v>
      </c>
    </row>
    <row r="67" spans="1:14" x14ac:dyDescent="0.3">
      <c r="A67" t="s">
        <v>348</v>
      </c>
      <c r="B67" t="str">
        <f>TRIM(TTrainingSource[[#This Row],[EMPloyee_ID2]])</f>
        <v>EMP10035</v>
      </c>
      <c r="C67" t="str">
        <f>IFERROR(VLOOKUP(TTrainingSource[[#This Row],[Employee_ID]],THrList[],3,FALSE),"")</f>
        <v>MILLER</v>
      </c>
      <c r="D67" t="str">
        <f>IFERROR(VLOOKUP(TTrainingSource[[#This Row],[Employee_ID]],THrList[],4,FALSE),"")</f>
        <v>Omar</v>
      </c>
      <c r="E67" t="str">
        <f>IFERROR(VLOOKUP(TTrainingSource[[#This Row],[Employee_ID]],THrList[],10,FALSE),"")</f>
        <v>Customer Support</v>
      </c>
      <c r="F67" t="str">
        <f>TRIM(PROPER(TTrainingSource[[#This Row],[Training_Status2]]))</f>
        <v>Completed</v>
      </c>
      <c r="G67" t="s">
        <v>17</v>
      </c>
      <c r="H67" t="str">
        <f>TRIM(PROPER(TTrainingSource[[#This Row],[Training_Title2]]))</f>
        <v>Data Visualization Best Practices</v>
      </c>
      <c r="I67" t="s">
        <v>113</v>
      </c>
      <c r="J67" s="1">
        <v>45334</v>
      </c>
      <c r="K67" t="s">
        <v>46</v>
      </c>
      <c r="L67" s="7">
        <v>6</v>
      </c>
      <c r="M67">
        <f>ROUND(TTrainingSource[[#This Row],[Satisfaction_Score2]],0)</f>
        <v>4</v>
      </c>
      <c r="N67">
        <v>4.3</v>
      </c>
    </row>
    <row r="68" spans="1:14" x14ac:dyDescent="0.3">
      <c r="A68" t="s">
        <v>152</v>
      </c>
      <c r="B68" t="str">
        <f>TRIM(TTrainingSource[[#This Row],[EMPloyee_ID2]])</f>
        <v>EMP10036</v>
      </c>
      <c r="C68" t="str">
        <f>IFERROR(VLOOKUP(TTrainingSource[[#This Row],[Employee_ID]],THrList[],3,FALSE),"")</f>
        <v>MENSAH</v>
      </c>
      <c r="D68" t="str">
        <f>IFERROR(VLOOKUP(TTrainingSource[[#This Row],[Employee_ID]],THrList[],4,FALSE),"")</f>
        <v>Zainab</v>
      </c>
      <c r="E68" t="str">
        <f>IFERROR(VLOOKUP(TTrainingSource[[#This Row],[Employee_ID]],THrList[],10,FALSE),"")</f>
        <v>Marketing</v>
      </c>
      <c r="F68" t="str">
        <f>TRIM(PROPER(TTrainingSource[[#This Row],[Training_Status2]]))</f>
        <v>Planned</v>
      </c>
      <c r="G68" t="s">
        <v>19</v>
      </c>
      <c r="H68" t="str">
        <f>TRIM(PROPER(TTrainingSource[[#This Row],[Training_Title2]]))</f>
        <v>Communication For Analysts</v>
      </c>
      <c r="I68" t="s">
        <v>153</v>
      </c>
      <c r="J68" s="1">
        <v>45253</v>
      </c>
      <c r="K68" t="s">
        <v>39</v>
      </c>
      <c r="L68" s="7">
        <v>32</v>
      </c>
      <c r="M68">
        <f>ROUND(TTrainingSource[[#This Row],[Satisfaction_Score2]],0)</f>
        <v>4</v>
      </c>
      <c r="N68">
        <v>4.0999999999999996</v>
      </c>
    </row>
    <row r="69" spans="1:14" x14ac:dyDescent="0.3">
      <c r="A69" t="s">
        <v>406</v>
      </c>
      <c r="B69" t="str">
        <f>TRIM(TTrainingSource[[#This Row],[EMPloyee_ID2]])</f>
        <v>EMP10037</v>
      </c>
      <c r="C69" t="str">
        <f>IFERROR(VLOOKUP(TTrainingSource[[#This Row],[Employee_ID]],THrList[],3,FALSE),"")</f>
        <v>ALI</v>
      </c>
      <c r="D69" t="str">
        <f>IFERROR(VLOOKUP(TTrainingSource[[#This Row],[Employee_ID]],THrList[],4,FALSE),"")</f>
        <v>Ngozi</v>
      </c>
      <c r="E69" t="str">
        <f>IFERROR(VLOOKUP(TTrainingSource[[#This Row],[Employee_ID]],THrList[],10,FALSE),"")</f>
        <v>Procurement</v>
      </c>
      <c r="F69" t="str">
        <f>TRIM(PROPER(TTrainingSource[[#This Row],[Training_Status2]]))</f>
        <v>Completed</v>
      </c>
      <c r="G69" t="s">
        <v>17</v>
      </c>
      <c r="H69" t="str">
        <f>TRIM(PROPER(TTrainingSource[[#This Row],[Training_Title2]]))</f>
        <v>Power Bi Reporting</v>
      </c>
      <c r="I69" t="s">
        <v>332</v>
      </c>
      <c r="J69" s="1">
        <v>45677</v>
      </c>
      <c r="K69" t="s">
        <v>42</v>
      </c>
      <c r="L69" s="7">
        <v>12</v>
      </c>
      <c r="M69">
        <f>ROUND(TTrainingSource[[#This Row],[Satisfaction_Score2]],0)</f>
        <v>4</v>
      </c>
      <c r="N69">
        <v>3.9</v>
      </c>
    </row>
    <row r="70" spans="1:14" x14ac:dyDescent="0.3">
      <c r="A70" t="s">
        <v>218</v>
      </c>
      <c r="B70" t="str">
        <f>TRIM(TTrainingSource[[#This Row],[EMPloyee_ID2]])</f>
        <v>EMP10038</v>
      </c>
      <c r="C70" t="str">
        <f>IFERROR(VLOOKUP(TTrainingSource[[#This Row],[Employee_ID]],THrList[],3,FALSE),"")</f>
        <v>DIALLO</v>
      </c>
      <c r="D70" t="str">
        <f>IFERROR(VLOOKUP(TTrainingSource[[#This Row],[Employee_ID]],THrList[],4,FALSE),"")</f>
        <v>Sophia</v>
      </c>
      <c r="E70" t="str">
        <f>IFERROR(VLOOKUP(TTrainingSource[[#This Row],[Employee_ID]],THrList[],10,FALSE),"")</f>
        <v>Customer Support</v>
      </c>
      <c r="F70" t="str">
        <f>TRIM(PROPER(TTrainingSource[[#This Row],[Training_Status2]]))</f>
        <v>Completed</v>
      </c>
      <c r="G70" t="s">
        <v>17</v>
      </c>
      <c r="H70" t="str">
        <f>TRIM(PROPER(TTrainingSource[[#This Row],[Training_Title2]]))</f>
        <v>Introduction To Python For Data</v>
      </c>
      <c r="I70" t="s">
        <v>62</v>
      </c>
      <c r="J70" s="1">
        <v>44658</v>
      </c>
      <c r="K70" t="s">
        <v>32</v>
      </c>
      <c r="L70" s="7">
        <v>4</v>
      </c>
      <c r="M70">
        <f>ROUND(TTrainingSource[[#This Row],[Satisfaction_Score2]],0)</f>
        <v>3</v>
      </c>
      <c r="N70">
        <v>3.2</v>
      </c>
    </row>
    <row r="71" spans="1:14" x14ac:dyDescent="0.3">
      <c r="A71" t="s">
        <v>218</v>
      </c>
      <c r="B71" t="str">
        <f>TRIM(TTrainingSource[[#This Row],[EMPloyee_ID2]])</f>
        <v>EMP10038</v>
      </c>
      <c r="C71" t="str">
        <f>IFERROR(VLOOKUP(TTrainingSource[[#This Row],[Employee_ID]],THrList[],3,FALSE),"")</f>
        <v>DIALLO</v>
      </c>
      <c r="D71" t="str">
        <f>IFERROR(VLOOKUP(TTrainingSource[[#This Row],[Employee_ID]],THrList[],4,FALSE),"")</f>
        <v>Sophia</v>
      </c>
      <c r="E71" t="str">
        <f>IFERROR(VLOOKUP(TTrainingSource[[#This Row],[Employee_ID]],THrList[],10,FALSE),"")</f>
        <v>Customer Support</v>
      </c>
      <c r="F71" t="str">
        <f>TRIM(PROPER(TTrainingSource[[#This Row],[Training_Status2]]))</f>
        <v>Completed</v>
      </c>
      <c r="G71" t="s">
        <v>17</v>
      </c>
      <c r="H71" t="str">
        <f>TRIM(PROPER(TTrainingSource[[#This Row],[Training_Title2]]))</f>
        <v>Communication For Analysts</v>
      </c>
      <c r="I71" t="s">
        <v>28</v>
      </c>
      <c r="J71" s="1">
        <v>44774</v>
      </c>
      <c r="K71" t="s">
        <v>29</v>
      </c>
      <c r="L71" s="7">
        <v>24</v>
      </c>
      <c r="M71">
        <f>ROUND(TTrainingSource[[#This Row],[Satisfaction_Score2]],0)</f>
        <v>4</v>
      </c>
      <c r="N71">
        <v>4.4000000000000004</v>
      </c>
    </row>
    <row r="72" spans="1:14" x14ac:dyDescent="0.3">
      <c r="A72" t="s">
        <v>218</v>
      </c>
      <c r="B72" t="str">
        <f>TRIM(TTrainingSource[[#This Row],[EMPloyee_ID2]])</f>
        <v>EMP10038</v>
      </c>
      <c r="C72" t="str">
        <f>IFERROR(VLOOKUP(TTrainingSource[[#This Row],[Employee_ID]],THrList[],3,FALSE),"")</f>
        <v>DIALLO</v>
      </c>
      <c r="D72" t="str">
        <f>IFERROR(VLOOKUP(TTrainingSource[[#This Row],[Employee_ID]],THrList[],4,FALSE),"")</f>
        <v>Sophia</v>
      </c>
      <c r="E72" t="str">
        <f>IFERROR(VLOOKUP(TTrainingSource[[#This Row],[Employee_ID]],THrList[],10,FALSE),"")</f>
        <v>Customer Support</v>
      </c>
      <c r="F72" t="str">
        <f>TRIM(PROPER(TTrainingSource[[#This Row],[Training_Status2]]))</f>
        <v>Completed</v>
      </c>
      <c r="G72" t="s">
        <v>17</v>
      </c>
      <c r="H72" t="str">
        <f>TRIM(PROPER(TTrainingSource[[#This Row],[Training_Title2]]))</f>
        <v>Financial Modeling Basics</v>
      </c>
      <c r="I72" t="s">
        <v>38</v>
      </c>
      <c r="J72" s="1">
        <v>45532</v>
      </c>
      <c r="K72" t="s">
        <v>1072</v>
      </c>
      <c r="L72" s="7">
        <v>12</v>
      </c>
      <c r="M72">
        <f>ROUND(TTrainingSource[[#This Row],[Satisfaction_Score2]],0)</f>
        <v>4</v>
      </c>
      <c r="N72">
        <v>3.9</v>
      </c>
    </row>
    <row r="73" spans="1:14" x14ac:dyDescent="0.3">
      <c r="A73" t="s">
        <v>218</v>
      </c>
      <c r="B73" t="str">
        <f>TRIM(TTrainingSource[[#This Row],[EMPloyee_ID2]])</f>
        <v>EMP10038</v>
      </c>
      <c r="C73" t="str">
        <f>IFERROR(VLOOKUP(TTrainingSource[[#This Row],[Employee_ID]],THrList[],3,FALSE),"")</f>
        <v>DIALLO</v>
      </c>
      <c r="D73" t="str">
        <f>IFERROR(VLOOKUP(TTrainingSource[[#This Row],[Employee_ID]],THrList[],4,FALSE),"")</f>
        <v>Sophia</v>
      </c>
      <c r="E73" t="str">
        <f>IFERROR(VLOOKUP(TTrainingSource[[#This Row],[Employee_ID]],THrList[],10,FALSE),"")</f>
        <v>Customer Support</v>
      </c>
      <c r="F73" t="str">
        <f>TRIM(PROPER(TTrainingSource[[#This Row],[Training_Status2]]))</f>
        <v>Completed</v>
      </c>
      <c r="G73" t="s">
        <v>17</v>
      </c>
      <c r="H73" t="str">
        <f>TRIM(PROPER(TTrainingSource[[#This Row],[Training_Title2]]))</f>
        <v>Customer Data Analysis</v>
      </c>
      <c r="I73" t="s">
        <v>31</v>
      </c>
      <c r="J73" s="1">
        <v>45481</v>
      </c>
      <c r="K73" t="s">
        <v>42</v>
      </c>
      <c r="L73" s="7">
        <v>6</v>
      </c>
      <c r="M73">
        <f>ROUND(TTrainingSource[[#This Row],[Satisfaction_Score2]],0)</f>
        <v>4</v>
      </c>
      <c r="N73">
        <v>3.9</v>
      </c>
    </row>
    <row r="74" spans="1:14" x14ac:dyDescent="0.3">
      <c r="A74" t="s">
        <v>218</v>
      </c>
      <c r="B74" t="str">
        <f>TRIM(TTrainingSource[[#This Row],[EMPloyee_ID2]])</f>
        <v>EMP10038</v>
      </c>
      <c r="C74" t="str">
        <f>IFERROR(VLOOKUP(TTrainingSource[[#This Row],[Employee_ID]],THrList[],3,FALSE),"")</f>
        <v>DIALLO</v>
      </c>
      <c r="D74" t="str">
        <f>IFERROR(VLOOKUP(TTrainingSource[[#This Row],[Employee_ID]],THrList[],4,FALSE),"")</f>
        <v>Sophia</v>
      </c>
      <c r="E74" t="str">
        <f>IFERROR(VLOOKUP(TTrainingSource[[#This Row],[Employee_ID]],THrList[],10,FALSE),"")</f>
        <v>Customer Support</v>
      </c>
      <c r="F74" t="str">
        <f>TRIM(PROPER(TTrainingSource[[#This Row],[Training_Status2]]))</f>
        <v>Completed</v>
      </c>
      <c r="G74" t="s">
        <v>17</v>
      </c>
      <c r="H74" t="str">
        <f>TRIM(PROPER(TTrainingSource[[#This Row],[Training_Title2]]))</f>
        <v>Power Bi Reporting</v>
      </c>
      <c r="I74" t="s">
        <v>24</v>
      </c>
      <c r="J74" s="1">
        <v>45220</v>
      </c>
      <c r="K74" t="s">
        <v>29</v>
      </c>
      <c r="L74" s="7">
        <v>20</v>
      </c>
      <c r="M74">
        <f>ROUND(TTrainingSource[[#This Row],[Satisfaction_Score2]],0)</f>
        <v>3</v>
      </c>
      <c r="N74">
        <v>2.9</v>
      </c>
    </row>
    <row r="75" spans="1:14" x14ac:dyDescent="0.3">
      <c r="A75" t="s">
        <v>621</v>
      </c>
      <c r="B75" t="str">
        <f>TRIM(TTrainingSource[[#This Row],[EMPloyee_ID2]])</f>
        <v>EMP10039</v>
      </c>
      <c r="C75" t="str">
        <f>IFERROR(VLOOKUP(TTrainingSource[[#This Row],[Employee_ID]],THrList[],3,FALSE),"")</f>
        <v>MENSAH</v>
      </c>
      <c r="D75" t="str">
        <f>IFERROR(VLOOKUP(TTrainingSource[[#This Row],[Employee_ID]],THrList[],4,FALSE),"")</f>
        <v>Julien</v>
      </c>
      <c r="E75" t="str">
        <f>IFERROR(VLOOKUP(TTrainingSource[[#This Row],[Employee_ID]],THrList[],10,FALSE),"")</f>
        <v>Customer Support</v>
      </c>
      <c r="F75" t="str">
        <f>TRIM(PROPER(TTrainingSource[[#This Row],[Training_Status2]]))</f>
        <v>Completed</v>
      </c>
      <c r="G75" t="s">
        <v>17</v>
      </c>
      <c r="H75" t="str">
        <f>TRIM(PROPER(TTrainingSource[[#This Row],[Training_Title2]]))</f>
        <v>Business Intelligence With Tableau</v>
      </c>
      <c r="I75" t="s">
        <v>22</v>
      </c>
      <c r="J75" s="1">
        <v>45955</v>
      </c>
      <c r="K75" t="s">
        <v>44</v>
      </c>
      <c r="L75" s="7">
        <v>8</v>
      </c>
      <c r="M75">
        <f>ROUND(TTrainingSource[[#This Row],[Satisfaction_Score2]],0)</f>
        <v>4</v>
      </c>
      <c r="N75">
        <v>4.4000000000000004</v>
      </c>
    </row>
    <row r="76" spans="1:14" x14ac:dyDescent="0.3">
      <c r="A76" t="s">
        <v>621</v>
      </c>
      <c r="B76" t="str">
        <f>TRIM(TTrainingSource[[#This Row],[EMPloyee_ID2]])</f>
        <v>EMP10039</v>
      </c>
      <c r="C76" t="str">
        <f>IFERROR(VLOOKUP(TTrainingSource[[#This Row],[Employee_ID]],THrList[],3,FALSE),"")</f>
        <v>MENSAH</v>
      </c>
      <c r="D76" t="str">
        <f>IFERROR(VLOOKUP(TTrainingSource[[#This Row],[Employee_ID]],THrList[],4,FALSE),"")</f>
        <v>Julien</v>
      </c>
      <c r="E76" t="str">
        <f>IFERROR(VLOOKUP(TTrainingSource[[#This Row],[Employee_ID]],THrList[],10,FALSE),"")</f>
        <v>Customer Support</v>
      </c>
      <c r="F76" t="str">
        <f>TRIM(PROPER(TTrainingSource[[#This Row],[Training_Status2]]))</f>
        <v>Completed</v>
      </c>
      <c r="G76" t="s">
        <v>17</v>
      </c>
      <c r="H76" t="str">
        <f>TRIM(PROPER(TTrainingSource[[#This Row],[Training_Title2]]))</f>
        <v>Communication For Analysts</v>
      </c>
      <c r="I76" t="s">
        <v>119</v>
      </c>
      <c r="J76" s="1">
        <v>44663</v>
      </c>
      <c r="K76" t="s">
        <v>42</v>
      </c>
      <c r="L76" s="7">
        <v>24</v>
      </c>
      <c r="M76">
        <f>ROUND(TTrainingSource[[#This Row],[Satisfaction_Score2]],0)</f>
        <v>5</v>
      </c>
      <c r="N76">
        <v>4.5</v>
      </c>
    </row>
    <row r="77" spans="1:14" x14ac:dyDescent="0.3">
      <c r="A77" t="s">
        <v>408</v>
      </c>
      <c r="B77" t="str">
        <f>TRIM(TTrainingSource[[#This Row],[EMPloyee_ID2]])</f>
        <v>EMP10041</v>
      </c>
      <c r="C77" t="str">
        <f>IFERROR(VLOOKUP(TTrainingSource[[#This Row],[Employee_ID]],THrList[],3,FALSE),"")</f>
        <v>PETIT</v>
      </c>
      <c r="D77" t="str">
        <f>IFERROR(VLOOKUP(TTrainingSource[[#This Row],[Employee_ID]],THrList[],4,FALSE),"")</f>
        <v>Nadia</v>
      </c>
      <c r="E77" t="str">
        <f>IFERROR(VLOOKUP(TTrainingSource[[#This Row],[Employee_ID]],THrList[],10,FALSE),"")</f>
        <v>Human Resources</v>
      </c>
      <c r="F77" t="str">
        <f>TRIM(PROPER(TTrainingSource[[#This Row],[Training_Status2]]))</f>
        <v>Planned</v>
      </c>
      <c r="G77" t="s">
        <v>19</v>
      </c>
      <c r="H77" t="str">
        <f>TRIM(PROPER(TTrainingSource[[#This Row],[Training_Title2]]))</f>
        <v>Project Management Essentials</v>
      </c>
      <c r="I77" t="s">
        <v>14</v>
      </c>
      <c r="J77" s="1">
        <v>44779</v>
      </c>
      <c r="K77" t="s">
        <v>29</v>
      </c>
      <c r="L77" s="7">
        <v>4</v>
      </c>
      <c r="M77">
        <f>ROUND(TTrainingSource[[#This Row],[Satisfaction_Score2]],0)</f>
        <v>4</v>
      </c>
      <c r="N77">
        <v>3.7</v>
      </c>
    </row>
    <row r="78" spans="1:14" x14ac:dyDescent="0.3">
      <c r="A78" t="s">
        <v>695</v>
      </c>
      <c r="B78" t="str">
        <f>TRIM(TTrainingSource[[#This Row],[EMPloyee_ID2]])</f>
        <v>EMP10041</v>
      </c>
      <c r="C78" t="str">
        <f>IFERROR(VLOOKUP(TTrainingSource[[#This Row],[Employee_ID]],THrList[],3,FALSE),"")</f>
        <v>PETIT</v>
      </c>
      <c r="D78" t="str">
        <f>IFERROR(VLOOKUP(TTrainingSource[[#This Row],[Employee_ID]],THrList[],4,FALSE),"")</f>
        <v>Nadia</v>
      </c>
      <c r="E78" t="str">
        <f>IFERROR(VLOOKUP(TTrainingSource[[#This Row],[Employee_ID]],THrList[],10,FALSE),"")</f>
        <v>Human Resources</v>
      </c>
      <c r="F78" t="str">
        <f>TRIM(PROPER(TTrainingSource[[#This Row],[Training_Status2]]))</f>
        <v>Completed</v>
      </c>
      <c r="G78" t="s">
        <v>17</v>
      </c>
      <c r="H78" t="str">
        <f>TRIM(PROPER(TTrainingSource[[#This Row],[Training_Title2]]))</f>
        <v>Communication For Analysts</v>
      </c>
      <c r="I78" t="s">
        <v>28</v>
      </c>
      <c r="J78" s="1">
        <v>45336</v>
      </c>
      <c r="K78" t="s">
        <v>39</v>
      </c>
      <c r="L78" s="7">
        <v>4</v>
      </c>
      <c r="M78">
        <f>ROUND(TTrainingSource[[#This Row],[Satisfaction_Score2]],0)</f>
        <v>5</v>
      </c>
      <c r="N78">
        <v>4.5999999999999996</v>
      </c>
    </row>
    <row r="79" spans="1:14" x14ac:dyDescent="0.3">
      <c r="A79" t="s">
        <v>372</v>
      </c>
      <c r="B79" t="str">
        <f>TRIM(TTrainingSource[[#This Row],[EMPloyee_ID2]])</f>
        <v>EMP10042</v>
      </c>
      <c r="C79" t="str">
        <f>IFERROR(VLOOKUP(TTrainingSource[[#This Row],[Employee_ID]],THrList[],3,FALSE),"")</f>
        <v>TRAORE</v>
      </c>
      <c r="D79" t="str">
        <f>IFERROR(VLOOKUP(TTrainingSource[[#This Row],[Employee_ID]],THrList[],4,FALSE),"")</f>
        <v>Emily</v>
      </c>
      <c r="E79" t="str">
        <f>IFERROR(VLOOKUP(TTrainingSource[[#This Row],[Employee_ID]],THrList[],10,FALSE),"")</f>
        <v>IT</v>
      </c>
      <c r="F79" t="str">
        <f>TRIM(PROPER(TTrainingSource[[#This Row],[Training_Status2]]))</f>
        <v>Planned</v>
      </c>
      <c r="G79" t="s">
        <v>19</v>
      </c>
      <c r="H79" t="str">
        <f>TRIM(PROPER(TTrainingSource[[#This Row],[Training_Title2]]))</f>
        <v>Advanced Excel For Business</v>
      </c>
      <c r="I79" t="s">
        <v>52</v>
      </c>
      <c r="J79" s="1">
        <v>45239</v>
      </c>
      <c r="K79" t="s">
        <v>42</v>
      </c>
      <c r="L79" s="7">
        <v>12</v>
      </c>
      <c r="M79">
        <f>ROUND(TTrainingSource[[#This Row],[Satisfaction_Score2]],0)</f>
        <v>5</v>
      </c>
      <c r="N79">
        <v>4.7</v>
      </c>
    </row>
    <row r="80" spans="1:14" x14ac:dyDescent="0.3">
      <c r="A80" t="s">
        <v>372</v>
      </c>
      <c r="B80" t="str">
        <f>TRIM(TTrainingSource[[#This Row],[EMPloyee_ID2]])</f>
        <v>EMP10042</v>
      </c>
      <c r="C80" t="str">
        <f>IFERROR(VLOOKUP(TTrainingSource[[#This Row],[Employee_ID]],THrList[],3,FALSE),"")</f>
        <v>TRAORE</v>
      </c>
      <c r="D80" t="str">
        <f>IFERROR(VLOOKUP(TTrainingSource[[#This Row],[Employee_ID]],THrList[],4,FALSE),"")</f>
        <v>Emily</v>
      </c>
      <c r="E80" t="str">
        <f>IFERROR(VLOOKUP(TTrainingSource[[#This Row],[Employee_ID]],THrList[],10,FALSE),"")</f>
        <v>IT</v>
      </c>
      <c r="F80" t="str">
        <f>TRIM(PROPER(TTrainingSource[[#This Row],[Training_Status2]]))</f>
        <v>In Progress</v>
      </c>
      <c r="G80" t="s">
        <v>8</v>
      </c>
      <c r="H80" t="str">
        <f>TRIM(PROPER(TTrainingSource[[#This Row],[Training_Title2]]))</f>
        <v>Project Management Essentials</v>
      </c>
      <c r="I80" t="s">
        <v>14</v>
      </c>
      <c r="J80" s="1">
        <v>44784</v>
      </c>
      <c r="K80" t="s">
        <v>29</v>
      </c>
      <c r="L80" s="7">
        <v>16</v>
      </c>
      <c r="M80">
        <f>ROUND(TTrainingSource[[#This Row],[Satisfaction_Score2]],0)</f>
        <v>3</v>
      </c>
      <c r="N80">
        <v>2.8</v>
      </c>
    </row>
    <row r="81" spans="1:14" x14ac:dyDescent="0.3">
      <c r="A81" t="s">
        <v>372</v>
      </c>
      <c r="B81" t="str">
        <f>TRIM(TTrainingSource[[#This Row],[EMPloyee_ID2]])</f>
        <v>EMP10042</v>
      </c>
      <c r="C81" t="str">
        <f>IFERROR(VLOOKUP(TTrainingSource[[#This Row],[Employee_ID]],THrList[],3,FALSE),"")</f>
        <v>TRAORE</v>
      </c>
      <c r="D81" t="str">
        <f>IFERROR(VLOOKUP(TTrainingSource[[#This Row],[Employee_ID]],THrList[],4,FALSE),"")</f>
        <v>Emily</v>
      </c>
      <c r="E81" t="str">
        <f>IFERROR(VLOOKUP(TTrainingSource[[#This Row],[Employee_ID]],THrList[],10,FALSE),"")</f>
        <v>IT</v>
      </c>
      <c r="F81" t="str">
        <f>TRIM(PROPER(TTrainingSource[[#This Row],[Training_Status2]]))</f>
        <v>In Progress</v>
      </c>
      <c r="G81" t="s">
        <v>8</v>
      </c>
      <c r="H81" t="str">
        <f>TRIM(PROPER(TTrainingSource[[#This Row],[Training_Title2]]))</f>
        <v>Business Intelligence With Tableau</v>
      </c>
      <c r="I81" t="s">
        <v>22</v>
      </c>
      <c r="J81" s="1">
        <v>44878</v>
      </c>
      <c r="K81" t="s">
        <v>98</v>
      </c>
      <c r="L81" s="7">
        <v>40</v>
      </c>
      <c r="M81">
        <f>ROUND(TTrainingSource[[#This Row],[Satisfaction_Score2]],0)</f>
        <v>3</v>
      </c>
      <c r="N81">
        <v>2.9</v>
      </c>
    </row>
    <row r="82" spans="1:14" x14ac:dyDescent="0.3">
      <c r="A82" t="s">
        <v>150</v>
      </c>
      <c r="B82" t="str">
        <f>TRIM(TTrainingSource[[#This Row],[EMPloyee_ID2]])</f>
        <v>EMP10044</v>
      </c>
      <c r="C82" t="str">
        <f>IFERROR(VLOOKUP(TTrainingSource[[#This Row],[Employee_ID]],THrList[],3,FALSE),"")</f>
        <v>TRAORE</v>
      </c>
      <c r="D82" t="str">
        <f>IFERROR(VLOOKUP(TTrainingSource[[#This Row],[Employee_ID]],THrList[],4,FALSE),"")</f>
        <v>Evelyn</v>
      </c>
      <c r="E82" t="str">
        <f>IFERROR(VLOOKUP(TTrainingSource[[#This Row],[Employee_ID]],THrList[],10,FALSE),"")</f>
        <v>Compliance</v>
      </c>
      <c r="F82" t="str">
        <f>TRIM(PROPER(TTrainingSource[[#This Row],[Training_Status2]]))</f>
        <v>Planned</v>
      </c>
      <c r="G82" t="s">
        <v>19</v>
      </c>
      <c r="H82" t="str">
        <f>TRIM(PROPER(TTrainingSource[[#This Row],[Training_Title2]]))</f>
        <v>Data Visualization Best Practices</v>
      </c>
      <c r="I82" t="s">
        <v>151</v>
      </c>
      <c r="J82" s="1">
        <v>45154</v>
      </c>
      <c r="K82" t="s">
        <v>39</v>
      </c>
      <c r="L82" s="7">
        <v>12</v>
      </c>
      <c r="M82">
        <f>ROUND(TTrainingSource[[#This Row],[Satisfaction_Score2]],0)</f>
        <v>4</v>
      </c>
      <c r="N82">
        <v>4.2</v>
      </c>
    </row>
    <row r="83" spans="1:14" x14ac:dyDescent="0.3">
      <c r="A83" t="s">
        <v>423</v>
      </c>
      <c r="B83" t="str">
        <f>TRIM(TTrainingSource[[#This Row],[EMPloyee_ID2]])</f>
        <v>EMP10045</v>
      </c>
      <c r="C83" t="str">
        <f>IFERROR(VLOOKUP(TTrainingSource[[#This Row],[Employee_ID]],THrList[],3,FALSE),"")</f>
        <v>KONE</v>
      </c>
      <c r="D83" t="str">
        <f>IFERROR(VLOOKUP(TTrainingSource[[#This Row],[Employee_ID]],THrList[],4,FALSE),"")</f>
        <v>Noah</v>
      </c>
      <c r="E83" t="str">
        <f>IFERROR(VLOOKUP(TTrainingSource[[#This Row],[Employee_ID]],THrList[],10,FALSE),"")</f>
        <v>Human Resources</v>
      </c>
      <c r="F83" t="str">
        <f>TRIM(PROPER(TTrainingSource[[#This Row],[Training_Status2]]))</f>
        <v>Completed</v>
      </c>
      <c r="G83" t="s">
        <v>17</v>
      </c>
      <c r="H83" t="str">
        <f>TRIM(PROPER(TTrainingSource[[#This Row],[Training_Title2]]))</f>
        <v>Sql For Data Analytics</v>
      </c>
      <c r="I83" t="s">
        <v>26</v>
      </c>
      <c r="J83" s="1">
        <v>45234</v>
      </c>
      <c r="K83" t="s">
        <v>15</v>
      </c>
      <c r="L83" s="7">
        <v>32</v>
      </c>
      <c r="M83">
        <f>ROUND(TTrainingSource[[#This Row],[Satisfaction_Score2]],0)</f>
        <v>5</v>
      </c>
      <c r="N83">
        <v>4.8</v>
      </c>
    </row>
    <row r="84" spans="1:14" x14ac:dyDescent="0.3">
      <c r="A84" t="s">
        <v>423</v>
      </c>
      <c r="B84" t="str">
        <f>TRIM(TTrainingSource[[#This Row],[EMPloyee_ID2]])</f>
        <v>EMP10045</v>
      </c>
      <c r="C84" t="str">
        <f>IFERROR(VLOOKUP(TTrainingSource[[#This Row],[Employee_ID]],THrList[],3,FALSE),"")</f>
        <v>KONE</v>
      </c>
      <c r="D84" t="str">
        <f>IFERROR(VLOOKUP(TTrainingSource[[#This Row],[Employee_ID]],THrList[],4,FALSE),"")</f>
        <v>Noah</v>
      </c>
      <c r="E84" t="str">
        <f>IFERROR(VLOOKUP(TTrainingSource[[#This Row],[Employee_ID]],THrList[],10,FALSE),"")</f>
        <v>Human Resources</v>
      </c>
      <c r="F84" t="str">
        <f>TRIM(PROPER(TTrainingSource[[#This Row],[Training_Status2]]))</f>
        <v>Planned</v>
      </c>
      <c r="G84" t="s">
        <v>19</v>
      </c>
      <c r="H84" t="str">
        <f>TRIM(PROPER(TTrainingSource[[#This Row],[Training_Title2]]))</f>
        <v>Business Intelligence With Tableau</v>
      </c>
      <c r="I84" t="s">
        <v>349</v>
      </c>
      <c r="J84" s="1">
        <v>45177</v>
      </c>
      <c r="K84" t="s">
        <v>12</v>
      </c>
      <c r="L84" s="7">
        <v>24</v>
      </c>
      <c r="M84">
        <f>ROUND(TTrainingSource[[#This Row],[Satisfaction_Score2]],0)</f>
        <v>3</v>
      </c>
      <c r="N84">
        <v>3</v>
      </c>
    </row>
    <row r="85" spans="1:14" x14ac:dyDescent="0.3">
      <c r="A85" t="s">
        <v>423</v>
      </c>
      <c r="B85" t="str">
        <f>TRIM(TTrainingSource[[#This Row],[EMPloyee_ID2]])</f>
        <v>EMP10045</v>
      </c>
      <c r="C85" t="str">
        <f>IFERROR(VLOOKUP(TTrainingSource[[#This Row],[Employee_ID]],THrList[],3,FALSE),"")</f>
        <v>KONE</v>
      </c>
      <c r="D85" t="str">
        <f>IFERROR(VLOOKUP(TTrainingSource[[#This Row],[Employee_ID]],THrList[],4,FALSE),"")</f>
        <v>Noah</v>
      </c>
      <c r="E85" t="str">
        <f>IFERROR(VLOOKUP(TTrainingSource[[#This Row],[Employee_ID]],THrList[],10,FALSE),"")</f>
        <v>Human Resources</v>
      </c>
      <c r="F85" t="str">
        <f>TRIM(PROPER(TTrainingSource[[#This Row],[Training_Status2]]))</f>
        <v>Completed</v>
      </c>
      <c r="G85" t="s">
        <v>17</v>
      </c>
      <c r="H85" t="str">
        <f>TRIM(PROPER(TTrainingSource[[#This Row],[Training_Title2]]))</f>
        <v>Project Management Essentials</v>
      </c>
      <c r="I85" t="s">
        <v>14</v>
      </c>
      <c r="J85" s="1">
        <v>45797</v>
      </c>
      <c r="K85" t="s">
        <v>39</v>
      </c>
      <c r="L85" s="7">
        <v>12</v>
      </c>
      <c r="M85">
        <f>ROUND(TTrainingSource[[#This Row],[Satisfaction_Score2]],0)</f>
        <v>4</v>
      </c>
      <c r="N85">
        <v>4.0999999999999996</v>
      </c>
    </row>
    <row r="86" spans="1:14" x14ac:dyDescent="0.3">
      <c r="A86" t="s">
        <v>423</v>
      </c>
      <c r="B86" t="str">
        <f>TRIM(TTrainingSource[[#This Row],[EMPloyee_ID2]])</f>
        <v>EMP10045</v>
      </c>
      <c r="C86" t="str">
        <f>IFERROR(VLOOKUP(TTrainingSource[[#This Row],[Employee_ID]],THrList[],3,FALSE),"")</f>
        <v>KONE</v>
      </c>
      <c r="D86" t="str">
        <f>IFERROR(VLOOKUP(TTrainingSource[[#This Row],[Employee_ID]],THrList[],4,FALSE),"")</f>
        <v>Noah</v>
      </c>
      <c r="E86" t="str">
        <f>IFERROR(VLOOKUP(TTrainingSource[[#This Row],[Employee_ID]],THrList[],10,FALSE),"")</f>
        <v>Human Resources</v>
      </c>
      <c r="F86" t="str">
        <f>TRIM(PROPER(TTrainingSource[[#This Row],[Training_Status2]]))</f>
        <v>Planned</v>
      </c>
      <c r="G86" t="s">
        <v>19</v>
      </c>
      <c r="H86" t="str">
        <f>TRIM(PROPER(TTrainingSource[[#This Row],[Training_Title2]]))</f>
        <v>Sql For Data Analytics</v>
      </c>
      <c r="I86" t="s">
        <v>26</v>
      </c>
      <c r="J86" s="1">
        <v>45537</v>
      </c>
      <c r="K86" t="s">
        <v>29</v>
      </c>
      <c r="L86" s="7">
        <v>32</v>
      </c>
      <c r="M86">
        <f>ROUND(TTrainingSource[[#This Row],[Satisfaction_Score2]],0)</f>
        <v>4</v>
      </c>
      <c r="N86">
        <v>3.9</v>
      </c>
    </row>
    <row r="87" spans="1:14" x14ac:dyDescent="0.3">
      <c r="A87" t="s">
        <v>410</v>
      </c>
      <c r="B87" t="str">
        <f>TRIM(TTrainingSource[[#This Row],[EMPloyee_ID2]])</f>
        <v>EMP10046</v>
      </c>
      <c r="C87" t="str">
        <f>IFERROR(VLOOKUP(TTrainingSource[[#This Row],[Employee_ID]],THrList[],3,FALSE),"")</f>
        <v>CHEN</v>
      </c>
      <c r="D87" t="str">
        <f>IFERROR(VLOOKUP(TTrainingSource[[#This Row],[Employee_ID]],THrList[],4,FALSE),"")</f>
        <v>Ibrahim</v>
      </c>
      <c r="E87" t="str">
        <f>IFERROR(VLOOKUP(TTrainingSource[[#This Row],[Employee_ID]],THrList[],10,FALSE),"")</f>
        <v>Operations</v>
      </c>
      <c r="F87" t="str">
        <f>TRIM(PROPER(TTrainingSource[[#This Row],[Training_Status2]]))</f>
        <v>Completed</v>
      </c>
      <c r="G87" t="s">
        <v>17</v>
      </c>
      <c r="H87" t="str">
        <f>TRIM(PROPER(TTrainingSource[[#This Row],[Training_Title2]]))</f>
        <v>Communication For Analysts</v>
      </c>
      <c r="I87" t="s">
        <v>106</v>
      </c>
      <c r="J87" s="1">
        <v>45023</v>
      </c>
      <c r="K87" t="s">
        <v>29</v>
      </c>
      <c r="L87" s="7">
        <v>12</v>
      </c>
      <c r="M87">
        <f>ROUND(TTrainingSource[[#This Row],[Satisfaction_Score2]],0)</f>
        <v>4</v>
      </c>
      <c r="N87">
        <v>4.4000000000000004</v>
      </c>
    </row>
    <row r="88" spans="1:14" x14ac:dyDescent="0.3">
      <c r="A88" t="s">
        <v>410</v>
      </c>
      <c r="B88" t="str">
        <f>TRIM(TTrainingSource[[#This Row],[EMPloyee_ID2]])</f>
        <v>EMP10046</v>
      </c>
      <c r="C88" t="str">
        <f>IFERROR(VLOOKUP(TTrainingSource[[#This Row],[Employee_ID]],THrList[],3,FALSE),"")</f>
        <v>CHEN</v>
      </c>
      <c r="D88" t="str">
        <f>IFERROR(VLOOKUP(TTrainingSource[[#This Row],[Employee_ID]],THrList[],4,FALSE),"")</f>
        <v>Ibrahim</v>
      </c>
      <c r="E88" t="str">
        <f>IFERROR(VLOOKUP(TTrainingSource[[#This Row],[Employee_ID]],THrList[],10,FALSE),"")</f>
        <v>Operations</v>
      </c>
      <c r="F88" t="str">
        <f>TRIM(PROPER(TTrainingSource[[#This Row],[Training_Status2]]))</f>
        <v>Planned</v>
      </c>
      <c r="G88" t="s">
        <v>19</v>
      </c>
      <c r="H88" t="str">
        <f>TRIM(PROPER(TTrainingSource[[#This Row],[Training_Title2]]))</f>
        <v>Communication For Analysts</v>
      </c>
      <c r="I88" t="s">
        <v>28</v>
      </c>
      <c r="J88" s="1">
        <v>45704</v>
      </c>
      <c r="K88" t="s">
        <v>15</v>
      </c>
      <c r="L88" s="7">
        <v>8</v>
      </c>
      <c r="M88">
        <f>ROUND(TTrainingSource[[#This Row],[Satisfaction_Score2]],0)</f>
        <v>3</v>
      </c>
      <c r="N88">
        <v>2.8</v>
      </c>
    </row>
    <row r="89" spans="1:14" x14ac:dyDescent="0.3">
      <c r="A89" t="s">
        <v>410</v>
      </c>
      <c r="B89" t="str">
        <f>TRIM(TTrainingSource[[#This Row],[EMPloyee_ID2]])</f>
        <v>EMP10046</v>
      </c>
      <c r="C89" t="str">
        <f>IFERROR(VLOOKUP(TTrainingSource[[#This Row],[Employee_ID]],THrList[],3,FALSE),"")</f>
        <v>CHEN</v>
      </c>
      <c r="D89" t="str">
        <f>IFERROR(VLOOKUP(TTrainingSource[[#This Row],[Employee_ID]],THrList[],4,FALSE),"")</f>
        <v>Ibrahim</v>
      </c>
      <c r="E89" t="str">
        <f>IFERROR(VLOOKUP(TTrainingSource[[#This Row],[Employee_ID]],THrList[],10,FALSE),"")</f>
        <v>Operations</v>
      </c>
      <c r="F89" t="str">
        <f>TRIM(PROPER(TTrainingSource[[#This Row],[Training_Status2]]))</f>
        <v>In Progress</v>
      </c>
      <c r="G89" t="s">
        <v>8</v>
      </c>
      <c r="H89" t="str">
        <f>TRIM(PROPER(TTrainingSource[[#This Row],[Training_Title2]]))</f>
        <v>Business Intelligence With Tableau</v>
      </c>
      <c r="I89" t="s">
        <v>22</v>
      </c>
      <c r="J89" s="1">
        <v>45946</v>
      </c>
      <c r="K89" t="s">
        <v>46</v>
      </c>
      <c r="L89" s="7">
        <v>40</v>
      </c>
      <c r="M89">
        <f>ROUND(TTrainingSource[[#This Row],[Satisfaction_Score2]],0)</f>
        <v>5</v>
      </c>
      <c r="N89">
        <v>4.7</v>
      </c>
    </row>
    <row r="90" spans="1:14" x14ac:dyDescent="0.3">
      <c r="A90" t="s">
        <v>771</v>
      </c>
      <c r="B90" t="str">
        <f>TRIM(TTrainingSource[[#This Row],[EMPloyee_ID2]])</f>
        <v>EMP10046</v>
      </c>
      <c r="C90" t="str">
        <f>IFERROR(VLOOKUP(TTrainingSource[[#This Row],[Employee_ID]],THrList[],3,FALSE),"")</f>
        <v>CHEN</v>
      </c>
      <c r="D90" t="str">
        <f>IFERROR(VLOOKUP(TTrainingSource[[#This Row],[Employee_ID]],THrList[],4,FALSE),"")</f>
        <v>Ibrahim</v>
      </c>
      <c r="E90" t="str">
        <f>IFERROR(VLOOKUP(TTrainingSource[[#This Row],[Employee_ID]],THrList[],10,FALSE),"")</f>
        <v>Operations</v>
      </c>
      <c r="F90" t="str">
        <f>TRIM(PROPER(TTrainingSource[[#This Row],[Training_Status2]]))</f>
        <v>Completed</v>
      </c>
      <c r="G90" t="s">
        <v>17</v>
      </c>
      <c r="H90" t="str">
        <f>TRIM(PROPER(TTrainingSource[[#This Row],[Training_Title2]]))</f>
        <v>Data Analysis Fundamentals</v>
      </c>
      <c r="I90" t="s">
        <v>9</v>
      </c>
      <c r="J90" s="1">
        <v>45495</v>
      </c>
      <c r="K90" t="s">
        <v>71</v>
      </c>
      <c r="L90" s="7">
        <v>6</v>
      </c>
      <c r="M90">
        <f>ROUND(TTrainingSource[[#This Row],[Satisfaction_Score2]],0)</f>
        <v>3</v>
      </c>
      <c r="N90">
        <v>2.7</v>
      </c>
    </row>
    <row r="91" spans="1:14" x14ac:dyDescent="0.3">
      <c r="A91" t="s">
        <v>624</v>
      </c>
      <c r="B91" t="str">
        <f>TRIM(TTrainingSource[[#This Row],[EMPloyee_ID2]])</f>
        <v>EMP10047</v>
      </c>
      <c r="C91" t="str">
        <f>IFERROR(VLOOKUP(TTrainingSource[[#This Row],[Employee_ID]],THrList[],3,FALSE),"")</f>
        <v>KONE</v>
      </c>
      <c r="D91" t="str">
        <f>IFERROR(VLOOKUP(TTrainingSource[[#This Row],[Employee_ID]],THrList[],4,FALSE),"")</f>
        <v>Claire</v>
      </c>
      <c r="E91" t="str">
        <f>IFERROR(VLOOKUP(TTrainingSource[[#This Row],[Employee_ID]],THrList[],10,FALSE),"")</f>
        <v>Finance</v>
      </c>
      <c r="F91" t="str">
        <f>TRIM(PROPER(TTrainingSource[[#This Row],[Training_Status2]]))</f>
        <v>Completed</v>
      </c>
      <c r="G91" t="s">
        <v>17</v>
      </c>
      <c r="H91" t="str">
        <f>TRIM(PROPER(TTrainingSource[[#This Row],[Training_Title2]]))</f>
        <v>Introduction To Python For Data</v>
      </c>
      <c r="I91" t="s">
        <v>62</v>
      </c>
      <c r="J91" s="1">
        <v>45587</v>
      </c>
      <c r="K91" t="s">
        <v>98</v>
      </c>
      <c r="L91" s="7">
        <v>40</v>
      </c>
      <c r="M91">
        <f>ROUND(TTrainingSource[[#This Row],[Satisfaction_Score2]],0)</f>
        <v>5</v>
      </c>
      <c r="N91">
        <v>4.8</v>
      </c>
    </row>
    <row r="92" spans="1:14" x14ac:dyDescent="0.3">
      <c r="A92" t="s">
        <v>53</v>
      </c>
      <c r="B92" t="str">
        <f>TRIM(TTrainingSource[[#This Row],[EMPloyee_ID2]])</f>
        <v>EMP10048</v>
      </c>
      <c r="C92" t="str">
        <f>IFERROR(VLOOKUP(TTrainingSource[[#This Row],[Employee_ID]],THrList[],3,FALSE),"")</f>
        <v>WILLIAMS</v>
      </c>
      <c r="D92" t="str">
        <f>IFERROR(VLOOKUP(TTrainingSource[[#This Row],[Employee_ID]],THrList[],4,FALSE),"")</f>
        <v>Charlotte</v>
      </c>
      <c r="E92" t="str">
        <f>IFERROR(VLOOKUP(TTrainingSource[[#This Row],[Employee_ID]],THrList[],10,FALSE),"")</f>
        <v>Compliance</v>
      </c>
      <c r="F92" t="str">
        <f>TRIM(PROPER(TTrainingSource[[#This Row],[Training_Status2]]))</f>
        <v>Completed</v>
      </c>
      <c r="G92" t="s">
        <v>17</v>
      </c>
      <c r="H92" t="str">
        <f>TRIM(PROPER(TTrainingSource[[#This Row],[Training_Title2]]))</f>
        <v>Customer Data Analysis</v>
      </c>
      <c r="I92" t="s">
        <v>31</v>
      </c>
      <c r="J92" s="1">
        <v>45073</v>
      </c>
      <c r="K92" t="s">
        <v>39</v>
      </c>
      <c r="L92" s="7">
        <v>32</v>
      </c>
      <c r="M92">
        <f>ROUND(TTrainingSource[[#This Row],[Satisfaction_Score2]],0)</f>
        <v>3</v>
      </c>
      <c r="N92">
        <v>3.1</v>
      </c>
    </row>
    <row r="93" spans="1:14" x14ac:dyDescent="0.3">
      <c r="A93" t="s">
        <v>53</v>
      </c>
      <c r="B93" t="str">
        <f>TRIM(TTrainingSource[[#This Row],[EMPloyee_ID2]])</f>
        <v>EMP10048</v>
      </c>
      <c r="C93" t="str">
        <f>IFERROR(VLOOKUP(TTrainingSource[[#This Row],[Employee_ID]],THrList[],3,FALSE),"")</f>
        <v>WILLIAMS</v>
      </c>
      <c r="D93" t="str">
        <f>IFERROR(VLOOKUP(TTrainingSource[[#This Row],[Employee_ID]],THrList[],4,FALSE),"")</f>
        <v>Charlotte</v>
      </c>
      <c r="E93" t="str">
        <f>IFERROR(VLOOKUP(TTrainingSource[[#This Row],[Employee_ID]],THrList[],10,FALSE),"")</f>
        <v>Compliance</v>
      </c>
      <c r="F93" t="str">
        <f>TRIM(PROPER(TTrainingSource[[#This Row],[Training_Status2]]))</f>
        <v>Completed</v>
      </c>
      <c r="G93" t="s">
        <v>69</v>
      </c>
      <c r="H93" t="str">
        <f>TRIM(PROPER(TTrainingSource[[#This Row],[Training_Title2]]))</f>
        <v>Data Analysis Fundamentals</v>
      </c>
      <c r="I93" t="s">
        <v>461</v>
      </c>
      <c r="J93" s="1">
        <v>45578</v>
      </c>
      <c r="K93" t="s">
        <v>44</v>
      </c>
      <c r="L93" s="7">
        <v>8</v>
      </c>
      <c r="M93">
        <f>ROUND(TTrainingSource[[#This Row],[Satisfaction_Score2]],0)</f>
        <v>4</v>
      </c>
      <c r="N93">
        <v>4.0999999999999996</v>
      </c>
    </row>
    <row r="94" spans="1:14" x14ac:dyDescent="0.3">
      <c r="A94" t="s">
        <v>53</v>
      </c>
      <c r="B94" t="str">
        <f>TRIM(TTrainingSource[[#This Row],[EMPloyee_ID2]])</f>
        <v>EMP10048</v>
      </c>
      <c r="C94" t="str">
        <f>IFERROR(VLOOKUP(TTrainingSource[[#This Row],[Employee_ID]],THrList[],3,FALSE),"")</f>
        <v>WILLIAMS</v>
      </c>
      <c r="D94" t="str">
        <f>IFERROR(VLOOKUP(TTrainingSource[[#This Row],[Employee_ID]],THrList[],4,FALSE),"")</f>
        <v>Charlotte</v>
      </c>
      <c r="E94" t="str">
        <f>IFERROR(VLOOKUP(TTrainingSource[[#This Row],[Employee_ID]],THrList[],10,FALSE),"")</f>
        <v>Compliance</v>
      </c>
      <c r="F94" t="str">
        <f>TRIM(PROPER(TTrainingSource[[#This Row],[Training_Status2]]))</f>
        <v>Planned</v>
      </c>
      <c r="G94" t="s">
        <v>19</v>
      </c>
      <c r="H94" t="str">
        <f>TRIM(PROPER(TTrainingSource[[#This Row],[Training_Title2]]))</f>
        <v>Communication For Analysts</v>
      </c>
      <c r="I94" t="s">
        <v>28</v>
      </c>
      <c r="J94" s="1">
        <v>45942</v>
      </c>
      <c r="K94" t="s">
        <v>46</v>
      </c>
      <c r="L94" s="7">
        <v>0</v>
      </c>
      <c r="M94">
        <f>ROUND(TTrainingSource[[#This Row],[Satisfaction_Score2]],0)</f>
        <v>4</v>
      </c>
      <c r="N94">
        <v>4.0999999999999996</v>
      </c>
    </row>
    <row r="95" spans="1:14" x14ac:dyDescent="0.3">
      <c r="A95" t="s">
        <v>53</v>
      </c>
      <c r="B95" t="str">
        <f>TRIM(TTrainingSource[[#This Row],[EMPloyee_ID2]])</f>
        <v>EMP10048</v>
      </c>
      <c r="C95" t="str">
        <f>IFERROR(VLOOKUP(TTrainingSource[[#This Row],[Employee_ID]],THrList[],3,FALSE),"")</f>
        <v>WILLIAMS</v>
      </c>
      <c r="D95" t="str">
        <f>IFERROR(VLOOKUP(TTrainingSource[[#This Row],[Employee_ID]],THrList[],4,FALSE),"")</f>
        <v>Charlotte</v>
      </c>
      <c r="E95" t="str">
        <f>IFERROR(VLOOKUP(TTrainingSource[[#This Row],[Employee_ID]],THrList[],10,FALSE),"")</f>
        <v>Compliance</v>
      </c>
      <c r="F95" t="str">
        <f>TRIM(PROPER(TTrainingSource[[#This Row],[Training_Status2]]))</f>
        <v>In Progress</v>
      </c>
      <c r="G95" t="s">
        <v>8</v>
      </c>
      <c r="H95" t="str">
        <f>TRIM(PROPER(TTrainingSource[[#This Row],[Training_Title2]]))</f>
        <v>Digital Marketing Strategy</v>
      </c>
      <c r="I95" t="s">
        <v>43</v>
      </c>
      <c r="J95" s="1">
        <v>45031</v>
      </c>
      <c r="K95" t="s">
        <v>15</v>
      </c>
      <c r="L95" s="7">
        <v>6</v>
      </c>
      <c r="M95">
        <f>ROUND(TTrainingSource[[#This Row],[Satisfaction_Score2]],0)</f>
        <v>3</v>
      </c>
      <c r="N95">
        <v>3.1</v>
      </c>
    </row>
    <row r="96" spans="1:14" x14ac:dyDescent="0.3">
      <c r="A96" t="s">
        <v>53</v>
      </c>
      <c r="B96" t="str">
        <f>TRIM(TTrainingSource[[#This Row],[EMPloyee_ID2]])</f>
        <v>EMP10048</v>
      </c>
      <c r="C96" t="str">
        <f>IFERROR(VLOOKUP(TTrainingSource[[#This Row],[Employee_ID]],THrList[],3,FALSE),"")</f>
        <v>WILLIAMS</v>
      </c>
      <c r="D96" t="str">
        <f>IFERROR(VLOOKUP(TTrainingSource[[#This Row],[Employee_ID]],THrList[],4,FALSE),"")</f>
        <v>Charlotte</v>
      </c>
      <c r="E96" t="str">
        <f>IFERROR(VLOOKUP(TTrainingSource[[#This Row],[Employee_ID]],THrList[],10,FALSE),"")</f>
        <v>Compliance</v>
      </c>
      <c r="F96" t="str">
        <f>TRIM(PROPER(TTrainingSource[[#This Row],[Training_Status2]]))</f>
        <v>In Progress</v>
      </c>
      <c r="G96" t="s">
        <v>8</v>
      </c>
      <c r="H96" t="str">
        <f>TRIM(PROPER(TTrainingSource[[#This Row],[Training_Title2]]))</f>
        <v>Financial Modeling Basics</v>
      </c>
      <c r="I96" t="s">
        <v>38</v>
      </c>
      <c r="J96" s="1">
        <v>44815</v>
      </c>
      <c r="K96" t="s">
        <v>15</v>
      </c>
      <c r="L96" s="7">
        <v>32</v>
      </c>
      <c r="M96">
        <f>ROUND(TTrainingSource[[#This Row],[Satisfaction_Score2]],0)</f>
        <v>4</v>
      </c>
      <c r="N96">
        <v>3.9</v>
      </c>
    </row>
    <row r="97" spans="1:14" x14ac:dyDescent="0.3">
      <c r="A97" t="s">
        <v>403</v>
      </c>
      <c r="B97" t="str">
        <f>TRIM(TTrainingSource[[#This Row],[EMPloyee_ID2]])</f>
        <v>EMP10049</v>
      </c>
      <c r="C97" t="str">
        <f>IFERROR(VLOOKUP(TTrainingSource[[#This Row],[Employee_ID]],THrList[],3,FALSE),"")</f>
        <v>WILSON</v>
      </c>
      <c r="D97" t="str">
        <f>IFERROR(VLOOKUP(TTrainingSource[[#This Row],[Employee_ID]],THrList[],4,FALSE),"")</f>
        <v>Amelia</v>
      </c>
      <c r="E97" t="str">
        <f>IFERROR(VLOOKUP(TTrainingSource[[#This Row],[Employee_ID]],THrList[],10,FALSE),"")</f>
        <v>Finance</v>
      </c>
      <c r="F97" t="str">
        <f>TRIM(PROPER(TTrainingSource[[#This Row],[Training_Status2]]))</f>
        <v>Planned</v>
      </c>
      <c r="G97" t="s">
        <v>19</v>
      </c>
      <c r="H97" t="str">
        <f>TRIM(PROPER(TTrainingSource[[#This Row],[Training_Title2]]))</f>
        <v>Sql For Data Analytics</v>
      </c>
      <c r="I97" t="s">
        <v>26</v>
      </c>
      <c r="J97" s="1">
        <v>45163</v>
      </c>
      <c r="K97" t="s">
        <v>39</v>
      </c>
      <c r="L97" s="7">
        <v>32</v>
      </c>
      <c r="M97">
        <f>ROUND(TTrainingSource[[#This Row],[Satisfaction_Score2]],0)</f>
        <v>4</v>
      </c>
      <c r="N97">
        <v>4</v>
      </c>
    </row>
    <row r="98" spans="1:14" x14ac:dyDescent="0.3">
      <c r="A98" t="s">
        <v>403</v>
      </c>
      <c r="B98" t="str">
        <f>TRIM(TTrainingSource[[#This Row],[EMPloyee_ID2]])</f>
        <v>EMP10049</v>
      </c>
      <c r="C98" t="str">
        <f>IFERROR(VLOOKUP(TTrainingSource[[#This Row],[Employee_ID]],THrList[],3,FALSE),"")</f>
        <v>WILSON</v>
      </c>
      <c r="D98" t="str">
        <f>IFERROR(VLOOKUP(TTrainingSource[[#This Row],[Employee_ID]],THrList[],4,FALSE),"")</f>
        <v>Amelia</v>
      </c>
      <c r="E98" t="str">
        <f>IFERROR(VLOOKUP(TTrainingSource[[#This Row],[Employee_ID]],THrList[],10,FALSE),"")</f>
        <v>Finance</v>
      </c>
      <c r="F98" t="str">
        <f>TRIM(PROPER(TTrainingSource[[#This Row],[Training_Status2]]))</f>
        <v>Completed</v>
      </c>
      <c r="G98" t="s">
        <v>17</v>
      </c>
      <c r="H98" t="str">
        <f>TRIM(PROPER(TTrainingSource[[#This Row],[Training_Title2]]))</f>
        <v>Customer Data Analysis</v>
      </c>
      <c r="I98" t="s">
        <v>31</v>
      </c>
      <c r="J98" s="1">
        <v>44815</v>
      </c>
      <c r="K98" t="s">
        <v>32</v>
      </c>
      <c r="L98" s="7">
        <v>16</v>
      </c>
      <c r="M98">
        <f>ROUND(TTrainingSource[[#This Row],[Satisfaction_Score2]],0)</f>
        <v>3</v>
      </c>
      <c r="N98">
        <v>3.2</v>
      </c>
    </row>
    <row r="99" spans="1:14" x14ac:dyDescent="0.3">
      <c r="A99" t="s">
        <v>403</v>
      </c>
      <c r="B99" t="str">
        <f>TRIM(TTrainingSource[[#This Row],[EMPloyee_ID2]])</f>
        <v>EMP10049</v>
      </c>
      <c r="C99" t="str">
        <f>IFERROR(VLOOKUP(TTrainingSource[[#This Row],[Employee_ID]],THrList[],3,FALSE),"")</f>
        <v>WILSON</v>
      </c>
      <c r="D99" t="str">
        <f>IFERROR(VLOOKUP(TTrainingSource[[#This Row],[Employee_ID]],THrList[],4,FALSE),"")</f>
        <v>Amelia</v>
      </c>
      <c r="E99" t="str">
        <f>IFERROR(VLOOKUP(TTrainingSource[[#This Row],[Employee_ID]],THrList[],10,FALSE),"")</f>
        <v>Finance</v>
      </c>
      <c r="F99" t="str">
        <f>TRIM(PROPER(TTrainingSource[[#This Row],[Training_Status2]]))</f>
        <v>Completed</v>
      </c>
      <c r="G99" t="s">
        <v>17</v>
      </c>
      <c r="H99" t="str">
        <f>TRIM(PROPER(TTrainingSource[[#This Row],[Training_Title2]]))</f>
        <v>Communication For Analysts</v>
      </c>
      <c r="I99" t="s">
        <v>28</v>
      </c>
      <c r="J99" s="1">
        <v>45534</v>
      </c>
      <c r="K99" t="s">
        <v>15</v>
      </c>
      <c r="L99" s="7">
        <v>40</v>
      </c>
      <c r="M99">
        <f>ROUND(TTrainingSource[[#This Row],[Satisfaction_Score2]],0)</f>
        <v>3</v>
      </c>
      <c r="N99">
        <v>2.9</v>
      </c>
    </row>
    <row r="100" spans="1:14" x14ac:dyDescent="0.3">
      <c r="A100" t="s">
        <v>403</v>
      </c>
      <c r="B100" t="str">
        <f>TRIM(TTrainingSource[[#This Row],[EMPloyee_ID2]])</f>
        <v>EMP10049</v>
      </c>
      <c r="C100" t="str">
        <f>IFERROR(VLOOKUP(TTrainingSource[[#This Row],[Employee_ID]],THrList[],3,FALSE),"")</f>
        <v>WILSON</v>
      </c>
      <c r="D100" t="str">
        <f>IFERROR(VLOOKUP(TTrainingSource[[#This Row],[Employee_ID]],THrList[],4,FALSE),"")</f>
        <v>Amelia</v>
      </c>
      <c r="E100" t="str">
        <f>IFERROR(VLOOKUP(TTrainingSource[[#This Row],[Employee_ID]],THrList[],10,FALSE),"")</f>
        <v>Finance</v>
      </c>
      <c r="F100" t="str">
        <f>TRIM(PROPER(TTrainingSource[[#This Row],[Training_Status2]]))</f>
        <v>Completed</v>
      </c>
      <c r="G100" t="s">
        <v>17</v>
      </c>
      <c r="H100" t="str">
        <f>TRIM(PROPER(TTrainingSource[[#This Row],[Training_Title2]]))</f>
        <v>Business Intelligence With Tableau</v>
      </c>
      <c r="I100" t="s">
        <v>162</v>
      </c>
      <c r="J100" s="1">
        <v>45764</v>
      </c>
      <c r="K100" t="s">
        <v>15</v>
      </c>
      <c r="L100" s="7">
        <v>24</v>
      </c>
      <c r="M100">
        <f>ROUND(TTrainingSource[[#This Row],[Satisfaction_Score2]],0)</f>
        <v>4</v>
      </c>
      <c r="N100">
        <v>3.7</v>
      </c>
    </row>
    <row r="101" spans="1:14" x14ac:dyDescent="0.3">
      <c r="A101" t="s">
        <v>569</v>
      </c>
      <c r="B101" t="str">
        <f>TRIM(TTrainingSource[[#This Row],[EMPloyee_ID2]])</f>
        <v>EMP10049</v>
      </c>
      <c r="C101" t="str">
        <f>IFERROR(VLOOKUP(TTrainingSource[[#This Row],[Employee_ID]],THrList[],3,FALSE),"")</f>
        <v>WILSON</v>
      </c>
      <c r="D101" t="str">
        <f>IFERROR(VLOOKUP(TTrainingSource[[#This Row],[Employee_ID]],THrList[],4,FALSE),"")</f>
        <v>Amelia</v>
      </c>
      <c r="E101" t="str">
        <f>IFERROR(VLOOKUP(TTrainingSource[[#This Row],[Employee_ID]],THrList[],10,FALSE),"")</f>
        <v>Finance</v>
      </c>
      <c r="F101" t="str">
        <f>TRIM(PROPER(TTrainingSource[[#This Row],[Training_Status2]]))</f>
        <v>In Progress</v>
      </c>
      <c r="G101" t="s">
        <v>67</v>
      </c>
      <c r="H101" t="str">
        <f>TRIM(PROPER(TTrainingSource[[#This Row],[Training_Title2]]))</f>
        <v>Project Management Essentials</v>
      </c>
      <c r="I101" t="s">
        <v>14</v>
      </c>
      <c r="J101" s="1">
        <v>45548</v>
      </c>
      <c r="K101" t="s">
        <v>98</v>
      </c>
      <c r="L101" s="7">
        <v>32</v>
      </c>
      <c r="M101">
        <f>ROUND(TTrainingSource[[#This Row],[Satisfaction_Score2]],0)</f>
        <v>4</v>
      </c>
      <c r="N101">
        <v>3.8</v>
      </c>
    </row>
    <row r="102" spans="1:14" x14ac:dyDescent="0.3">
      <c r="A102" t="s">
        <v>403</v>
      </c>
      <c r="B102" t="str">
        <f>TRIM(TTrainingSource[[#This Row],[EMPloyee_ID2]])</f>
        <v>EMP10049</v>
      </c>
      <c r="C102" t="str">
        <f>IFERROR(VLOOKUP(TTrainingSource[[#This Row],[Employee_ID]],THrList[],3,FALSE),"")</f>
        <v>WILSON</v>
      </c>
      <c r="D102" t="str">
        <f>IFERROR(VLOOKUP(TTrainingSource[[#This Row],[Employee_ID]],THrList[],4,FALSE),"")</f>
        <v>Amelia</v>
      </c>
      <c r="E102" t="str">
        <f>IFERROR(VLOOKUP(TTrainingSource[[#This Row],[Employee_ID]],THrList[],10,FALSE),"")</f>
        <v>Finance</v>
      </c>
      <c r="F102" t="str">
        <f>TRIM(PROPER(TTrainingSource[[#This Row],[Training_Status2]]))</f>
        <v>Completed</v>
      </c>
      <c r="G102" t="s">
        <v>17</v>
      </c>
      <c r="H102" t="str">
        <f>TRIM(PROPER(TTrainingSource[[#This Row],[Training_Title2]]))</f>
        <v>Customer Data Analysis</v>
      </c>
      <c r="I102" t="s">
        <v>31</v>
      </c>
      <c r="J102" s="1">
        <v>44581</v>
      </c>
      <c r="K102" t="s">
        <v>44</v>
      </c>
      <c r="L102" s="7">
        <v>16</v>
      </c>
      <c r="M102">
        <f>ROUND(TTrainingSource[[#This Row],[Satisfaction_Score2]],0)</f>
        <v>3</v>
      </c>
      <c r="N102">
        <v>2.9</v>
      </c>
    </row>
    <row r="103" spans="1:14" x14ac:dyDescent="0.3">
      <c r="A103" t="s">
        <v>403</v>
      </c>
      <c r="B103" t="str">
        <f>TRIM(TTrainingSource[[#This Row],[EMPloyee_ID2]])</f>
        <v>EMP10049</v>
      </c>
      <c r="C103" t="str">
        <f>IFERROR(VLOOKUP(TTrainingSource[[#This Row],[Employee_ID]],THrList[],3,FALSE),"")</f>
        <v>WILSON</v>
      </c>
      <c r="D103" t="str">
        <f>IFERROR(VLOOKUP(TTrainingSource[[#This Row],[Employee_ID]],THrList[],4,FALSE),"")</f>
        <v>Amelia</v>
      </c>
      <c r="E103" t="str">
        <f>IFERROR(VLOOKUP(TTrainingSource[[#This Row],[Employee_ID]],THrList[],10,FALSE),"")</f>
        <v>Finance</v>
      </c>
      <c r="F103" t="str">
        <f>TRIM(PROPER(TTrainingSource[[#This Row],[Training_Status2]]))</f>
        <v>Planned</v>
      </c>
      <c r="G103" t="s">
        <v>19</v>
      </c>
      <c r="H103" t="str">
        <f>TRIM(PROPER(TTrainingSource[[#This Row],[Training_Title2]]))</f>
        <v>Sql For Data Analytics</v>
      </c>
      <c r="I103" t="s">
        <v>26</v>
      </c>
      <c r="J103" s="1">
        <v>44682</v>
      </c>
      <c r="K103" t="s">
        <v>39</v>
      </c>
      <c r="L103" s="7">
        <v>20</v>
      </c>
      <c r="M103">
        <f>ROUND(TTrainingSource[[#This Row],[Satisfaction_Score2]],0)</f>
        <v>4</v>
      </c>
      <c r="N103">
        <v>4.3</v>
      </c>
    </row>
    <row r="104" spans="1:14" x14ac:dyDescent="0.3">
      <c r="A104" t="s">
        <v>364</v>
      </c>
      <c r="B104" t="str">
        <f>TRIM(TTrainingSource[[#This Row],[EMPloyee_ID2]])</f>
        <v>EMP10050</v>
      </c>
      <c r="C104" t="str">
        <f>IFERROR(VLOOKUP(TTrainingSource[[#This Row],[Employee_ID]],THrList[],3,FALSE),"")</f>
        <v>LEROY</v>
      </c>
      <c r="D104" t="str">
        <f>IFERROR(VLOOKUP(TTrainingSource[[#This Row],[Employee_ID]],THrList[],4,FALSE),"")</f>
        <v>Ibrahim</v>
      </c>
      <c r="E104" t="str">
        <f>IFERROR(VLOOKUP(TTrainingSource[[#This Row],[Employee_ID]],THrList[],10,FALSE),"")</f>
        <v>Compliance</v>
      </c>
      <c r="F104" t="str">
        <f>TRIM(PROPER(TTrainingSource[[#This Row],[Training_Status2]]))</f>
        <v>In Progress</v>
      </c>
      <c r="G104" t="s">
        <v>8</v>
      </c>
      <c r="H104" t="str">
        <f>TRIM(PROPER(TTrainingSource[[#This Row],[Training_Title2]]))</f>
        <v>Data Visualization Best Practices</v>
      </c>
      <c r="I104" t="s">
        <v>180</v>
      </c>
      <c r="J104" s="1">
        <v>44848</v>
      </c>
      <c r="K104" t="s">
        <v>44</v>
      </c>
      <c r="L104" s="7">
        <v>20</v>
      </c>
      <c r="M104">
        <f>ROUND(TTrainingSource[[#This Row],[Satisfaction_Score2]],0)</f>
        <v>3</v>
      </c>
      <c r="N104">
        <v>3</v>
      </c>
    </row>
    <row r="105" spans="1:14" x14ac:dyDescent="0.3">
      <c r="A105" t="s">
        <v>364</v>
      </c>
      <c r="B105" t="str">
        <f>TRIM(TTrainingSource[[#This Row],[EMPloyee_ID2]])</f>
        <v>EMP10050</v>
      </c>
      <c r="C105" t="str">
        <f>IFERROR(VLOOKUP(TTrainingSource[[#This Row],[Employee_ID]],THrList[],3,FALSE),"")</f>
        <v>LEROY</v>
      </c>
      <c r="D105" t="str">
        <f>IFERROR(VLOOKUP(TTrainingSource[[#This Row],[Employee_ID]],THrList[],4,FALSE),"")</f>
        <v>Ibrahim</v>
      </c>
      <c r="E105" t="str">
        <f>IFERROR(VLOOKUP(TTrainingSource[[#This Row],[Employee_ID]],THrList[],10,FALSE),"")</f>
        <v>Compliance</v>
      </c>
      <c r="F105" t="str">
        <f>TRIM(PROPER(TTrainingSource[[#This Row],[Training_Status2]]))</f>
        <v>Completed</v>
      </c>
      <c r="G105" t="s">
        <v>17</v>
      </c>
      <c r="H105" t="str">
        <f>TRIM(PROPER(TTrainingSource[[#This Row],[Training_Title2]]))</f>
        <v>Sql For Data Analytics</v>
      </c>
      <c r="I105" t="s">
        <v>26</v>
      </c>
      <c r="J105" s="1">
        <v>44604</v>
      </c>
      <c r="K105" t="s">
        <v>71</v>
      </c>
      <c r="L105" s="7">
        <v>20</v>
      </c>
      <c r="M105">
        <f>ROUND(TTrainingSource[[#This Row],[Satisfaction_Score2]],0)</f>
        <v>3</v>
      </c>
      <c r="N105">
        <v>3</v>
      </c>
    </row>
    <row r="106" spans="1:14" x14ac:dyDescent="0.3">
      <c r="A106" t="s">
        <v>371</v>
      </c>
      <c r="B106" t="str">
        <f>TRIM(TTrainingSource[[#This Row],[EMPloyee_ID2]])</f>
        <v>EMP10051</v>
      </c>
      <c r="C106" t="str">
        <f>IFERROR(VLOOKUP(TTrainingSource[[#This Row],[Employee_ID]],THrList[],3,FALSE),"")</f>
        <v>MOORE</v>
      </c>
      <c r="D106" t="str">
        <f>IFERROR(VLOOKUP(TTrainingSource[[#This Row],[Employee_ID]],THrList[],4,FALSE),"")</f>
        <v>Evelyn</v>
      </c>
      <c r="E106" t="str">
        <f>IFERROR(VLOOKUP(TTrainingSource[[#This Row],[Employee_ID]],THrList[],10,FALSE),"")</f>
        <v>IT</v>
      </c>
      <c r="F106" t="str">
        <f>TRIM(PROPER(TTrainingSource[[#This Row],[Training_Status2]]))</f>
        <v>Completed</v>
      </c>
      <c r="G106" t="s">
        <v>17</v>
      </c>
      <c r="H106" t="str">
        <f>TRIM(PROPER(TTrainingSource[[#This Row],[Training_Title2]]))</f>
        <v>Digital Marketing Strategy</v>
      </c>
      <c r="I106" t="s">
        <v>43</v>
      </c>
      <c r="J106" s="1">
        <v>44917</v>
      </c>
      <c r="K106" t="s">
        <v>39</v>
      </c>
      <c r="L106" s="7">
        <v>6</v>
      </c>
      <c r="M106">
        <f>ROUND(TTrainingSource[[#This Row],[Satisfaction_Score2]],0)</f>
        <v>3</v>
      </c>
      <c r="N106">
        <v>3.4</v>
      </c>
    </row>
    <row r="107" spans="1:14" x14ac:dyDescent="0.3">
      <c r="A107" t="s">
        <v>371</v>
      </c>
      <c r="B107" t="str">
        <f>TRIM(TTrainingSource[[#This Row],[EMPloyee_ID2]])</f>
        <v>EMP10051</v>
      </c>
      <c r="C107" t="str">
        <f>IFERROR(VLOOKUP(TTrainingSource[[#This Row],[Employee_ID]],THrList[],3,FALSE),"")</f>
        <v>MOORE</v>
      </c>
      <c r="D107" t="str">
        <f>IFERROR(VLOOKUP(TTrainingSource[[#This Row],[Employee_ID]],THrList[],4,FALSE),"")</f>
        <v>Evelyn</v>
      </c>
      <c r="E107" t="str">
        <f>IFERROR(VLOOKUP(TTrainingSource[[#This Row],[Employee_ID]],THrList[],10,FALSE),"")</f>
        <v>IT</v>
      </c>
      <c r="F107" t="str">
        <f>TRIM(PROPER(TTrainingSource[[#This Row],[Training_Status2]]))</f>
        <v>In Progress</v>
      </c>
      <c r="G107" t="s">
        <v>156</v>
      </c>
      <c r="H107" t="str">
        <f>TRIM(PROPER(TTrainingSource[[#This Row],[Training_Title2]]))</f>
        <v>Financial Modeling Basics</v>
      </c>
      <c r="I107" t="s">
        <v>38</v>
      </c>
      <c r="J107" s="1">
        <v>45707</v>
      </c>
      <c r="K107" t="s">
        <v>44</v>
      </c>
      <c r="L107" s="7">
        <v>6</v>
      </c>
      <c r="M107">
        <f>ROUND(TTrainingSource[[#This Row],[Satisfaction_Score2]],0)</f>
        <v>4</v>
      </c>
      <c r="N107">
        <v>4.2</v>
      </c>
    </row>
    <row r="108" spans="1:14" x14ac:dyDescent="0.3">
      <c r="A108" t="s">
        <v>371</v>
      </c>
      <c r="B108" t="str">
        <f>TRIM(TTrainingSource[[#This Row],[EMPloyee_ID2]])</f>
        <v>EMP10051</v>
      </c>
      <c r="C108" t="str">
        <f>IFERROR(VLOOKUP(TTrainingSource[[#This Row],[Employee_ID]],THrList[],3,FALSE),"")</f>
        <v>MOORE</v>
      </c>
      <c r="D108" t="str">
        <f>IFERROR(VLOOKUP(TTrainingSource[[#This Row],[Employee_ID]],THrList[],4,FALSE),"")</f>
        <v>Evelyn</v>
      </c>
      <c r="E108" t="str">
        <f>IFERROR(VLOOKUP(TTrainingSource[[#This Row],[Employee_ID]],THrList[],10,FALSE),"")</f>
        <v>IT</v>
      </c>
      <c r="F108" t="str">
        <f>TRIM(PROPER(TTrainingSource[[#This Row],[Training_Status2]]))</f>
        <v>Completed</v>
      </c>
      <c r="G108" t="s">
        <v>17</v>
      </c>
      <c r="H108" t="str">
        <f>TRIM(PROPER(TTrainingSource[[#This Row],[Training_Title2]]))</f>
        <v>Power Bi Reporting</v>
      </c>
      <c r="I108" t="s">
        <v>24</v>
      </c>
      <c r="J108" s="1">
        <v>45312</v>
      </c>
      <c r="K108" t="s">
        <v>46</v>
      </c>
      <c r="L108" s="7">
        <v>4</v>
      </c>
      <c r="M108">
        <f>ROUND(TTrainingSource[[#This Row],[Satisfaction_Score2]],0)</f>
        <v>4</v>
      </c>
      <c r="N108">
        <v>4.3</v>
      </c>
    </row>
    <row r="109" spans="1:14" x14ac:dyDescent="0.3">
      <c r="A109" t="s">
        <v>371</v>
      </c>
      <c r="B109" t="str">
        <f>TRIM(TTrainingSource[[#This Row],[EMPloyee_ID2]])</f>
        <v>EMP10051</v>
      </c>
      <c r="C109" t="str">
        <f>IFERROR(VLOOKUP(TTrainingSource[[#This Row],[Employee_ID]],THrList[],3,FALSE),"")</f>
        <v>MOORE</v>
      </c>
      <c r="D109" t="str">
        <f>IFERROR(VLOOKUP(TTrainingSource[[#This Row],[Employee_ID]],THrList[],4,FALSE),"")</f>
        <v>Evelyn</v>
      </c>
      <c r="E109" t="str">
        <f>IFERROR(VLOOKUP(TTrainingSource[[#This Row],[Employee_ID]],THrList[],10,FALSE),"")</f>
        <v>IT</v>
      </c>
      <c r="F109" t="str">
        <f>TRIM(PROPER(TTrainingSource[[#This Row],[Training_Status2]]))</f>
        <v>Completed</v>
      </c>
      <c r="G109" t="s">
        <v>17</v>
      </c>
      <c r="H109" t="str">
        <f>TRIM(PROPER(TTrainingSource[[#This Row],[Training_Title2]]))</f>
        <v>Data Analysis Fundamentals</v>
      </c>
      <c r="I109" t="s">
        <v>9</v>
      </c>
      <c r="J109" s="1">
        <v>45842</v>
      </c>
      <c r="K109" t="s">
        <v>132</v>
      </c>
      <c r="L109" s="7">
        <v>6</v>
      </c>
      <c r="M109">
        <f>ROUND(TTrainingSource[[#This Row],[Satisfaction_Score2]],0)</f>
        <v>4</v>
      </c>
      <c r="N109">
        <v>4.2</v>
      </c>
    </row>
    <row r="110" spans="1:14" x14ac:dyDescent="0.3">
      <c r="A110" t="s">
        <v>371</v>
      </c>
      <c r="B110" t="str">
        <f>TRIM(TTrainingSource[[#This Row],[EMPloyee_ID2]])</f>
        <v>EMP10051</v>
      </c>
      <c r="C110" t="str">
        <f>IFERROR(VLOOKUP(TTrainingSource[[#This Row],[Employee_ID]],THrList[],3,FALSE),"")</f>
        <v>MOORE</v>
      </c>
      <c r="D110" t="str">
        <f>IFERROR(VLOOKUP(TTrainingSource[[#This Row],[Employee_ID]],THrList[],4,FALSE),"")</f>
        <v>Evelyn</v>
      </c>
      <c r="E110" t="str">
        <f>IFERROR(VLOOKUP(TTrainingSource[[#This Row],[Employee_ID]],THrList[],10,FALSE),"")</f>
        <v>IT</v>
      </c>
      <c r="F110" t="str">
        <f>TRIM(PROPER(TTrainingSource[[#This Row],[Training_Status2]]))</f>
        <v>Completed</v>
      </c>
      <c r="G110" t="s">
        <v>69</v>
      </c>
      <c r="H110" t="str">
        <f>TRIM(PROPER(TTrainingSource[[#This Row],[Training_Title2]]))</f>
        <v>Business Intelligence With Tableau</v>
      </c>
      <c r="I110" t="s">
        <v>22</v>
      </c>
      <c r="J110" s="1">
        <v>45807</v>
      </c>
      <c r="K110" t="s">
        <v>44</v>
      </c>
      <c r="L110" s="7">
        <v>32</v>
      </c>
      <c r="M110">
        <f>ROUND(TTrainingSource[[#This Row],[Satisfaction_Score2]],0)</f>
        <v>4</v>
      </c>
      <c r="N110">
        <v>3.6</v>
      </c>
    </row>
    <row r="111" spans="1:14" x14ac:dyDescent="0.3">
      <c r="A111" t="s">
        <v>884</v>
      </c>
      <c r="B111" t="str">
        <f>TRIM(TTrainingSource[[#This Row],[EMPloyee_ID2]])</f>
        <v>EMP10052</v>
      </c>
      <c r="C111" t="str">
        <f>IFERROR(VLOOKUP(TTrainingSource[[#This Row],[Employee_ID]],THrList[],3,FALSE),"")</f>
        <v>MOORE</v>
      </c>
      <c r="D111" t="str">
        <f>IFERROR(VLOOKUP(TTrainingSource[[#This Row],[Employee_ID]],THrList[],4,FALSE),"")</f>
        <v>Ava</v>
      </c>
      <c r="E111" t="str">
        <f>IFERROR(VLOOKUP(TTrainingSource[[#This Row],[Employee_ID]],THrList[],10,FALSE),"")</f>
        <v>Operations</v>
      </c>
      <c r="F111" t="str">
        <f>TRIM(PROPER(TTrainingSource[[#This Row],[Training_Status2]]))</f>
        <v>Completed</v>
      </c>
      <c r="G111" t="s">
        <v>69</v>
      </c>
      <c r="H111" t="str">
        <f>TRIM(PROPER(TTrainingSource[[#This Row],[Training_Title2]]))</f>
        <v>Data Visualization Best Practices</v>
      </c>
      <c r="I111" t="s">
        <v>20</v>
      </c>
      <c r="J111" s="1">
        <v>44674</v>
      </c>
      <c r="K111" t="s">
        <v>29</v>
      </c>
      <c r="L111" s="7">
        <v>8</v>
      </c>
      <c r="M111">
        <f>ROUND(TTrainingSource[[#This Row],[Satisfaction_Score2]],0)</f>
        <v>4</v>
      </c>
      <c r="N111">
        <v>4</v>
      </c>
    </row>
    <row r="112" spans="1:14" x14ac:dyDescent="0.3">
      <c r="A112" t="s">
        <v>884</v>
      </c>
      <c r="B112" t="str">
        <f>TRIM(TTrainingSource[[#This Row],[EMPloyee_ID2]])</f>
        <v>EMP10052</v>
      </c>
      <c r="C112" t="str">
        <f>IFERROR(VLOOKUP(TTrainingSource[[#This Row],[Employee_ID]],THrList[],3,FALSE),"")</f>
        <v>MOORE</v>
      </c>
      <c r="D112" t="str">
        <f>IFERROR(VLOOKUP(TTrainingSource[[#This Row],[Employee_ID]],THrList[],4,FALSE),"")</f>
        <v>Ava</v>
      </c>
      <c r="E112" t="str">
        <f>IFERROR(VLOOKUP(TTrainingSource[[#This Row],[Employee_ID]],THrList[],10,FALSE),"")</f>
        <v>Operations</v>
      </c>
      <c r="F112" t="str">
        <f>TRIM(PROPER(TTrainingSource[[#This Row],[Training_Status2]]))</f>
        <v>Planned</v>
      </c>
      <c r="G112" t="s">
        <v>19</v>
      </c>
      <c r="H112" t="str">
        <f>TRIM(PROPER(TTrainingSource[[#This Row],[Training_Title2]]))</f>
        <v>Business Intelligence With Tableau</v>
      </c>
      <c r="I112" t="s">
        <v>22</v>
      </c>
      <c r="J112" s="1">
        <v>44581</v>
      </c>
      <c r="K112" t="s">
        <v>132</v>
      </c>
      <c r="L112" s="7">
        <v>20</v>
      </c>
      <c r="M112">
        <f>ROUND(TTrainingSource[[#This Row],[Satisfaction_Score2]],0)</f>
        <v>5</v>
      </c>
      <c r="N112">
        <v>4.9000000000000004</v>
      </c>
    </row>
    <row r="113" spans="1:14" x14ac:dyDescent="0.3">
      <c r="A113" t="s">
        <v>97</v>
      </c>
      <c r="B113" t="str">
        <f>TRIM(TTrainingSource[[#This Row],[EMPloyee_ID2]])</f>
        <v>EMP10053</v>
      </c>
      <c r="C113" t="str">
        <f>IFERROR(VLOOKUP(TTrainingSource[[#This Row],[Employee_ID]],THrList[],3,FALSE),"")</f>
        <v>NGUYEN</v>
      </c>
      <c r="D113" t="str">
        <f>IFERROR(VLOOKUP(TTrainingSource[[#This Row],[Employee_ID]],THrList[],4,FALSE),"")</f>
        <v>Chinedu</v>
      </c>
      <c r="E113" t="str">
        <f>IFERROR(VLOOKUP(TTrainingSource[[#This Row],[Employee_ID]],THrList[],10,FALSE),"")</f>
        <v>Sales</v>
      </c>
      <c r="F113" t="str">
        <f>TRIM(PROPER(TTrainingSource[[#This Row],[Training_Status2]]))</f>
        <v>Completed</v>
      </c>
      <c r="G113" t="s">
        <v>17</v>
      </c>
      <c r="H113" t="str">
        <f>TRIM(PROPER(TTrainingSource[[#This Row],[Training_Title2]]))</f>
        <v>Data Visualization Best Practices</v>
      </c>
      <c r="I113" t="s">
        <v>20</v>
      </c>
      <c r="J113" s="1">
        <v>45420</v>
      </c>
      <c r="K113" t="s">
        <v>98</v>
      </c>
      <c r="L113" s="7">
        <v>12</v>
      </c>
      <c r="M113">
        <f>ROUND(TTrainingSource[[#This Row],[Satisfaction_Score2]],0)</f>
        <v>3</v>
      </c>
      <c r="N113">
        <v>3.3</v>
      </c>
    </row>
    <row r="114" spans="1:14" x14ac:dyDescent="0.3">
      <c r="A114" t="s">
        <v>387</v>
      </c>
      <c r="B114" t="str">
        <f>TRIM(TTrainingSource[[#This Row],[EMPloyee_ID2]])</f>
        <v>EMP10054</v>
      </c>
      <c r="C114" t="str">
        <f>IFERROR(VLOOKUP(TTrainingSource[[#This Row],[Employee_ID]],THrList[],3,FALSE),"")</f>
        <v>MARTINEZ</v>
      </c>
      <c r="D114" t="str">
        <f>IFERROR(VLOOKUP(TTrainingSource[[#This Row],[Employee_ID]],THrList[],4,FALSE),"")</f>
        <v>Omar</v>
      </c>
      <c r="E114" t="str">
        <f>IFERROR(VLOOKUP(TTrainingSource[[#This Row],[Employee_ID]],THrList[],10,FALSE),"")</f>
        <v>Sales</v>
      </c>
      <c r="F114" t="str">
        <f>TRIM(PROPER(TTrainingSource[[#This Row],[Training_Status2]]))</f>
        <v>Completed</v>
      </c>
      <c r="G114" t="s">
        <v>69</v>
      </c>
      <c r="H114" t="str">
        <f>TRIM(PROPER(TTrainingSource[[#This Row],[Training_Title2]]))</f>
        <v>Digital Marketing Strategy</v>
      </c>
      <c r="I114" t="s">
        <v>43</v>
      </c>
      <c r="J114" s="1">
        <v>44619</v>
      </c>
      <c r="K114" t="s">
        <v>42</v>
      </c>
      <c r="L114" s="7">
        <v>12</v>
      </c>
      <c r="M114">
        <f>ROUND(TTrainingSource[[#This Row],[Satisfaction_Score2]],0)</f>
        <v>3</v>
      </c>
      <c r="N114">
        <v>2.7</v>
      </c>
    </row>
    <row r="115" spans="1:14" x14ac:dyDescent="0.3">
      <c r="A115" t="s">
        <v>387</v>
      </c>
      <c r="B115" t="str">
        <f>TRIM(TTrainingSource[[#This Row],[EMPloyee_ID2]])</f>
        <v>EMP10054</v>
      </c>
      <c r="C115" t="str">
        <f>IFERROR(VLOOKUP(TTrainingSource[[#This Row],[Employee_ID]],THrList[],3,FALSE),"")</f>
        <v>MARTINEZ</v>
      </c>
      <c r="D115" t="str">
        <f>IFERROR(VLOOKUP(TTrainingSource[[#This Row],[Employee_ID]],THrList[],4,FALSE),"")</f>
        <v>Omar</v>
      </c>
      <c r="E115" t="str">
        <f>IFERROR(VLOOKUP(TTrainingSource[[#This Row],[Employee_ID]],THrList[],10,FALSE),"")</f>
        <v>Sales</v>
      </c>
      <c r="F115" t="str">
        <f>TRIM(PROPER(TTrainingSource[[#This Row],[Training_Status2]]))</f>
        <v>Completed</v>
      </c>
      <c r="G115" t="s">
        <v>17</v>
      </c>
      <c r="H115" t="str">
        <f>TRIM(PROPER(TTrainingSource[[#This Row],[Training_Title2]]))</f>
        <v>Communication For Analysts</v>
      </c>
      <c r="I115" t="s">
        <v>28</v>
      </c>
      <c r="J115" s="1">
        <v>45759</v>
      </c>
      <c r="K115" t="s">
        <v>44</v>
      </c>
      <c r="L115" s="7">
        <v>40</v>
      </c>
      <c r="M115">
        <f>ROUND(TTrainingSource[[#This Row],[Satisfaction_Score2]],0)</f>
        <v>3</v>
      </c>
      <c r="N115">
        <v>3.3</v>
      </c>
    </row>
    <row r="116" spans="1:14" x14ac:dyDescent="0.3">
      <c r="A116" t="s">
        <v>387</v>
      </c>
      <c r="B116" t="str">
        <f>TRIM(TTrainingSource[[#This Row],[EMPloyee_ID2]])</f>
        <v>EMP10054</v>
      </c>
      <c r="C116" t="str">
        <f>IFERROR(VLOOKUP(TTrainingSource[[#This Row],[Employee_ID]],THrList[],3,FALSE),"")</f>
        <v>MARTINEZ</v>
      </c>
      <c r="D116" t="str">
        <f>IFERROR(VLOOKUP(TTrainingSource[[#This Row],[Employee_ID]],THrList[],4,FALSE),"")</f>
        <v>Omar</v>
      </c>
      <c r="E116" t="str">
        <f>IFERROR(VLOOKUP(TTrainingSource[[#This Row],[Employee_ID]],THrList[],10,FALSE),"")</f>
        <v>Sales</v>
      </c>
      <c r="F116" t="str">
        <f>TRIM(PROPER(TTrainingSource[[#This Row],[Training_Status2]]))</f>
        <v>Completed</v>
      </c>
      <c r="G116" t="s">
        <v>17</v>
      </c>
      <c r="H116" t="str">
        <f>TRIM(PROPER(TTrainingSource[[#This Row],[Training_Title2]]))</f>
        <v>Digital Marketing Strategy</v>
      </c>
      <c r="I116" t="s">
        <v>43</v>
      </c>
      <c r="J116" s="1">
        <v>45541</v>
      </c>
      <c r="K116" t="s">
        <v>98</v>
      </c>
      <c r="L116" s="7">
        <v>6</v>
      </c>
      <c r="M116">
        <f>ROUND(TTrainingSource[[#This Row],[Satisfaction_Score2]],0)</f>
        <v>5</v>
      </c>
      <c r="N116">
        <v>4.8</v>
      </c>
    </row>
    <row r="117" spans="1:14" x14ac:dyDescent="0.3">
      <c r="A117" t="s">
        <v>143</v>
      </c>
      <c r="B117" t="str">
        <f>TRIM(TTrainingSource[[#This Row],[EMPloyee_ID2]])</f>
        <v>EMP10055</v>
      </c>
      <c r="C117" t="str">
        <f>IFERROR(VLOOKUP(TTrainingSource[[#This Row],[Employee_ID]],THrList[],3,FALSE),"")</f>
        <v>TOURE</v>
      </c>
      <c r="D117" t="str">
        <f>IFERROR(VLOOKUP(TTrainingSource[[#This Row],[Employee_ID]],THrList[],4,FALSE),"")</f>
        <v>Sophia</v>
      </c>
      <c r="E117" t="str">
        <f>IFERROR(VLOOKUP(TTrainingSource[[#This Row],[Employee_ID]],THrList[],10,FALSE),"")</f>
        <v>Sales</v>
      </c>
      <c r="F117" t="str">
        <f>TRIM(PROPER(TTrainingSource[[#This Row],[Training_Status2]]))</f>
        <v>Completed</v>
      </c>
      <c r="G117" t="s">
        <v>17</v>
      </c>
      <c r="H117" t="str">
        <f>TRIM(PROPER(TTrainingSource[[#This Row],[Training_Title2]]))</f>
        <v>Data Visualization Best Practices</v>
      </c>
      <c r="I117" t="s">
        <v>20</v>
      </c>
      <c r="J117" s="1">
        <v>45843</v>
      </c>
      <c r="K117" t="s">
        <v>1072</v>
      </c>
      <c r="L117" s="7">
        <v>4</v>
      </c>
      <c r="M117">
        <f>ROUND(TTrainingSource[[#This Row],[Satisfaction_Score2]],0)</f>
        <v>4</v>
      </c>
      <c r="N117">
        <v>3.5</v>
      </c>
    </row>
    <row r="118" spans="1:14" x14ac:dyDescent="0.3">
      <c r="A118" t="s">
        <v>155</v>
      </c>
      <c r="B118" t="str">
        <f>TRIM(TTrainingSource[[#This Row],[EMPloyee_ID2]])</f>
        <v>EMP10055</v>
      </c>
      <c r="C118" t="str">
        <f>IFERROR(VLOOKUP(TTrainingSource[[#This Row],[Employee_ID]],THrList[],3,FALSE),"")</f>
        <v>TOURE</v>
      </c>
      <c r="D118" t="str">
        <f>IFERROR(VLOOKUP(TTrainingSource[[#This Row],[Employee_ID]],THrList[],4,FALSE),"")</f>
        <v>Sophia</v>
      </c>
      <c r="E118" t="str">
        <f>IFERROR(VLOOKUP(TTrainingSource[[#This Row],[Employee_ID]],THrList[],10,FALSE),"")</f>
        <v>Sales</v>
      </c>
      <c r="F118" t="str">
        <f>TRIM(PROPER(TTrainingSource[[#This Row],[Training_Status2]]))</f>
        <v>In Progress</v>
      </c>
      <c r="G118" t="s">
        <v>156</v>
      </c>
      <c r="H118" t="str">
        <f>TRIM(PROPER(TTrainingSource[[#This Row],[Training_Title2]]))</f>
        <v>Project Management Essentials</v>
      </c>
      <c r="I118" t="s">
        <v>14</v>
      </c>
      <c r="J118" s="1">
        <v>45194</v>
      </c>
      <c r="K118" t="s">
        <v>42</v>
      </c>
      <c r="L118" s="7">
        <v>6</v>
      </c>
      <c r="M118">
        <f>ROUND(TTrainingSource[[#This Row],[Satisfaction_Score2]],0)</f>
        <v>5</v>
      </c>
      <c r="N118">
        <v>5</v>
      </c>
    </row>
    <row r="119" spans="1:14" x14ac:dyDescent="0.3">
      <c r="A119" t="s">
        <v>143</v>
      </c>
      <c r="B119" t="str">
        <f>TRIM(TTrainingSource[[#This Row],[EMPloyee_ID2]])</f>
        <v>EMP10055</v>
      </c>
      <c r="C119" t="str">
        <f>IFERROR(VLOOKUP(TTrainingSource[[#This Row],[Employee_ID]],THrList[],3,FALSE),"")</f>
        <v>TOURE</v>
      </c>
      <c r="D119" t="str">
        <f>IFERROR(VLOOKUP(TTrainingSource[[#This Row],[Employee_ID]],THrList[],4,FALSE),"")</f>
        <v>Sophia</v>
      </c>
      <c r="E119" t="str">
        <f>IFERROR(VLOOKUP(TTrainingSource[[#This Row],[Employee_ID]],THrList[],10,FALSE),"")</f>
        <v>Sales</v>
      </c>
      <c r="F119" t="str">
        <f>TRIM(PROPER(TTrainingSource[[#This Row],[Training_Status2]]))</f>
        <v>Planned</v>
      </c>
      <c r="G119" t="s">
        <v>19</v>
      </c>
      <c r="H119" t="str">
        <f>TRIM(PROPER(TTrainingSource[[#This Row],[Training_Title2]]))</f>
        <v>Financial Modeling Basics</v>
      </c>
      <c r="I119" t="s">
        <v>38</v>
      </c>
      <c r="J119" s="1">
        <v>44790</v>
      </c>
      <c r="K119" t="s">
        <v>44</v>
      </c>
      <c r="L119" s="7">
        <v>8</v>
      </c>
      <c r="M119">
        <f>ROUND(TTrainingSource[[#This Row],[Satisfaction_Score2]],0)</f>
        <v>3</v>
      </c>
      <c r="N119">
        <v>3</v>
      </c>
    </row>
    <row r="120" spans="1:14" x14ac:dyDescent="0.3">
      <c r="A120" t="s">
        <v>48</v>
      </c>
      <c r="B120" t="str">
        <f>TRIM(TTrainingSource[[#This Row],[EMPloyee_ID2]])</f>
        <v>EMP10056</v>
      </c>
      <c r="C120" t="str">
        <f>IFERROR(VLOOKUP(TTrainingSource[[#This Row],[Employee_ID]],THrList[],3,FALSE),"")</f>
        <v>GARCIA</v>
      </c>
      <c r="D120" t="str">
        <f>IFERROR(VLOOKUP(TTrainingSource[[#This Row],[Employee_ID]],THrList[],4,FALSE),"")</f>
        <v>Binta</v>
      </c>
      <c r="E120" t="str">
        <f>IFERROR(VLOOKUP(TTrainingSource[[#This Row],[Employee_ID]],THrList[],10,FALSE),"")</f>
        <v>Operations</v>
      </c>
      <c r="F120" t="str">
        <f>TRIM(PROPER(TTrainingSource[[#This Row],[Training_Status2]]))</f>
        <v>In Progress</v>
      </c>
      <c r="G120" t="s">
        <v>8</v>
      </c>
      <c r="H120" t="str">
        <f>TRIM(PROPER(TTrainingSource[[#This Row],[Training_Title2]]))</f>
        <v>Communication For Analysts</v>
      </c>
      <c r="I120" t="s">
        <v>28</v>
      </c>
      <c r="J120" s="1">
        <v>45952</v>
      </c>
      <c r="K120" t="s">
        <v>15</v>
      </c>
      <c r="L120" s="7">
        <v>32</v>
      </c>
      <c r="M120">
        <f>ROUND(TTrainingSource[[#This Row],[Satisfaction_Score2]],0)</f>
        <v>4</v>
      </c>
      <c r="N120">
        <v>3.5</v>
      </c>
    </row>
    <row r="121" spans="1:14" x14ac:dyDescent="0.3">
      <c r="A121" t="s">
        <v>528</v>
      </c>
      <c r="B121" t="str">
        <f>TRIM(TTrainingSource[[#This Row],[EMPloyee_ID2]])</f>
        <v>EMP10057</v>
      </c>
      <c r="C121" t="str">
        <f>IFERROR(VLOOKUP(TTrainingSource[[#This Row],[Employee_ID]],THrList[],3,FALSE),"")</f>
        <v>CAMARA</v>
      </c>
      <c r="D121" t="str">
        <f>IFERROR(VLOOKUP(TTrainingSource[[#This Row],[Employee_ID]],THrList[],4,FALSE),"")</f>
        <v>Antoine</v>
      </c>
      <c r="E121" t="str">
        <f>IFERROR(VLOOKUP(TTrainingSource[[#This Row],[Employee_ID]],THrList[],10,FALSE),"")</f>
        <v>Operations</v>
      </c>
      <c r="F121" t="str">
        <f>TRIM(PROPER(TTrainingSource[[#This Row],[Training_Status2]]))</f>
        <v>Planned</v>
      </c>
      <c r="G121" t="s">
        <v>19</v>
      </c>
      <c r="H121" t="str">
        <f>TRIM(PROPER(TTrainingSource[[#This Row],[Training_Title2]]))</f>
        <v>Customer Data Analysis</v>
      </c>
      <c r="I121" t="s">
        <v>31</v>
      </c>
      <c r="J121" s="1">
        <v>45314</v>
      </c>
      <c r="K121" t="s">
        <v>44</v>
      </c>
      <c r="L121" s="7">
        <v>40</v>
      </c>
      <c r="M121">
        <f>ROUND(TTrainingSource[[#This Row],[Satisfaction_Score2]],0)</f>
        <v>3</v>
      </c>
      <c r="N121">
        <v>2.7</v>
      </c>
    </row>
    <row r="122" spans="1:14" x14ac:dyDescent="0.3">
      <c r="A122" t="s">
        <v>528</v>
      </c>
      <c r="B122" t="str">
        <f>TRIM(TTrainingSource[[#This Row],[EMPloyee_ID2]])</f>
        <v>EMP10057</v>
      </c>
      <c r="C122" t="str">
        <f>IFERROR(VLOOKUP(TTrainingSource[[#This Row],[Employee_ID]],THrList[],3,FALSE),"")</f>
        <v>CAMARA</v>
      </c>
      <c r="D122" t="str">
        <f>IFERROR(VLOOKUP(TTrainingSource[[#This Row],[Employee_ID]],THrList[],4,FALSE),"")</f>
        <v>Antoine</v>
      </c>
      <c r="E122" t="str">
        <f>IFERROR(VLOOKUP(TTrainingSource[[#This Row],[Employee_ID]],THrList[],10,FALSE),"")</f>
        <v>Operations</v>
      </c>
      <c r="F122" t="str">
        <f>TRIM(PROPER(TTrainingSource[[#This Row],[Training_Status2]]))</f>
        <v>Completed</v>
      </c>
      <c r="G122" t="s">
        <v>17</v>
      </c>
      <c r="H122" t="str">
        <f>TRIM(PROPER(TTrainingSource[[#This Row],[Training_Title2]]))</f>
        <v>Data Visualization Best Practices</v>
      </c>
      <c r="I122" t="s">
        <v>20</v>
      </c>
      <c r="J122" s="1">
        <v>45683</v>
      </c>
      <c r="K122" t="s">
        <v>42</v>
      </c>
      <c r="L122" s="7">
        <v>12</v>
      </c>
      <c r="M122">
        <f>ROUND(TTrainingSource[[#This Row],[Satisfaction_Score2]],0)</f>
        <v>3</v>
      </c>
      <c r="N122">
        <v>3</v>
      </c>
    </row>
    <row r="123" spans="1:14" x14ac:dyDescent="0.3">
      <c r="A123" t="s">
        <v>528</v>
      </c>
      <c r="B123" t="str">
        <f>TRIM(TTrainingSource[[#This Row],[EMPloyee_ID2]])</f>
        <v>EMP10057</v>
      </c>
      <c r="C123" t="str">
        <f>IFERROR(VLOOKUP(TTrainingSource[[#This Row],[Employee_ID]],THrList[],3,FALSE),"")</f>
        <v>CAMARA</v>
      </c>
      <c r="D123" t="str">
        <f>IFERROR(VLOOKUP(TTrainingSource[[#This Row],[Employee_ID]],THrList[],4,FALSE),"")</f>
        <v>Antoine</v>
      </c>
      <c r="E123" t="str">
        <f>IFERROR(VLOOKUP(TTrainingSource[[#This Row],[Employee_ID]],THrList[],10,FALSE),"")</f>
        <v>Operations</v>
      </c>
      <c r="F123" t="str">
        <f>TRIM(PROPER(TTrainingSource[[#This Row],[Training_Status2]]))</f>
        <v>Completed</v>
      </c>
      <c r="G123" t="s">
        <v>17</v>
      </c>
      <c r="H123" t="str">
        <f>TRIM(PROPER(TTrainingSource[[#This Row],[Training_Title2]]))</f>
        <v>Business Intelligence With Tableau</v>
      </c>
      <c r="I123" t="s">
        <v>22</v>
      </c>
      <c r="J123" s="1">
        <v>44812</v>
      </c>
      <c r="K123" t="s">
        <v>98</v>
      </c>
      <c r="L123" s="7">
        <v>12</v>
      </c>
      <c r="M123">
        <f>ROUND(TTrainingSource[[#This Row],[Satisfaction_Score2]],0)</f>
        <v>3</v>
      </c>
      <c r="N123">
        <v>3.2</v>
      </c>
    </row>
    <row r="124" spans="1:14" x14ac:dyDescent="0.3">
      <c r="A124" t="s">
        <v>528</v>
      </c>
      <c r="B124" t="str">
        <f>TRIM(TTrainingSource[[#This Row],[EMPloyee_ID2]])</f>
        <v>EMP10057</v>
      </c>
      <c r="C124" t="str">
        <f>IFERROR(VLOOKUP(TTrainingSource[[#This Row],[Employee_ID]],THrList[],3,FALSE),"")</f>
        <v>CAMARA</v>
      </c>
      <c r="D124" t="str">
        <f>IFERROR(VLOOKUP(TTrainingSource[[#This Row],[Employee_ID]],THrList[],4,FALSE),"")</f>
        <v>Antoine</v>
      </c>
      <c r="E124" t="str">
        <f>IFERROR(VLOOKUP(TTrainingSource[[#This Row],[Employee_ID]],THrList[],10,FALSE),"")</f>
        <v>Operations</v>
      </c>
      <c r="F124" t="str">
        <f>TRIM(PROPER(TTrainingSource[[#This Row],[Training_Status2]]))</f>
        <v>In Progress</v>
      </c>
      <c r="G124" t="s">
        <v>8</v>
      </c>
      <c r="H124" t="str">
        <f>TRIM(PROPER(TTrainingSource[[#This Row],[Training_Title2]]))</f>
        <v>Introduction To Python For Data</v>
      </c>
      <c r="I124" t="s">
        <v>62</v>
      </c>
      <c r="J124" s="1">
        <v>44636</v>
      </c>
      <c r="K124" t="s">
        <v>39</v>
      </c>
      <c r="L124" s="7">
        <v>40</v>
      </c>
      <c r="M124">
        <f>ROUND(TTrainingSource[[#This Row],[Satisfaction_Score2]],0)</f>
        <v>4</v>
      </c>
      <c r="N124">
        <v>4.3</v>
      </c>
    </row>
    <row r="125" spans="1:14" x14ac:dyDescent="0.3">
      <c r="A125" t="s">
        <v>528</v>
      </c>
      <c r="B125" t="str">
        <f>TRIM(TTrainingSource[[#This Row],[EMPloyee_ID2]])</f>
        <v>EMP10057</v>
      </c>
      <c r="C125" t="str">
        <f>IFERROR(VLOOKUP(TTrainingSource[[#This Row],[Employee_ID]],THrList[],3,FALSE),"")</f>
        <v>CAMARA</v>
      </c>
      <c r="D125" t="str">
        <f>IFERROR(VLOOKUP(TTrainingSource[[#This Row],[Employee_ID]],THrList[],4,FALSE),"")</f>
        <v>Antoine</v>
      </c>
      <c r="E125" t="str">
        <f>IFERROR(VLOOKUP(TTrainingSource[[#This Row],[Employee_ID]],THrList[],10,FALSE),"")</f>
        <v>Operations</v>
      </c>
      <c r="F125" t="str">
        <f>TRIM(PROPER(TTrainingSource[[#This Row],[Training_Status2]]))</f>
        <v>In Progress</v>
      </c>
      <c r="G125" t="s">
        <v>156</v>
      </c>
      <c r="H125" t="str">
        <f>TRIM(PROPER(TTrainingSource[[#This Row],[Training_Title2]]))</f>
        <v>Data Visualization Best Practices</v>
      </c>
      <c r="I125" t="s">
        <v>411</v>
      </c>
      <c r="J125" s="1">
        <v>45822</v>
      </c>
      <c r="K125" t="s">
        <v>98</v>
      </c>
      <c r="L125" s="7">
        <v>8</v>
      </c>
      <c r="M125">
        <f>ROUND(TTrainingSource[[#This Row],[Satisfaction_Score2]],0)</f>
        <v>4</v>
      </c>
      <c r="N125">
        <v>3.7</v>
      </c>
    </row>
    <row r="126" spans="1:14" x14ac:dyDescent="0.3">
      <c r="A126" t="s">
        <v>404</v>
      </c>
      <c r="B126" t="str">
        <f>TRIM(TTrainingSource[[#This Row],[EMPloyee_ID2]])</f>
        <v>EMP10058</v>
      </c>
      <c r="C126" t="str">
        <f>IFERROR(VLOOKUP(TTrainingSource[[#This Row],[Employee_ID]],THrList[],3,FALSE),"")</f>
        <v>MENSAH</v>
      </c>
      <c r="D126" t="str">
        <f>IFERROR(VLOOKUP(TTrainingSource[[#This Row],[Employee_ID]],THrList[],4,FALSE),"")</f>
        <v>Liam</v>
      </c>
      <c r="E126" t="str">
        <f>IFERROR(VLOOKUP(TTrainingSource[[#This Row],[Employee_ID]],THrList[],10,FALSE),"")</f>
        <v>Customer Support</v>
      </c>
      <c r="F126" t="str">
        <f>TRIM(PROPER(TTrainingSource[[#This Row],[Training_Status2]]))</f>
        <v>Completed</v>
      </c>
      <c r="G126" t="s">
        <v>17</v>
      </c>
      <c r="H126" t="str">
        <f>TRIM(PROPER(TTrainingSource[[#This Row],[Training_Title2]]))</f>
        <v>Project Management Essentials</v>
      </c>
      <c r="I126" t="s">
        <v>14</v>
      </c>
      <c r="J126" s="1">
        <v>45896</v>
      </c>
      <c r="K126" t="s">
        <v>44</v>
      </c>
      <c r="L126" s="7">
        <v>8</v>
      </c>
      <c r="M126">
        <f>ROUND(TTrainingSource[[#This Row],[Satisfaction_Score2]],0)</f>
        <v>4</v>
      </c>
      <c r="N126">
        <v>3.7</v>
      </c>
    </row>
    <row r="127" spans="1:14" x14ac:dyDescent="0.3">
      <c r="A127" t="s">
        <v>585</v>
      </c>
      <c r="B127" t="str">
        <f>TRIM(TTrainingSource[[#This Row],[EMPloyee_ID2]])</f>
        <v>EMP10059</v>
      </c>
      <c r="C127" t="str">
        <f>IFERROR(VLOOKUP(TTrainingSource[[#This Row],[Employee_ID]],THrList[],3,FALSE),"")</f>
        <v>JOHNSON</v>
      </c>
      <c r="D127" t="str">
        <f>IFERROR(VLOOKUP(TTrainingSource[[#This Row],[Employee_ID]],THrList[],4,FALSE),"")</f>
        <v>Abigail</v>
      </c>
      <c r="E127" t="str">
        <f>IFERROR(VLOOKUP(TTrainingSource[[#This Row],[Employee_ID]],THrList[],10,FALSE),"")</f>
        <v>IT</v>
      </c>
      <c r="F127" t="str">
        <f>TRIM(PROPER(TTrainingSource[[#This Row],[Training_Status2]]))</f>
        <v>Completed</v>
      </c>
      <c r="G127" t="s">
        <v>17</v>
      </c>
      <c r="H127" t="str">
        <f>TRIM(PROPER(TTrainingSource[[#This Row],[Training_Title2]]))</f>
        <v>Data Analysis Fundamentals</v>
      </c>
      <c r="I127" t="s">
        <v>9</v>
      </c>
      <c r="J127" s="1">
        <v>44696</v>
      </c>
      <c r="K127" t="s">
        <v>42</v>
      </c>
      <c r="L127" s="7">
        <v>8</v>
      </c>
      <c r="M127">
        <f>ROUND(TTrainingSource[[#This Row],[Satisfaction_Score2]],0)</f>
        <v>5</v>
      </c>
      <c r="N127">
        <v>4.5</v>
      </c>
    </row>
    <row r="128" spans="1:14" x14ac:dyDescent="0.3">
      <c r="A128" t="s">
        <v>585</v>
      </c>
      <c r="B128" t="str">
        <f>TRIM(TTrainingSource[[#This Row],[EMPloyee_ID2]])</f>
        <v>EMP10059</v>
      </c>
      <c r="C128" t="str">
        <f>IFERROR(VLOOKUP(TTrainingSource[[#This Row],[Employee_ID]],THrList[],3,FALSE),"")</f>
        <v>JOHNSON</v>
      </c>
      <c r="D128" t="str">
        <f>IFERROR(VLOOKUP(TTrainingSource[[#This Row],[Employee_ID]],THrList[],4,FALSE),"")</f>
        <v>Abigail</v>
      </c>
      <c r="E128" t="str">
        <f>IFERROR(VLOOKUP(TTrainingSource[[#This Row],[Employee_ID]],THrList[],10,FALSE),"")</f>
        <v>IT</v>
      </c>
      <c r="F128" t="str">
        <f>TRIM(PROPER(TTrainingSource[[#This Row],[Training_Status2]]))</f>
        <v>In Progress</v>
      </c>
      <c r="G128" t="s">
        <v>8</v>
      </c>
      <c r="H128" t="str">
        <f>TRIM(PROPER(TTrainingSource[[#This Row],[Training_Title2]]))</f>
        <v>Customer Data Analysis</v>
      </c>
      <c r="I128" t="s">
        <v>31</v>
      </c>
      <c r="J128" s="1">
        <v>45190</v>
      </c>
      <c r="K128" t="s">
        <v>46</v>
      </c>
      <c r="L128" s="7">
        <v>8</v>
      </c>
      <c r="M128">
        <f>ROUND(TTrainingSource[[#This Row],[Satisfaction_Score2]],0)</f>
        <v>4</v>
      </c>
      <c r="N128">
        <v>4.4000000000000004</v>
      </c>
    </row>
    <row r="129" spans="1:14" x14ac:dyDescent="0.3">
      <c r="A129" t="s">
        <v>57</v>
      </c>
      <c r="B129" t="str">
        <f>TRIM(TTrainingSource[[#This Row],[EMPloyee_ID2]])</f>
        <v>EMP10060</v>
      </c>
      <c r="C129" t="str">
        <f>IFERROR(VLOOKUP(TTrainingSource[[#This Row],[Employee_ID]],THrList[],3,FALSE),"")</f>
        <v>GARCIA</v>
      </c>
      <c r="D129" t="str">
        <f>IFERROR(VLOOKUP(TTrainingSource[[#This Row],[Employee_ID]],THrList[],4,FALSE),"")</f>
        <v>Kwame</v>
      </c>
      <c r="E129" t="str">
        <f>IFERROR(VLOOKUP(TTrainingSource[[#This Row],[Employee_ID]],THrList[],10,FALSE),"")</f>
        <v>Sales</v>
      </c>
      <c r="F129" t="str">
        <f>TRIM(PROPER(TTrainingSource[[#This Row],[Training_Status2]]))</f>
        <v>In Progress</v>
      </c>
      <c r="G129" t="s">
        <v>8</v>
      </c>
      <c r="H129" t="str">
        <f>TRIM(PROPER(TTrainingSource[[#This Row],[Training_Title2]]))</f>
        <v>Sql For Data Analytics</v>
      </c>
      <c r="I129" t="s">
        <v>26</v>
      </c>
      <c r="J129" s="1">
        <v>45905</v>
      </c>
      <c r="K129" t="s">
        <v>46</v>
      </c>
      <c r="L129" s="7">
        <v>6</v>
      </c>
      <c r="M129">
        <f>ROUND(TTrainingSource[[#This Row],[Satisfaction_Score2]],0)</f>
        <v>5</v>
      </c>
      <c r="N129">
        <v>5</v>
      </c>
    </row>
    <row r="130" spans="1:14" x14ac:dyDescent="0.3">
      <c r="A130" t="s">
        <v>57</v>
      </c>
      <c r="B130" t="str">
        <f>TRIM(TTrainingSource[[#This Row],[EMPloyee_ID2]])</f>
        <v>EMP10060</v>
      </c>
      <c r="C130" t="str">
        <f>IFERROR(VLOOKUP(TTrainingSource[[#This Row],[Employee_ID]],THrList[],3,FALSE),"")</f>
        <v>GARCIA</v>
      </c>
      <c r="D130" t="str">
        <f>IFERROR(VLOOKUP(TTrainingSource[[#This Row],[Employee_ID]],THrList[],4,FALSE),"")</f>
        <v>Kwame</v>
      </c>
      <c r="E130" t="str">
        <f>IFERROR(VLOOKUP(TTrainingSource[[#This Row],[Employee_ID]],THrList[],10,FALSE),"")</f>
        <v>Sales</v>
      </c>
      <c r="F130" t="str">
        <f>TRIM(PROPER(TTrainingSource[[#This Row],[Training_Status2]]))</f>
        <v>Planned</v>
      </c>
      <c r="G130" t="s">
        <v>19</v>
      </c>
      <c r="H130" t="str">
        <f>TRIM(PROPER(TTrainingSource[[#This Row],[Training_Title2]]))</f>
        <v>Introduction To Python For Data</v>
      </c>
      <c r="I130" t="s">
        <v>62</v>
      </c>
      <c r="J130" s="1">
        <v>45444</v>
      </c>
      <c r="K130" t="s">
        <v>42</v>
      </c>
      <c r="L130" s="7">
        <v>6</v>
      </c>
      <c r="M130">
        <f>ROUND(TTrainingSource[[#This Row],[Satisfaction_Score2]],0)</f>
        <v>4</v>
      </c>
      <c r="N130">
        <v>4.0999999999999996</v>
      </c>
    </row>
    <row r="131" spans="1:14" x14ac:dyDescent="0.3">
      <c r="A131" t="s">
        <v>680</v>
      </c>
      <c r="B131" t="str">
        <f>TRIM(TTrainingSource[[#This Row],[EMPloyee_ID2]])</f>
        <v>EMP10060</v>
      </c>
      <c r="C131" t="str">
        <f>IFERROR(VLOOKUP(TTrainingSource[[#This Row],[Employee_ID]],THrList[],3,FALSE),"")</f>
        <v>GARCIA</v>
      </c>
      <c r="D131" t="str">
        <f>IFERROR(VLOOKUP(TTrainingSource[[#This Row],[Employee_ID]],THrList[],4,FALSE),"")</f>
        <v>Kwame</v>
      </c>
      <c r="E131" t="str">
        <f>IFERROR(VLOOKUP(TTrainingSource[[#This Row],[Employee_ID]],THrList[],10,FALSE),"")</f>
        <v>Sales</v>
      </c>
      <c r="F131" t="str">
        <f>TRIM(PROPER(TTrainingSource[[#This Row],[Training_Status2]]))</f>
        <v>Planned</v>
      </c>
      <c r="G131" t="s">
        <v>19</v>
      </c>
      <c r="H131" t="str">
        <f>TRIM(PROPER(TTrainingSource[[#This Row],[Training_Title2]]))</f>
        <v>Power Bi Reporting</v>
      </c>
      <c r="I131" t="s">
        <v>24</v>
      </c>
      <c r="J131" s="1">
        <v>45790</v>
      </c>
      <c r="K131" t="s">
        <v>132</v>
      </c>
      <c r="L131" s="7">
        <v>4</v>
      </c>
      <c r="M131">
        <f>ROUND(TTrainingSource[[#This Row],[Satisfaction_Score2]],0)</f>
        <v>5</v>
      </c>
      <c r="N131">
        <v>4.8</v>
      </c>
    </row>
    <row r="132" spans="1:14" x14ac:dyDescent="0.3">
      <c r="A132" t="s">
        <v>779</v>
      </c>
      <c r="B132" t="str">
        <f>TRIM(TTrainingSource[[#This Row],[EMPloyee_ID2]])</f>
        <v>EMP10061</v>
      </c>
      <c r="C132" t="str">
        <f>IFERROR(VLOOKUP(TTrainingSource[[#This Row],[Employee_ID]],THrList[],3,FALSE),"")</f>
        <v>ROUSSEAU</v>
      </c>
      <c r="D132" t="str">
        <f>IFERROR(VLOOKUP(TTrainingSource[[#This Row],[Employee_ID]],THrList[],4,FALSE),"")</f>
        <v>Charlotte</v>
      </c>
      <c r="E132" t="str">
        <f>IFERROR(VLOOKUP(TTrainingSource[[#This Row],[Employee_ID]],THrList[],10,FALSE),"")</f>
        <v>IT</v>
      </c>
      <c r="F132" t="str">
        <f>TRIM(PROPER(TTrainingSource[[#This Row],[Training_Status2]]))</f>
        <v>In Progress</v>
      </c>
      <c r="G132" t="s">
        <v>8</v>
      </c>
      <c r="H132" t="str">
        <f>TRIM(PROPER(TTrainingSource[[#This Row],[Training_Title2]]))</f>
        <v>Power Bi Reporting</v>
      </c>
      <c r="I132" t="s">
        <v>95</v>
      </c>
      <c r="J132" s="1">
        <v>45325</v>
      </c>
      <c r="K132" t="s">
        <v>29</v>
      </c>
      <c r="L132" s="7">
        <v>24</v>
      </c>
      <c r="M132">
        <f>ROUND(TTrainingSource[[#This Row],[Satisfaction_Score2]],0)</f>
        <v>3</v>
      </c>
      <c r="N132">
        <v>2.9</v>
      </c>
    </row>
    <row r="133" spans="1:14" x14ac:dyDescent="0.3">
      <c r="A133" t="s">
        <v>567</v>
      </c>
      <c r="B133" t="str">
        <f>TRIM(TTrainingSource[[#This Row],[EMPloyee_ID2]])</f>
        <v>EMP10061</v>
      </c>
      <c r="C133" t="str">
        <f>IFERROR(VLOOKUP(TTrainingSource[[#This Row],[Employee_ID]],THrList[],3,FALSE),"")</f>
        <v>ROUSSEAU</v>
      </c>
      <c r="D133" t="str">
        <f>IFERROR(VLOOKUP(TTrainingSource[[#This Row],[Employee_ID]],THrList[],4,FALSE),"")</f>
        <v>Charlotte</v>
      </c>
      <c r="E133" t="str">
        <f>IFERROR(VLOOKUP(TTrainingSource[[#This Row],[Employee_ID]],THrList[],10,FALSE),"")</f>
        <v>IT</v>
      </c>
      <c r="F133" t="str">
        <f>TRIM(PROPER(TTrainingSource[[#This Row],[Training_Status2]]))</f>
        <v>In Progress</v>
      </c>
      <c r="G133" t="s">
        <v>8</v>
      </c>
      <c r="H133" t="str">
        <f>TRIM(PROPER(TTrainingSource[[#This Row],[Training_Title2]]))</f>
        <v>Data Visualization Best Practices</v>
      </c>
      <c r="I133" t="s">
        <v>20</v>
      </c>
      <c r="J133" s="1">
        <v>45315</v>
      </c>
      <c r="K133" t="s">
        <v>29</v>
      </c>
      <c r="L133" s="7">
        <v>40</v>
      </c>
      <c r="M133">
        <f>ROUND(TTrainingSource[[#This Row],[Satisfaction_Score2]],0)</f>
        <v>5</v>
      </c>
      <c r="N133">
        <v>4.5999999999999996</v>
      </c>
    </row>
    <row r="134" spans="1:14" x14ac:dyDescent="0.3">
      <c r="A134" t="s">
        <v>779</v>
      </c>
      <c r="B134" t="str">
        <f>TRIM(TTrainingSource[[#This Row],[EMPloyee_ID2]])</f>
        <v>EMP10061</v>
      </c>
      <c r="C134" t="str">
        <f>IFERROR(VLOOKUP(TTrainingSource[[#This Row],[Employee_ID]],THrList[],3,FALSE),"")</f>
        <v>ROUSSEAU</v>
      </c>
      <c r="D134" t="str">
        <f>IFERROR(VLOOKUP(TTrainingSource[[#This Row],[Employee_ID]],THrList[],4,FALSE),"")</f>
        <v>Charlotte</v>
      </c>
      <c r="E134" t="str">
        <f>IFERROR(VLOOKUP(TTrainingSource[[#This Row],[Employee_ID]],THrList[],10,FALSE),"")</f>
        <v>IT</v>
      </c>
      <c r="F134" t="str">
        <f>TRIM(PROPER(TTrainingSource[[#This Row],[Training_Status2]]))</f>
        <v>In Progress</v>
      </c>
      <c r="G134" t="s">
        <v>8</v>
      </c>
      <c r="H134" t="str">
        <f>TRIM(PROPER(TTrainingSource[[#This Row],[Training_Title2]]))</f>
        <v>Sql For Data Analytics</v>
      </c>
      <c r="I134" t="s">
        <v>26</v>
      </c>
      <c r="J134" s="1">
        <v>45620</v>
      </c>
      <c r="K134" t="s">
        <v>98</v>
      </c>
      <c r="L134" s="7">
        <v>8</v>
      </c>
      <c r="M134">
        <f>ROUND(TTrainingSource[[#This Row],[Satisfaction_Score2]],0)</f>
        <v>5</v>
      </c>
      <c r="N134">
        <v>4.5</v>
      </c>
    </row>
    <row r="135" spans="1:14" x14ac:dyDescent="0.3">
      <c r="A135" t="s">
        <v>160</v>
      </c>
      <c r="B135" t="str">
        <f>TRIM(TTrainingSource[[#This Row],[EMPloyee_ID2]])</f>
        <v>EMP10062</v>
      </c>
      <c r="C135" t="str">
        <f>IFERROR(VLOOKUP(TTrainingSource[[#This Row],[Employee_ID]],THrList[],3,FALSE),"")</f>
        <v>FOURNIER</v>
      </c>
      <c r="D135" t="str">
        <f>IFERROR(VLOOKUP(TTrainingSource[[#This Row],[Employee_ID]],THrList[],4,FALSE),"")</f>
        <v>Kwame</v>
      </c>
      <c r="E135" t="str">
        <f>IFERROR(VLOOKUP(TTrainingSource[[#This Row],[Employee_ID]],THrList[],10,FALSE),"")</f>
        <v>Marketing</v>
      </c>
      <c r="F135" t="str">
        <f>TRIM(PROPER(TTrainingSource[[#This Row],[Training_Status2]]))</f>
        <v>Completed</v>
      </c>
      <c r="G135" t="s">
        <v>17</v>
      </c>
      <c r="H135" t="str">
        <f>TRIM(PROPER(TTrainingSource[[#This Row],[Training_Title2]]))</f>
        <v>Customer Data Analysis</v>
      </c>
      <c r="I135" t="s">
        <v>31</v>
      </c>
      <c r="J135" s="1">
        <v>45080</v>
      </c>
      <c r="K135" t="s">
        <v>98</v>
      </c>
      <c r="L135" s="7">
        <v>20</v>
      </c>
      <c r="M135">
        <f>ROUND(TTrainingSource[[#This Row],[Satisfaction_Score2]],0)</f>
        <v>4</v>
      </c>
      <c r="N135">
        <v>3.7</v>
      </c>
    </row>
    <row r="136" spans="1:14" x14ac:dyDescent="0.3">
      <c r="A136" t="s">
        <v>512</v>
      </c>
      <c r="B136" t="str">
        <f>TRIM(TTrainingSource[[#This Row],[EMPloyee_ID2]])</f>
        <v>EMP10063</v>
      </c>
      <c r="C136" t="str">
        <f>IFERROR(VLOOKUP(TTrainingSource[[#This Row],[Employee_ID]],THrList[],3,FALSE),"")</f>
        <v>ROUSSEAU</v>
      </c>
      <c r="D136" t="str">
        <f>IFERROR(VLOOKUP(TTrainingSource[[#This Row],[Employee_ID]],THrList[],4,FALSE),"")</f>
        <v>Ibrahim</v>
      </c>
      <c r="E136" t="str">
        <f>IFERROR(VLOOKUP(TTrainingSource[[#This Row],[Employee_ID]],THrList[],10,FALSE),"")</f>
        <v>Finance</v>
      </c>
      <c r="F136" t="str">
        <f>TRIM(PROPER(TTrainingSource[[#This Row],[Training_Status2]]))</f>
        <v>Completed</v>
      </c>
      <c r="G136" t="s">
        <v>17</v>
      </c>
      <c r="H136" t="str">
        <f>TRIM(PROPER(TTrainingSource[[#This Row],[Training_Title2]]))</f>
        <v>Digital Marketing Strategy</v>
      </c>
      <c r="I136" t="s">
        <v>43</v>
      </c>
      <c r="J136" s="1">
        <v>44571</v>
      </c>
      <c r="K136" t="s">
        <v>32</v>
      </c>
      <c r="L136" s="7">
        <v>16</v>
      </c>
      <c r="M136">
        <f>ROUND(TTrainingSource[[#This Row],[Satisfaction_Score2]],0)</f>
        <v>5</v>
      </c>
      <c r="N136">
        <v>4.5</v>
      </c>
    </row>
    <row r="137" spans="1:14" x14ac:dyDescent="0.3">
      <c r="A137" t="s">
        <v>305</v>
      </c>
      <c r="B137" t="str">
        <f>TRIM(TTrainingSource[[#This Row],[EMPloyee_ID2]])</f>
        <v>EMP10064</v>
      </c>
      <c r="C137" t="str">
        <f>IFERROR(VLOOKUP(TTrainingSource[[#This Row],[Employee_ID]],THrList[],3,FALSE),"")</f>
        <v>BALDE</v>
      </c>
      <c r="D137" t="str">
        <f>IFERROR(VLOOKUP(TTrainingSource[[#This Row],[Employee_ID]],THrList[],4,FALSE),"")</f>
        <v>Omar</v>
      </c>
      <c r="E137" t="str">
        <f>IFERROR(VLOOKUP(TTrainingSource[[#This Row],[Employee_ID]],THrList[],10,FALSE),"")</f>
        <v>Compliance</v>
      </c>
      <c r="F137" t="str">
        <f>TRIM(PROPER(TTrainingSource[[#This Row],[Training_Status2]]))</f>
        <v>Completed</v>
      </c>
      <c r="G137" t="s">
        <v>17</v>
      </c>
      <c r="H137" t="str">
        <f>TRIM(PROPER(TTrainingSource[[#This Row],[Training_Title2]]))</f>
        <v>Digital Marketing Strategy</v>
      </c>
      <c r="I137" t="s">
        <v>43</v>
      </c>
      <c r="J137" s="1">
        <v>44808</v>
      </c>
      <c r="K137" t="s">
        <v>71</v>
      </c>
      <c r="L137" s="7">
        <v>40</v>
      </c>
      <c r="M137">
        <f>ROUND(TTrainingSource[[#This Row],[Satisfaction_Score2]],0)</f>
        <v>3</v>
      </c>
      <c r="N137">
        <v>3.2</v>
      </c>
    </row>
    <row r="138" spans="1:14" x14ac:dyDescent="0.3">
      <c r="A138" t="s">
        <v>25</v>
      </c>
      <c r="B138" t="str">
        <f>TRIM(TTrainingSource[[#This Row],[EMPloyee_ID2]])</f>
        <v>EMP10065</v>
      </c>
      <c r="C138" t="str">
        <f>IFERROR(VLOOKUP(TTrainingSource[[#This Row],[Employee_ID]],THrList[],3,FALSE),"")</f>
        <v>NGUYEN</v>
      </c>
      <c r="D138" t="str">
        <f>IFERROR(VLOOKUP(TTrainingSource[[#This Row],[Employee_ID]],THrList[],4,FALSE),"")</f>
        <v>Akosua</v>
      </c>
      <c r="E138" t="str">
        <f>IFERROR(VLOOKUP(TTrainingSource[[#This Row],[Employee_ID]],THrList[],10,FALSE),"")</f>
        <v>Finance</v>
      </c>
      <c r="F138" t="str">
        <f>TRIM(PROPER(TTrainingSource[[#This Row],[Training_Status2]]))</f>
        <v>Completed</v>
      </c>
      <c r="G138" t="s">
        <v>17</v>
      </c>
      <c r="H138" t="str">
        <f>TRIM(PROPER(TTrainingSource[[#This Row],[Training_Title2]]))</f>
        <v>Sql For Data Analytics</v>
      </c>
      <c r="I138" t="s">
        <v>26</v>
      </c>
      <c r="J138" s="1">
        <v>44797</v>
      </c>
      <c r="K138" t="s">
        <v>29</v>
      </c>
      <c r="L138" s="7">
        <v>4</v>
      </c>
      <c r="M138">
        <f>ROUND(TTrainingSource[[#This Row],[Satisfaction_Score2]],0)</f>
        <v>5</v>
      </c>
      <c r="N138">
        <v>4.7</v>
      </c>
    </row>
    <row r="139" spans="1:14" x14ac:dyDescent="0.3">
      <c r="A139" t="s">
        <v>25</v>
      </c>
      <c r="B139" t="str">
        <f>TRIM(TTrainingSource[[#This Row],[EMPloyee_ID2]])</f>
        <v>EMP10065</v>
      </c>
      <c r="C139" t="str">
        <f>IFERROR(VLOOKUP(TTrainingSource[[#This Row],[Employee_ID]],THrList[],3,FALSE),"")</f>
        <v>NGUYEN</v>
      </c>
      <c r="D139" t="str">
        <f>IFERROR(VLOOKUP(TTrainingSource[[#This Row],[Employee_ID]],THrList[],4,FALSE),"")</f>
        <v>Akosua</v>
      </c>
      <c r="E139" t="str">
        <f>IFERROR(VLOOKUP(TTrainingSource[[#This Row],[Employee_ID]],THrList[],10,FALSE),"")</f>
        <v>Finance</v>
      </c>
      <c r="F139" t="str">
        <f>TRIM(PROPER(TTrainingSource[[#This Row],[Training_Status2]]))</f>
        <v>Completed</v>
      </c>
      <c r="G139" t="s">
        <v>17</v>
      </c>
      <c r="H139" t="str">
        <f>TRIM(PROPER(TTrainingSource[[#This Row],[Training_Title2]]))</f>
        <v>Introduction To Python For Data</v>
      </c>
      <c r="I139" t="s">
        <v>62</v>
      </c>
      <c r="J139" s="1">
        <v>45037</v>
      </c>
      <c r="K139" t="s">
        <v>46</v>
      </c>
      <c r="L139" s="7">
        <v>12</v>
      </c>
      <c r="M139">
        <f>ROUND(TTrainingSource[[#This Row],[Satisfaction_Score2]],0)</f>
        <v>4</v>
      </c>
      <c r="N139">
        <v>4</v>
      </c>
    </row>
    <row r="140" spans="1:14" x14ac:dyDescent="0.3">
      <c r="A140" t="s">
        <v>25</v>
      </c>
      <c r="B140" t="str">
        <f>TRIM(TTrainingSource[[#This Row],[EMPloyee_ID2]])</f>
        <v>EMP10065</v>
      </c>
      <c r="C140" t="str">
        <f>IFERROR(VLOOKUP(TTrainingSource[[#This Row],[Employee_ID]],THrList[],3,FALSE),"")</f>
        <v>NGUYEN</v>
      </c>
      <c r="D140" t="str">
        <f>IFERROR(VLOOKUP(TTrainingSource[[#This Row],[Employee_ID]],THrList[],4,FALSE),"")</f>
        <v>Akosua</v>
      </c>
      <c r="E140" t="str">
        <f>IFERROR(VLOOKUP(TTrainingSource[[#This Row],[Employee_ID]],THrList[],10,FALSE),"")</f>
        <v>Finance</v>
      </c>
      <c r="F140" t="str">
        <f>TRIM(PROPER(TTrainingSource[[#This Row],[Training_Status2]]))</f>
        <v>In Progress</v>
      </c>
      <c r="G140" t="s">
        <v>67</v>
      </c>
      <c r="H140" t="str">
        <f>TRIM(PROPER(TTrainingSource[[#This Row],[Training_Title2]]))</f>
        <v>Introduction To Python For Data</v>
      </c>
      <c r="I140" t="s">
        <v>62</v>
      </c>
      <c r="J140" s="1">
        <v>45842</v>
      </c>
      <c r="K140" t="s">
        <v>46</v>
      </c>
      <c r="L140" s="7">
        <v>8</v>
      </c>
      <c r="M140">
        <f>ROUND(TTrainingSource[[#This Row],[Satisfaction_Score2]],0)</f>
        <v>3</v>
      </c>
      <c r="N140">
        <v>3.1</v>
      </c>
    </row>
    <row r="141" spans="1:14" x14ac:dyDescent="0.3">
      <c r="A141" t="s">
        <v>234</v>
      </c>
      <c r="B141" t="str">
        <f>TRIM(TTrainingSource[[#This Row],[EMPloyee_ID2]])</f>
        <v>EMP10066</v>
      </c>
      <c r="C141" t="str">
        <f>IFERROR(VLOOKUP(TTrainingSource[[#This Row],[Employee_ID]],THrList[],3,FALSE),"")</f>
        <v>LOPEZ</v>
      </c>
      <c r="D141" t="str">
        <f>IFERROR(VLOOKUP(TTrainingSource[[#This Row],[Employee_ID]],THrList[],4,FALSE),"")</f>
        <v>Yusuf</v>
      </c>
      <c r="E141" t="str">
        <f>IFERROR(VLOOKUP(TTrainingSource[[#This Row],[Employee_ID]],THrList[],10,FALSE),"")</f>
        <v>Operations</v>
      </c>
      <c r="F141" t="str">
        <f>TRIM(PROPER(TTrainingSource[[#This Row],[Training_Status2]]))</f>
        <v>Planned</v>
      </c>
      <c r="G141" t="s">
        <v>19</v>
      </c>
      <c r="H141" t="str">
        <f>TRIM(PROPER(TTrainingSource[[#This Row],[Training_Title2]]))</f>
        <v>Data Visualization Best Practices</v>
      </c>
      <c r="I141" t="s">
        <v>20</v>
      </c>
      <c r="J141" s="1">
        <v>45930</v>
      </c>
      <c r="K141" t="s">
        <v>1072</v>
      </c>
      <c r="L141" s="7">
        <v>4</v>
      </c>
      <c r="M141">
        <f>ROUND(TTrainingSource[[#This Row],[Satisfaction_Score2]],0)</f>
        <v>4</v>
      </c>
      <c r="N141">
        <v>4</v>
      </c>
    </row>
    <row r="142" spans="1:14" x14ac:dyDescent="0.3">
      <c r="A142" t="s">
        <v>234</v>
      </c>
      <c r="B142" t="str">
        <f>TRIM(TTrainingSource[[#This Row],[EMPloyee_ID2]])</f>
        <v>EMP10066</v>
      </c>
      <c r="C142" t="str">
        <f>IFERROR(VLOOKUP(TTrainingSource[[#This Row],[Employee_ID]],THrList[],3,FALSE),"")</f>
        <v>LOPEZ</v>
      </c>
      <c r="D142" t="str">
        <f>IFERROR(VLOOKUP(TTrainingSource[[#This Row],[Employee_ID]],THrList[],4,FALSE),"")</f>
        <v>Yusuf</v>
      </c>
      <c r="E142" t="str">
        <f>IFERROR(VLOOKUP(TTrainingSource[[#This Row],[Employee_ID]],THrList[],10,FALSE),"")</f>
        <v>Operations</v>
      </c>
      <c r="F142" t="str">
        <f>TRIM(PROPER(TTrainingSource[[#This Row],[Training_Status2]]))</f>
        <v>Completed</v>
      </c>
      <c r="G142" t="s">
        <v>17</v>
      </c>
      <c r="H142" t="str">
        <f>TRIM(PROPER(TTrainingSource[[#This Row],[Training_Title2]]))</f>
        <v>Communication For Analysts</v>
      </c>
      <c r="I142" t="s">
        <v>28</v>
      </c>
      <c r="J142" s="1">
        <v>45780</v>
      </c>
      <c r="K142" t="s">
        <v>44</v>
      </c>
      <c r="L142" s="7">
        <v>20</v>
      </c>
      <c r="M142">
        <f>ROUND(TTrainingSource[[#This Row],[Satisfaction_Score2]],0)</f>
        <v>3</v>
      </c>
      <c r="N142">
        <v>2.6</v>
      </c>
    </row>
    <row r="143" spans="1:14" x14ac:dyDescent="0.3">
      <c r="A143" t="s">
        <v>234</v>
      </c>
      <c r="B143" t="str">
        <f>TRIM(TTrainingSource[[#This Row],[EMPloyee_ID2]])</f>
        <v>EMP10066</v>
      </c>
      <c r="C143" t="str">
        <f>IFERROR(VLOOKUP(TTrainingSource[[#This Row],[Employee_ID]],THrList[],3,FALSE),"")</f>
        <v>LOPEZ</v>
      </c>
      <c r="D143" t="str">
        <f>IFERROR(VLOOKUP(TTrainingSource[[#This Row],[Employee_ID]],THrList[],4,FALSE),"")</f>
        <v>Yusuf</v>
      </c>
      <c r="E143" t="str">
        <f>IFERROR(VLOOKUP(TTrainingSource[[#This Row],[Employee_ID]],THrList[],10,FALSE),"")</f>
        <v>Operations</v>
      </c>
      <c r="F143" t="str">
        <f>TRIM(PROPER(TTrainingSource[[#This Row],[Training_Status2]]))</f>
        <v>In Progress</v>
      </c>
      <c r="G143" t="s">
        <v>156</v>
      </c>
      <c r="H143" t="str">
        <f>TRIM(PROPER(TTrainingSource[[#This Row],[Training_Title2]]))</f>
        <v>Digital Marketing Strategy</v>
      </c>
      <c r="I143" t="s">
        <v>43</v>
      </c>
      <c r="J143" s="1">
        <v>45056</v>
      </c>
      <c r="K143" t="s">
        <v>42</v>
      </c>
      <c r="L143" s="7">
        <v>0</v>
      </c>
      <c r="M143">
        <f>ROUND(TTrainingSource[[#This Row],[Satisfaction_Score2]],0)</f>
        <v>4</v>
      </c>
      <c r="N143">
        <v>4.3</v>
      </c>
    </row>
    <row r="144" spans="1:14" x14ac:dyDescent="0.3">
      <c r="A144" t="s">
        <v>47</v>
      </c>
      <c r="B144" t="str">
        <f>TRIM(TTrainingSource[[#This Row],[EMPloyee_ID2]])</f>
        <v>EMP10068</v>
      </c>
      <c r="C144" t="str">
        <f>IFERROR(VLOOKUP(TTrainingSource[[#This Row],[Employee_ID]],THrList[],3,FALSE),"")</f>
        <v>CAMARA</v>
      </c>
      <c r="D144" t="str">
        <f>IFERROR(VLOOKUP(TTrainingSource[[#This Row],[Employee_ID]],THrList[],4,FALSE),"")</f>
        <v>Ibrahim</v>
      </c>
      <c r="E144" t="str">
        <f>IFERROR(VLOOKUP(TTrainingSource[[#This Row],[Employee_ID]],THrList[],10,FALSE),"")</f>
        <v>IT</v>
      </c>
      <c r="F144" t="str">
        <f>TRIM(PROPER(TTrainingSource[[#This Row],[Training_Status2]]))</f>
        <v>Completed</v>
      </c>
      <c r="G144" t="s">
        <v>17</v>
      </c>
      <c r="H144" t="str">
        <f>TRIM(PROPER(TTrainingSource[[#This Row],[Training_Title2]]))</f>
        <v>Digital Marketing Strategy</v>
      </c>
      <c r="I144" t="s">
        <v>43</v>
      </c>
      <c r="J144" s="1">
        <v>45596</v>
      </c>
      <c r="K144" t="s">
        <v>42</v>
      </c>
      <c r="L144" s="7">
        <v>6</v>
      </c>
      <c r="M144">
        <f>ROUND(TTrainingSource[[#This Row],[Satisfaction_Score2]],0)</f>
        <v>3</v>
      </c>
      <c r="N144">
        <v>3</v>
      </c>
    </row>
    <row r="145" spans="1:14" x14ac:dyDescent="0.3">
      <c r="A145" t="s">
        <v>47</v>
      </c>
      <c r="B145" t="str">
        <f>TRIM(TTrainingSource[[#This Row],[EMPloyee_ID2]])</f>
        <v>EMP10068</v>
      </c>
      <c r="C145" t="str">
        <f>IFERROR(VLOOKUP(TTrainingSource[[#This Row],[Employee_ID]],THrList[],3,FALSE),"")</f>
        <v>CAMARA</v>
      </c>
      <c r="D145" t="str">
        <f>IFERROR(VLOOKUP(TTrainingSource[[#This Row],[Employee_ID]],THrList[],4,FALSE),"")</f>
        <v>Ibrahim</v>
      </c>
      <c r="E145" t="str">
        <f>IFERROR(VLOOKUP(TTrainingSource[[#This Row],[Employee_ID]],THrList[],10,FALSE),"")</f>
        <v>IT</v>
      </c>
      <c r="F145" t="str">
        <f>TRIM(PROPER(TTrainingSource[[#This Row],[Training_Status2]]))</f>
        <v>Completed</v>
      </c>
      <c r="G145" t="s">
        <v>17</v>
      </c>
      <c r="H145" t="str">
        <f>TRIM(PROPER(TTrainingSource[[#This Row],[Training_Title2]]))</f>
        <v>Sql For Data Analytics</v>
      </c>
      <c r="I145" t="s">
        <v>26</v>
      </c>
      <c r="J145" s="1">
        <v>44968</v>
      </c>
      <c r="K145" t="s">
        <v>98</v>
      </c>
      <c r="L145" s="7">
        <v>32</v>
      </c>
      <c r="M145">
        <f>ROUND(TTrainingSource[[#This Row],[Satisfaction_Score2]],0)</f>
        <v>4</v>
      </c>
      <c r="N145">
        <v>3.7</v>
      </c>
    </row>
    <row r="146" spans="1:14" x14ac:dyDescent="0.3">
      <c r="A146" t="s">
        <v>47</v>
      </c>
      <c r="B146" t="str">
        <f>TRIM(TTrainingSource[[#This Row],[EMPloyee_ID2]])</f>
        <v>EMP10068</v>
      </c>
      <c r="C146" t="str">
        <f>IFERROR(VLOOKUP(TTrainingSource[[#This Row],[Employee_ID]],THrList[],3,FALSE),"")</f>
        <v>CAMARA</v>
      </c>
      <c r="D146" t="str">
        <f>IFERROR(VLOOKUP(TTrainingSource[[#This Row],[Employee_ID]],THrList[],4,FALSE),"")</f>
        <v>Ibrahim</v>
      </c>
      <c r="E146" t="str">
        <f>IFERROR(VLOOKUP(TTrainingSource[[#This Row],[Employee_ID]],THrList[],10,FALSE),"")</f>
        <v>IT</v>
      </c>
      <c r="F146" t="str">
        <f>TRIM(PROPER(TTrainingSource[[#This Row],[Training_Status2]]))</f>
        <v>Completed</v>
      </c>
      <c r="G146" t="s">
        <v>17</v>
      </c>
      <c r="H146" t="str">
        <f>TRIM(PROPER(TTrainingSource[[#This Row],[Training_Title2]]))</f>
        <v>Project Management Essentials</v>
      </c>
      <c r="I146" t="s">
        <v>14</v>
      </c>
      <c r="J146" s="1">
        <v>45844</v>
      </c>
      <c r="K146" t="s">
        <v>42</v>
      </c>
      <c r="L146" s="7">
        <v>20</v>
      </c>
      <c r="M146">
        <f>ROUND(TTrainingSource[[#This Row],[Satisfaction_Score2]],0)</f>
        <v>4</v>
      </c>
      <c r="N146">
        <v>4.3</v>
      </c>
    </row>
    <row r="147" spans="1:14" x14ac:dyDescent="0.3">
      <c r="A147" t="s">
        <v>228</v>
      </c>
      <c r="B147" t="str">
        <f>TRIM(TTrainingSource[[#This Row],[EMPloyee_ID2]])</f>
        <v>EMP10069</v>
      </c>
      <c r="C147" t="str">
        <f>IFERROR(VLOOKUP(TTrainingSource[[#This Row],[Employee_ID]],THrList[],3,FALSE),"")</f>
        <v>CHEN</v>
      </c>
      <c r="D147" t="str">
        <f>IFERROR(VLOOKUP(TTrainingSource[[#This Row],[Employee_ID]],THrList[],4,FALSE),"")</f>
        <v>Evelyn</v>
      </c>
      <c r="E147" t="str">
        <f>IFERROR(VLOOKUP(TTrainingSource[[#This Row],[Employee_ID]],THrList[],10,FALSE),"")</f>
        <v>Compliance</v>
      </c>
      <c r="F147" t="str">
        <f>TRIM(PROPER(TTrainingSource[[#This Row],[Training_Status2]]))</f>
        <v>Completed</v>
      </c>
      <c r="G147" t="s">
        <v>17</v>
      </c>
      <c r="H147" t="str">
        <f>TRIM(PROPER(TTrainingSource[[#This Row],[Training_Title2]]))</f>
        <v>Project Management Essentials</v>
      </c>
      <c r="I147" t="s">
        <v>14</v>
      </c>
      <c r="J147" s="1">
        <v>45704</v>
      </c>
      <c r="K147" t="s">
        <v>29</v>
      </c>
      <c r="L147" s="7">
        <v>32</v>
      </c>
      <c r="M147">
        <f>ROUND(TTrainingSource[[#This Row],[Satisfaction_Score2]],0)</f>
        <v>4</v>
      </c>
      <c r="N147">
        <v>4</v>
      </c>
    </row>
    <row r="148" spans="1:14" x14ac:dyDescent="0.3">
      <c r="A148" t="s">
        <v>359</v>
      </c>
      <c r="B148" t="str">
        <f>TRIM(TTrainingSource[[#This Row],[EMPloyee_ID2]])</f>
        <v>EMP10070</v>
      </c>
      <c r="C148" t="str">
        <f>IFERROR(VLOOKUP(TTrainingSource[[#This Row],[Employee_ID]],THrList[],3,FALSE),"")</f>
        <v>CHEN</v>
      </c>
      <c r="D148" t="str">
        <f>IFERROR(VLOOKUP(TTrainingSource[[#This Row],[Employee_ID]],THrList[],4,FALSE),"")</f>
        <v>Antoine</v>
      </c>
      <c r="E148" t="str">
        <f>IFERROR(VLOOKUP(TTrainingSource[[#This Row],[Employee_ID]],THrList[],10,FALSE),"")</f>
        <v>Marketing</v>
      </c>
      <c r="F148" t="str">
        <f>TRIM(PROPER(TTrainingSource[[#This Row],[Training_Status2]]))</f>
        <v>Planned</v>
      </c>
      <c r="G148" t="s">
        <v>19</v>
      </c>
      <c r="H148" t="str">
        <f>TRIM(PROPER(TTrainingSource[[#This Row],[Training_Title2]]))</f>
        <v>Communication For Analysts</v>
      </c>
      <c r="I148" t="s">
        <v>28</v>
      </c>
      <c r="J148" s="1">
        <v>45707</v>
      </c>
      <c r="K148" t="s">
        <v>71</v>
      </c>
      <c r="L148" s="7">
        <v>20</v>
      </c>
      <c r="M148">
        <f>ROUND(TTrainingSource[[#This Row],[Satisfaction_Score2]],0)</f>
        <v>3</v>
      </c>
      <c r="N148">
        <v>3.4</v>
      </c>
    </row>
    <row r="149" spans="1:14" x14ac:dyDescent="0.3">
      <c r="A149" t="s">
        <v>359</v>
      </c>
      <c r="B149" t="str">
        <f>TRIM(TTrainingSource[[#This Row],[EMPloyee_ID2]])</f>
        <v>EMP10070</v>
      </c>
      <c r="C149" t="str">
        <f>IFERROR(VLOOKUP(TTrainingSource[[#This Row],[Employee_ID]],THrList[],3,FALSE),"")</f>
        <v>CHEN</v>
      </c>
      <c r="D149" t="str">
        <f>IFERROR(VLOOKUP(TTrainingSource[[#This Row],[Employee_ID]],THrList[],4,FALSE),"")</f>
        <v>Antoine</v>
      </c>
      <c r="E149" t="str">
        <f>IFERROR(VLOOKUP(TTrainingSource[[#This Row],[Employee_ID]],THrList[],10,FALSE),"")</f>
        <v>Marketing</v>
      </c>
      <c r="F149" t="str">
        <f>TRIM(PROPER(TTrainingSource[[#This Row],[Training_Status2]]))</f>
        <v>Completed</v>
      </c>
      <c r="G149" t="s">
        <v>17</v>
      </c>
      <c r="H149" t="str">
        <f>TRIM(PROPER(TTrainingSource[[#This Row],[Training_Title2]]))</f>
        <v>Financial Modeling Basics</v>
      </c>
      <c r="I149" t="s">
        <v>38</v>
      </c>
      <c r="J149" s="1">
        <v>44762</v>
      </c>
      <c r="K149" t="s">
        <v>12</v>
      </c>
      <c r="L149" s="7">
        <v>8</v>
      </c>
      <c r="M149">
        <f>ROUND(TTrainingSource[[#This Row],[Satisfaction_Score2]],0)</f>
        <v>3</v>
      </c>
      <c r="N149">
        <v>2.6</v>
      </c>
    </row>
    <row r="150" spans="1:14" x14ac:dyDescent="0.3">
      <c r="A150" t="s">
        <v>447</v>
      </c>
      <c r="B150" t="str">
        <f>TRIM(TTrainingSource[[#This Row],[EMPloyee_ID2]])</f>
        <v>EMP10071</v>
      </c>
      <c r="C150" t="str">
        <f>IFERROR(VLOOKUP(TTrainingSource[[#This Row],[Employee_ID]],THrList[],3,FALSE),"")</f>
        <v>WILLIAMS</v>
      </c>
      <c r="D150" t="str">
        <f>IFERROR(VLOOKUP(TTrainingSource[[#This Row],[Employee_ID]],THrList[],4,FALSE),"")</f>
        <v>Henry</v>
      </c>
      <c r="E150" t="str">
        <f>IFERROR(VLOOKUP(TTrainingSource[[#This Row],[Employee_ID]],THrList[],10,FALSE),"")</f>
        <v>Compliance</v>
      </c>
      <c r="F150" t="str">
        <f>TRIM(PROPER(TTrainingSource[[#This Row],[Training_Status2]]))</f>
        <v>Completed</v>
      </c>
      <c r="G150" t="s">
        <v>17</v>
      </c>
      <c r="H150" t="str">
        <f>TRIM(PROPER(TTrainingSource[[#This Row],[Training_Title2]]))</f>
        <v>Financial Modeling Basics</v>
      </c>
      <c r="I150" t="s">
        <v>38</v>
      </c>
      <c r="J150" s="1">
        <v>45111</v>
      </c>
      <c r="K150" t="s">
        <v>29</v>
      </c>
      <c r="L150" s="7">
        <v>12</v>
      </c>
      <c r="M150">
        <f>ROUND(TTrainingSource[[#This Row],[Satisfaction_Score2]],0)</f>
        <v>3</v>
      </c>
      <c r="N150">
        <v>2.9</v>
      </c>
    </row>
    <row r="151" spans="1:14" x14ac:dyDescent="0.3">
      <c r="A151" t="s">
        <v>351</v>
      </c>
      <c r="B151" t="str">
        <f>TRIM(TTrainingSource[[#This Row],[EMPloyee_ID2]])</f>
        <v>EMP10072</v>
      </c>
      <c r="C151" t="str">
        <f>IFERROR(VLOOKUP(TTrainingSource[[#This Row],[Employee_ID]],THrList[],3,FALSE),"")</f>
        <v>JONES</v>
      </c>
      <c r="D151" t="str">
        <f>IFERROR(VLOOKUP(TTrainingSource[[#This Row],[Employee_ID]],THrList[],4,FALSE),"")</f>
        <v>Ibrahim</v>
      </c>
      <c r="E151" t="str">
        <f>IFERROR(VLOOKUP(TTrainingSource[[#This Row],[Employee_ID]],THrList[],10,FALSE),"")</f>
        <v>Human Resources</v>
      </c>
      <c r="F151" t="str">
        <f>TRIM(PROPER(TTrainingSource[[#This Row],[Training_Status2]]))</f>
        <v>Completed</v>
      </c>
      <c r="G151" t="s">
        <v>17</v>
      </c>
      <c r="H151" t="str">
        <f>TRIM(PROPER(TTrainingSource[[#This Row],[Training_Title2]]))</f>
        <v>Communication For Analysts</v>
      </c>
      <c r="I151" t="s">
        <v>28</v>
      </c>
      <c r="J151" s="1">
        <v>44796</v>
      </c>
      <c r="K151" t="s">
        <v>39</v>
      </c>
      <c r="L151" s="7">
        <v>40</v>
      </c>
      <c r="M151">
        <f>ROUND(TTrainingSource[[#This Row],[Satisfaction_Score2]],0)</f>
        <v>4</v>
      </c>
      <c r="N151">
        <v>4.3</v>
      </c>
    </row>
    <row r="152" spans="1:14" x14ac:dyDescent="0.3">
      <c r="A152" t="s">
        <v>396</v>
      </c>
      <c r="B152" t="str">
        <f>TRIM(TTrainingSource[[#This Row],[EMPloyee_ID2]])</f>
        <v>EMP10072</v>
      </c>
      <c r="C152" t="str">
        <f>IFERROR(VLOOKUP(TTrainingSource[[#This Row],[Employee_ID]],THrList[],3,FALSE),"")</f>
        <v>JONES</v>
      </c>
      <c r="D152" t="str">
        <f>IFERROR(VLOOKUP(TTrainingSource[[#This Row],[Employee_ID]],THrList[],4,FALSE),"")</f>
        <v>Ibrahim</v>
      </c>
      <c r="E152" t="str">
        <f>IFERROR(VLOOKUP(TTrainingSource[[#This Row],[Employee_ID]],THrList[],10,FALSE),"")</f>
        <v>Human Resources</v>
      </c>
      <c r="F152" t="str">
        <f>TRIM(PROPER(TTrainingSource[[#This Row],[Training_Status2]]))</f>
        <v>Completed</v>
      </c>
      <c r="G152" t="s">
        <v>17</v>
      </c>
      <c r="H152" t="str">
        <f>TRIM(PROPER(TTrainingSource[[#This Row],[Training_Title2]]))</f>
        <v>Financial Modeling Basics</v>
      </c>
      <c r="I152" t="s">
        <v>38</v>
      </c>
      <c r="J152" s="1">
        <v>45010</v>
      </c>
      <c r="K152" t="s">
        <v>44</v>
      </c>
      <c r="L152" s="7">
        <v>24</v>
      </c>
      <c r="M152">
        <f>ROUND(TTrainingSource[[#This Row],[Satisfaction_Score2]],0)</f>
        <v>5</v>
      </c>
      <c r="N152">
        <v>4.5999999999999996</v>
      </c>
    </row>
    <row r="153" spans="1:14" x14ac:dyDescent="0.3">
      <c r="A153" t="s">
        <v>351</v>
      </c>
      <c r="B153" t="str">
        <f>TRIM(TTrainingSource[[#This Row],[EMPloyee_ID2]])</f>
        <v>EMP10072</v>
      </c>
      <c r="C153" t="str">
        <f>IFERROR(VLOOKUP(TTrainingSource[[#This Row],[Employee_ID]],THrList[],3,FALSE),"")</f>
        <v>JONES</v>
      </c>
      <c r="D153" t="str">
        <f>IFERROR(VLOOKUP(TTrainingSource[[#This Row],[Employee_ID]],THrList[],4,FALSE),"")</f>
        <v>Ibrahim</v>
      </c>
      <c r="E153" t="str">
        <f>IFERROR(VLOOKUP(TTrainingSource[[#This Row],[Employee_ID]],THrList[],10,FALSE),"")</f>
        <v>Human Resources</v>
      </c>
      <c r="F153" t="str">
        <f>TRIM(PROPER(TTrainingSource[[#This Row],[Training_Status2]]))</f>
        <v>In Progress</v>
      </c>
      <c r="G153" t="s">
        <v>8</v>
      </c>
      <c r="H153" t="str">
        <f>TRIM(PROPER(TTrainingSource[[#This Row],[Training_Title2]]))</f>
        <v>Power Bi Reporting</v>
      </c>
      <c r="I153" t="s">
        <v>24</v>
      </c>
      <c r="J153" s="1">
        <v>44881</v>
      </c>
      <c r="K153" t="s">
        <v>44</v>
      </c>
      <c r="L153" s="7">
        <v>16</v>
      </c>
      <c r="M153">
        <f>ROUND(TTrainingSource[[#This Row],[Satisfaction_Score2]],0)</f>
        <v>4</v>
      </c>
      <c r="N153">
        <v>3.7</v>
      </c>
    </row>
    <row r="154" spans="1:14" x14ac:dyDescent="0.3">
      <c r="A154" t="s">
        <v>456</v>
      </c>
      <c r="B154" t="str">
        <f>TRIM(TTrainingSource[[#This Row],[EMPloyee_ID2]])</f>
        <v>EMP10073</v>
      </c>
      <c r="C154" t="str">
        <f>IFERROR(VLOOKUP(TTrainingSource[[#This Row],[Employee_ID]],THrList[],3,FALSE),"")</f>
        <v>ALI</v>
      </c>
      <c r="D154" t="str">
        <f>IFERROR(VLOOKUP(TTrainingSource[[#This Row],[Employee_ID]],THrList[],4,FALSE),"")</f>
        <v>Abigail</v>
      </c>
      <c r="E154" t="str">
        <f>IFERROR(VLOOKUP(TTrainingSource[[#This Row],[Employee_ID]],THrList[],10,FALSE),"")</f>
        <v>Marketing</v>
      </c>
      <c r="F154" t="str">
        <f>TRIM(PROPER(TTrainingSource[[#This Row],[Training_Status2]]))</f>
        <v>In Progress</v>
      </c>
      <c r="G154" t="s">
        <v>156</v>
      </c>
      <c r="H154" t="str">
        <f>TRIM(PROPER(TTrainingSource[[#This Row],[Training_Title2]]))</f>
        <v>Digital Marketing Strategy</v>
      </c>
      <c r="I154" t="s">
        <v>43</v>
      </c>
      <c r="J154" s="1">
        <v>44886</v>
      </c>
      <c r="K154" t="s">
        <v>15</v>
      </c>
      <c r="L154" s="7">
        <v>40</v>
      </c>
      <c r="M154">
        <f>ROUND(TTrainingSource[[#This Row],[Satisfaction_Score2]],0)</f>
        <v>4</v>
      </c>
      <c r="N154">
        <v>3.9</v>
      </c>
    </row>
    <row r="155" spans="1:14" x14ac:dyDescent="0.3">
      <c r="A155" t="s">
        <v>456</v>
      </c>
      <c r="B155" t="str">
        <f>TRIM(TTrainingSource[[#This Row],[EMPloyee_ID2]])</f>
        <v>EMP10073</v>
      </c>
      <c r="C155" t="str">
        <f>IFERROR(VLOOKUP(TTrainingSource[[#This Row],[Employee_ID]],THrList[],3,FALSE),"")</f>
        <v>ALI</v>
      </c>
      <c r="D155" t="str">
        <f>IFERROR(VLOOKUP(TTrainingSource[[#This Row],[Employee_ID]],THrList[],4,FALSE),"")</f>
        <v>Abigail</v>
      </c>
      <c r="E155" t="str">
        <f>IFERROR(VLOOKUP(TTrainingSource[[#This Row],[Employee_ID]],THrList[],10,FALSE),"")</f>
        <v>Marketing</v>
      </c>
      <c r="F155" t="str">
        <f>TRIM(PROPER(TTrainingSource[[#This Row],[Training_Status2]]))</f>
        <v>Completed</v>
      </c>
      <c r="G155" t="s">
        <v>17</v>
      </c>
      <c r="H155" t="str">
        <f>TRIM(PROPER(TTrainingSource[[#This Row],[Training_Title2]]))</f>
        <v>Introduction To Python For Data</v>
      </c>
      <c r="I155" t="s">
        <v>62</v>
      </c>
      <c r="J155" s="1">
        <v>45290</v>
      </c>
      <c r="K155" t="s">
        <v>39</v>
      </c>
      <c r="L155" s="7">
        <v>6</v>
      </c>
      <c r="M155">
        <f>ROUND(TTrainingSource[[#This Row],[Satisfaction_Score2]],0)</f>
        <v>4</v>
      </c>
      <c r="N155">
        <v>3.5</v>
      </c>
    </row>
    <row r="156" spans="1:14" x14ac:dyDescent="0.3">
      <c r="A156" t="s">
        <v>174</v>
      </c>
      <c r="B156" t="str">
        <f>TRIM(TTrainingSource[[#This Row],[EMPloyee_ID2]])</f>
        <v>EMP10074</v>
      </c>
      <c r="C156" t="str">
        <f>IFERROR(VLOOKUP(TTrainingSource[[#This Row],[Employee_ID]],THrList[],3,FALSE),"")</f>
        <v>DIOP</v>
      </c>
      <c r="D156" t="str">
        <f>IFERROR(VLOOKUP(TTrainingSource[[#This Row],[Employee_ID]],THrList[],4,FALSE),"")</f>
        <v>Nina</v>
      </c>
      <c r="E156" t="str">
        <f>IFERROR(VLOOKUP(TTrainingSource[[#This Row],[Employee_ID]],THrList[],10,FALSE),"")</f>
        <v>Compliance</v>
      </c>
      <c r="F156" t="str">
        <f>TRIM(PROPER(TTrainingSource[[#This Row],[Training_Status2]]))</f>
        <v>In Progress</v>
      </c>
      <c r="G156" t="s">
        <v>8</v>
      </c>
      <c r="H156" t="str">
        <f>TRIM(PROPER(TTrainingSource[[#This Row],[Training_Title2]]))</f>
        <v>Customer Data Analysis</v>
      </c>
      <c r="I156" t="s">
        <v>31</v>
      </c>
      <c r="J156" s="1">
        <v>44989</v>
      </c>
      <c r="K156" t="s">
        <v>32</v>
      </c>
      <c r="L156" s="7">
        <v>40</v>
      </c>
      <c r="M156">
        <f>ROUND(TTrainingSource[[#This Row],[Satisfaction_Score2]],0)</f>
        <v>3</v>
      </c>
      <c r="N156">
        <v>2.8</v>
      </c>
    </row>
    <row r="157" spans="1:14" x14ac:dyDescent="0.3">
      <c r="A157" t="s">
        <v>174</v>
      </c>
      <c r="B157" t="str">
        <f>TRIM(TTrainingSource[[#This Row],[EMPloyee_ID2]])</f>
        <v>EMP10074</v>
      </c>
      <c r="C157" t="str">
        <f>IFERROR(VLOOKUP(TTrainingSource[[#This Row],[Employee_ID]],THrList[],3,FALSE),"")</f>
        <v>DIOP</v>
      </c>
      <c r="D157" t="str">
        <f>IFERROR(VLOOKUP(TTrainingSource[[#This Row],[Employee_ID]],THrList[],4,FALSE),"")</f>
        <v>Nina</v>
      </c>
      <c r="E157" t="str">
        <f>IFERROR(VLOOKUP(TTrainingSource[[#This Row],[Employee_ID]],THrList[],10,FALSE),"")</f>
        <v>Compliance</v>
      </c>
      <c r="F157" t="str">
        <f>TRIM(PROPER(TTrainingSource[[#This Row],[Training_Status2]]))</f>
        <v>In Progress</v>
      </c>
      <c r="G157" t="s">
        <v>8</v>
      </c>
      <c r="H157" t="str">
        <f>TRIM(PROPER(TTrainingSource[[#This Row],[Training_Title2]]))</f>
        <v>Digital Marketing Strategy</v>
      </c>
      <c r="I157" t="s">
        <v>43</v>
      </c>
      <c r="J157" s="1">
        <v>44700</v>
      </c>
      <c r="K157" t="s">
        <v>15</v>
      </c>
      <c r="L157" s="7">
        <v>8</v>
      </c>
      <c r="M157">
        <f>ROUND(TTrainingSource[[#This Row],[Satisfaction_Score2]],0)</f>
        <v>4</v>
      </c>
      <c r="N157">
        <v>3.8</v>
      </c>
    </row>
    <row r="158" spans="1:14" x14ac:dyDescent="0.3">
      <c r="A158" t="s">
        <v>399</v>
      </c>
      <c r="B158" t="str">
        <f>TRIM(TTrainingSource[[#This Row],[EMPloyee_ID2]])</f>
        <v>EMP10075</v>
      </c>
      <c r="C158" t="str">
        <f>IFERROR(VLOOKUP(TTrainingSource[[#This Row],[Employee_ID]],THrList[],3,FALSE),"")</f>
        <v>GARCIA</v>
      </c>
      <c r="D158" t="str">
        <f>IFERROR(VLOOKUP(TTrainingSource[[#This Row],[Employee_ID]],THrList[],4,FALSE),"")</f>
        <v>Omar</v>
      </c>
      <c r="E158" t="str">
        <f>IFERROR(VLOOKUP(TTrainingSource[[#This Row],[Employee_ID]],THrList[],10,FALSE),"")</f>
        <v>Marketing</v>
      </c>
      <c r="F158" t="str">
        <f>TRIM(PROPER(TTrainingSource[[#This Row],[Training_Status2]]))</f>
        <v>Planned</v>
      </c>
      <c r="G158" t="s">
        <v>19</v>
      </c>
      <c r="H158" t="str">
        <f>TRIM(PROPER(TTrainingSource[[#This Row],[Training_Title2]]))</f>
        <v>Data Visualization Best Practices</v>
      </c>
      <c r="I158" t="s">
        <v>20</v>
      </c>
      <c r="J158" s="1">
        <v>44948</v>
      </c>
      <c r="K158" t="s">
        <v>42</v>
      </c>
      <c r="L158" s="7">
        <v>20</v>
      </c>
      <c r="M158">
        <f>ROUND(TTrainingSource[[#This Row],[Satisfaction_Score2]],0)</f>
        <v>3</v>
      </c>
      <c r="N158">
        <v>3.2</v>
      </c>
    </row>
    <row r="159" spans="1:14" x14ac:dyDescent="0.3">
      <c r="A159" t="s">
        <v>565</v>
      </c>
      <c r="B159" t="str">
        <f>TRIM(TTrainingSource[[#This Row],[EMPloyee_ID2]])</f>
        <v>EMP10076</v>
      </c>
      <c r="C159" t="str">
        <f>IFERROR(VLOOKUP(TTrainingSource[[#This Row],[Employee_ID]],THrList[],3,FALSE),"")</f>
        <v>WILLIAMS</v>
      </c>
      <c r="D159" t="str">
        <f>IFERROR(VLOOKUP(TTrainingSource[[#This Row],[Employee_ID]],THrList[],4,FALSE),"")</f>
        <v>Alexander</v>
      </c>
      <c r="E159" t="str">
        <f>IFERROR(VLOOKUP(TTrainingSource[[#This Row],[Employee_ID]],THrList[],10,FALSE),"")</f>
        <v>Human Resources</v>
      </c>
      <c r="F159" t="str">
        <f>TRIM(PROPER(TTrainingSource[[#This Row],[Training_Status2]]))</f>
        <v>Completed</v>
      </c>
      <c r="G159" t="s">
        <v>17</v>
      </c>
      <c r="H159" t="str">
        <f>TRIM(PROPER(TTrainingSource[[#This Row],[Training_Title2]]))</f>
        <v>Digital Marketing Strategy</v>
      </c>
      <c r="I159" t="s">
        <v>398</v>
      </c>
      <c r="J159" s="1">
        <v>45502</v>
      </c>
      <c r="K159" t="s">
        <v>32</v>
      </c>
      <c r="L159" s="7">
        <v>16</v>
      </c>
      <c r="M159">
        <f>ROUND(TTrainingSource[[#This Row],[Satisfaction_Score2]],0)</f>
        <v>3</v>
      </c>
      <c r="N159">
        <v>3.3</v>
      </c>
    </row>
    <row r="160" spans="1:14" x14ac:dyDescent="0.3">
      <c r="A160" t="s">
        <v>88</v>
      </c>
      <c r="B160" t="str">
        <f>TRIM(TTrainingSource[[#This Row],[EMPloyee_ID2]])</f>
        <v>EMP10077</v>
      </c>
      <c r="C160" t="str">
        <f>IFERROR(VLOOKUP(TTrainingSource[[#This Row],[Employee_ID]],THrList[],3,FALSE),"")</f>
        <v>TRAORE</v>
      </c>
      <c r="D160" t="str">
        <f>IFERROR(VLOOKUP(TTrainingSource[[#This Row],[Employee_ID]],THrList[],4,FALSE),"")</f>
        <v>Chinedu</v>
      </c>
      <c r="E160" t="str">
        <f>IFERROR(VLOOKUP(TTrainingSource[[#This Row],[Employee_ID]],THrList[],10,FALSE),"")</f>
        <v>Customer Support</v>
      </c>
      <c r="F160" t="str">
        <f>TRIM(PROPER(TTrainingSource[[#This Row],[Training_Status2]]))</f>
        <v>Planned</v>
      </c>
      <c r="G160" t="s">
        <v>19</v>
      </c>
      <c r="H160" t="str">
        <f>TRIM(PROPER(TTrainingSource[[#This Row],[Training_Title2]]))</f>
        <v>Data Visualization Best Practices</v>
      </c>
      <c r="I160" t="s">
        <v>20</v>
      </c>
      <c r="J160" s="1">
        <v>45414</v>
      </c>
      <c r="K160" t="s">
        <v>42</v>
      </c>
      <c r="L160" s="7">
        <v>4</v>
      </c>
      <c r="M160">
        <f>ROUND(TTrainingSource[[#This Row],[Satisfaction_Score2]],0)</f>
        <v>5</v>
      </c>
      <c r="N160">
        <v>4.5999999999999996</v>
      </c>
    </row>
    <row r="161" spans="1:14" x14ac:dyDescent="0.3">
      <c r="A161" t="s">
        <v>339</v>
      </c>
      <c r="B161" t="str">
        <f>TRIM(TTrainingSource[[#This Row],[EMPloyee_ID2]])</f>
        <v>EMP10077</v>
      </c>
      <c r="C161" t="str">
        <f>IFERROR(VLOOKUP(TTrainingSource[[#This Row],[Employee_ID]],THrList[],3,FALSE),"")</f>
        <v>TRAORE</v>
      </c>
      <c r="D161" t="str">
        <f>IFERROR(VLOOKUP(TTrainingSource[[#This Row],[Employee_ID]],THrList[],4,FALSE),"")</f>
        <v>Chinedu</v>
      </c>
      <c r="E161" t="str">
        <f>IFERROR(VLOOKUP(TTrainingSource[[#This Row],[Employee_ID]],THrList[],10,FALSE),"")</f>
        <v>Customer Support</v>
      </c>
      <c r="F161" t="str">
        <f>TRIM(PROPER(TTrainingSource[[#This Row],[Training_Status2]]))</f>
        <v>Completed</v>
      </c>
      <c r="G161" t="s">
        <v>17</v>
      </c>
      <c r="H161" t="str">
        <f>TRIM(PROPER(TTrainingSource[[#This Row],[Training_Title2]]))</f>
        <v>Introduction To Python For Data</v>
      </c>
      <c r="I161" t="s">
        <v>62</v>
      </c>
      <c r="J161" s="1">
        <v>44866</v>
      </c>
      <c r="K161" t="s">
        <v>29</v>
      </c>
      <c r="L161" s="7">
        <v>24</v>
      </c>
      <c r="M161">
        <f>ROUND(TTrainingSource[[#This Row],[Satisfaction_Score2]],0)</f>
        <v>5</v>
      </c>
      <c r="N161">
        <v>4.5</v>
      </c>
    </row>
    <row r="162" spans="1:14" x14ac:dyDescent="0.3">
      <c r="A162" t="s">
        <v>339</v>
      </c>
      <c r="B162" t="str">
        <f>TRIM(TTrainingSource[[#This Row],[EMPloyee_ID2]])</f>
        <v>EMP10077</v>
      </c>
      <c r="C162" t="str">
        <f>IFERROR(VLOOKUP(TTrainingSource[[#This Row],[Employee_ID]],THrList[],3,FALSE),"")</f>
        <v>TRAORE</v>
      </c>
      <c r="D162" t="str">
        <f>IFERROR(VLOOKUP(TTrainingSource[[#This Row],[Employee_ID]],THrList[],4,FALSE),"")</f>
        <v>Chinedu</v>
      </c>
      <c r="E162" t="str">
        <f>IFERROR(VLOOKUP(TTrainingSource[[#This Row],[Employee_ID]],THrList[],10,FALSE),"")</f>
        <v>Customer Support</v>
      </c>
      <c r="F162" t="str">
        <f>TRIM(PROPER(TTrainingSource[[#This Row],[Training_Status2]]))</f>
        <v>Completed</v>
      </c>
      <c r="G162" t="s">
        <v>17</v>
      </c>
      <c r="H162" t="str">
        <f>TRIM(PROPER(TTrainingSource[[#This Row],[Training_Title2]]))</f>
        <v>Advanced Excel For Business</v>
      </c>
      <c r="I162" t="s">
        <v>52</v>
      </c>
      <c r="J162" s="1">
        <v>44900</v>
      </c>
      <c r="K162" t="s">
        <v>1072</v>
      </c>
      <c r="L162" s="7">
        <v>4</v>
      </c>
      <c r="M162">
        <f>ROUND(TTrainingSource[[#This Row],[Satisfaction_Score2]],0)</f>
        <v>4</v>
      </c>
      <c r="N162">
        <v>3.5</v>
      </c>
    </row>
    <row r="163" spans="1:14" x14ac:dyDescent="0.3">
      <c r="A163" t="s">
        <v>691</v>
      </c>
      <c r="B163" t="str">
        <f>TRIM(TTrainingSource[[#This Row],[EMPloyee_ID2]])</f>
        <v>EMP10078</v>
      </c>
      <c r="C163" t="str">
        <f>IFERROR(VLOOKUP(TTrainingSource[[#This Row],[Employee_ID]],THrList[],3,FALSE),"")</f>
        <v>MOREAU</v>
      </c>
      <c r="D163" t="str">
        <f>IFERROR(VLOOKUP(TTrainingSource[[#This Row],[Employee_ID]],THrList[],4,FALSE),"")</f>
        <v>Emily</v>
      </c>
      <c r="E163" t="str">
        <f>IFERROR(VLOOKUP(TTrainingSource[[#This Row],[Employee_ID]],THrList[],10,FALSE),"")</f>
        <v>Procurement</v>
      </c>
      <c r="F163" t="str">
        <f>TRIM(PROPER(TTrainingSource[[#This Row],[Training_Status2]]))</f>
        <v>Completed</v>
      </c>
      <c r="G163" t="s">
        <v>17</v>
      </c>
      <c r="H163" t="str">
        <f>TRIM(PROPER(TTrainingSource[[#This Row],[Training_Title2]]))</f>
        <v>Project Management Essentials</v>
      </c>
      <c r="I163" t="s">
        <v>14</v>
      </c>
      <c r="J163" s="1">
        <v>45013</v>
      </c>
      <c r="K163" t="s">
        <v>42</v>
      </c>
      <c r="L163" s="7">
        <v>32</v>
      </c>
      <c r="M163">
        <f>ROUND(TTrainingSource[[#This Row],[Satisfaction_Score2]],0)</f>
        <v>3</v>
      </c>
      <c r="N163">
        <v>3.3</v>
      </c>
    </row>
    <row r="164" spans="1:14" x14ac:dyDescent="0.3">
      <c r="A164" t="s">
        <v>463</v>
      </c>
      <c r="B164" t="str">
        <f>TRIM(TTrainingSource[[#This Row],[EMPloyee_ID2]])</f>
        <v>EMP10079</v>
      </c>
      <c r="C164" t="str">
        <f>IFERROR(VLOOKUP(TTrainingSource[[#This Row],[Employee_ID]],THrList[],3,FALSE),"")</f>
        <v>ANDERSON</v>
      </c>
      <c r="D164" t="str">
        <f>IFERROR(VLOOKUP(TTrainingSource[[#This Row],[Employee_ID]],THrList[],4,FALSE),"")</f>
        <v>Ama</v>
      </c>
      <c r="E164" t="str">
        <f>IFERROR(VLOOKUP(TTrainingSource[[#This Row],[Employee_ID]],THrList[],10,FALSE),"")</f>
        <v>Sales</v>
      </c>
      <c r="F164" t="str">
        <f>TRIM(PROPER(TTrainingSource[[#This Row],[Training_Status2]]))</f>
        <v>Completed</v>
      </c>
      <c r="G164" t="s">
        <v>17</v>
      </c>
      <c r="H164" t="str">
        <f>TRIM(PROPER(TTrainingSource[[#This Row],[Training_Title2]]))</f>
        <v>Business Intelligence With Tableau</v>
      </c>
      <c r="I164" t="s">
        <v>22</v>
      </c>
      <c r="J164" s="1">
        <v>45237</v>
      </c>
      <c r="K164" t="s">
        <v>98</v>
      </c>
      <c r="L164" s="7">
        <v>24</v>
      </c>
      <c r="M164">
        <f>ROUND(TTrainingSource[[#This Row],[Satisfaction_Score2]],0)</f>
        <v>4</v>
      </c>
      <c r="N164">
        <v>4.2</v>
      </c>
    </row>
    <row r="165" spans="1:14" x14ac:dyDescent="0.3">
      <c r="A165" t="s">
        <v>463</v>
      </c>
      <c r="B165" t="str">
        <f>TRIM(TTrainingSource[[#This Row],[EMPloyee_ID2]])</f>
        <v>EMP10079</v>
      </c>
      <c r="C165" t="str">
        <f>IFERROR(VLOOKUP(TTrainingSource[[#This Row],[Employee_ID]],THrList[],3,FALSE),"")</f>
        <v>ANDERSON</v>
      </c>
      <c r="D165" t="str">
        <f>IFERROR(VLOOKUP(TTrainingSource[[#This Row],[Employee_ID]],THrList[],4,FALSE),"")</f>
        <v>Ama</v>
      </c>
      <c r="E165" t="str">
        <f>IFERROR(VLOOKUP(TTrainingSource[[#This Row],[Employee_ID]],THrList[],10,FALSE),"")</f>
        <v>Sales</v>
      </c>
      <c r="F165" t="str">
        <f>TRIM(PROPER(TTrainingSource[[#This Row],[Training_Status2]]))</f>
        <v>Completed</v>
      </c>
      <c r="G165" t="s">
        <v>17</v>
      </c>
      <c r="H165" t="str">
        <f>TRIM(PROPER(TTrainingSource[[#This Row],[Training_Title2]]))</f>
        <v>Advanced Excel For Business</v>
      </c>
      <c r="I165" t="s">
        <v>52</v>
      </c>
      <c r="J165" s="1">
        <v>45577</v>
      </c>
      <c r="K165" t="s">
        <v>42</v>
      </c>
      <c r="L165" s="7">
        <v>4</v>
      </c>
      <c r="M165">
        <f>ROUND(TTrainingSource[[#This Row],[Satisfaction_Score2]],0)</f>
        <v>3</v>
      </c>
      <c r="N165">
        <v>3.4</v>
      </c>
    </row>
    <row r="166" spans="1:14" x14ac:dyDescent="0.3">
      <c r="A166" t="s">
        <v>424</v>
      </c>
      <c r="B166" t="str">
        <f>TRIM(TTrainingSource[[#This Row],[EMPloyee_ID2]])</f>
        <v>EMP10080</v>
      </c>
      <c r="C166" t="str">
        <f>IFERROR(VLOOKUP(TTrainingSource[[#This Row],[Employee_ID]],THrList[],3,FALSE),"")</f>
        <v>GARCIA</v>
      </c>
      <c r="D166" t="str">
        <f>IFERROR(VLOOKUP(TTrainingSource[[#This Row],[Employee_ID]],THrList[],4,FALSE),"")</f>
        <v>Hugo</v>
      </c>
      <c r="E166" t="str">
        <f>IFERROR(VLOOKUP(TTrainingSource[[#This Row],[Employee_ID]],THrList[],10,FALSE),"")</f>
        <v>Human Resources</v>
      </c>
      <c r="F166" t="str">
        <f>TRIM(PROPER(TTrainingSource[[#This Row],[Training_Status2]]))</f>
        <v>Planned</v>
      </c>
      <c r="G166" t="s">
        <v>19</v>
      </c>
      <c r="H166" t="str">
        <f>TRIM(PROPER(TTrainingSource[[#This Row],[Training_Title2]]))</f>
        <v>Introduction To Python For Data</v>
      </c>
      <c r="I166" t="s">
        <v>62</v>
      </c>
      <c r="J166" s="1">
        <v>45093</v>
      </c>
      <c r="K166" t="s">
        <v>1072</v>
      </c>
      <c r="L166" s="7">
        <v>12</v>
      </c>
      <c r="M166">
        <f>ROUND(TTrainingSource[[#This Row],[Satisfaction_Score2]],0)</f>
        <v>3</v>
      </c>
      <c r="N166">
        <v>2.8</v>
      </c>
    </row>
    <row r="167" spans="1:14" x14ac:dyDescent="0.3">
      <c r="A167" t="s">
        <v>424</v>
      </c>
      <c r="B167" t="str">
        <f>TRIM(TTrainingSource[[#This Row],[EMPloyee_ID2]])</f>
        <v>EMP10080</v>
      </c>
      <c r="C167" t="str">
        <f>IFERROR(VLOOKUP(TTrainingSource[[#This Row],[Employee_ID]],THrList[],3,FALSE),"")</f>
        <v>GARCIA</v>
      </c>
      <c r="D167" t="str">
        <f>IFERROR(VLOOKUP(TTrainingSource[[#This Row],[Employee_ID]],THrList[],4,FALSE),"")</f>
        <v>Hugo</v>
      </c>
      <c r="E167" t="str">
        <f>IFERROR(VLOOKUP(TTrainingSource[[#This Row],[Employee_ID]],THrList[],10,FALSE),"")</f>
        <v>Human Resources</v>
      </c>
      <c r="F167" t="str">
        <f>TRIM(PROPER(TTrainingSource[[#This Row],[Training_Status2]]))</f>
        <v>In Progress</v>
      </c>
      <c r="G167" t="s">
        <v>8</v>
      </c>
      <c r="H167" t="str">
        <f>TRIM(PROPER(TTrainingSource[[#This Row],[Training_Title2]]))</f>
        <v>Project Management Essentials</v>
      </c>
      <c r="I167" t="s">
        <v>14</v>
      </c>
      <c r="J167" s="1">
        <v>45025</v>
      </c>
      <c r="K167" t="s">
        <v>44</v>
      </c>
      <c r="L167" s="7">
        <v>12</v>
      </c>
      <c r="M167">
        <f>ROUND(TTrainingSource[[#This Row],[Satisfaction_Score2]],0)</f>
        <v>3</v>
      </c>
      <c r="N167">
        <v>3.4</v>
      </c>
    </row>
    <row r="168" spans="1:14" x14ac:dyDescent="0.3">
      <c r="A168" t="s">
        <v>424</v>
      </c>
      <c r="B168" t="str">
        <f>TRIM(TTrainingSource[[#This Row],[EMPloyee_ID2]])</f>
        <v>EMP10080</v>
      </c>
      <c r="C168" t="str">
        <f>IFERROR(VLOOKUP(TTrainingSource[[#This Row],[Employee_ID]],THrList[],3,FALSE),"")</f>
        <v>GARCIA</v>
      </c>
      <c r="D168" t="str">
        <f>IFERROR(VLOOKUP(TTrainingSource[[#This Row],[Employee_ID]],THrList[],4,FALSE),"")</f>
        <v>Hugo</v>
      </c>
      <c r="E168" t="str">
        <f>IFERROR(VLOOKUP(TTrainingSource[[#This Row],[Employee_ID]],THrList[],10,FALSE),"")</f>
        <v>Human Resources</v>
      </c>
      <c r="F168" t="str">
        <f>TRIM(PROPER(TTrainingSource[[#This Row],[Training_Status2]]))</f>
        <v>Completed</v>
      </c>
      <c r="G168" t="s">
        <v>17</v>
      </c>
      <c r="H168" t="str">
        <f>TRIM(PROPER(TTrainingSource[[#This Row],[Training_Title2]]))</f>
        <v>Sql For Data Analytics</v>
      </c>
      <c r="I168" t="s">
        <v>418</v>
      </c>
      <c r="J168" s="1">
        <v>45402</v>
      </c>
      <c r="K168" t="s">
        <v>1072</v>
      </c>
      <c r="L168" s="7">
        <v>24</v>
      </c>
      <c r="M168">
        <f>ROUND(TTrainingSource[[#This Row],[Satisfaction_Score2]],0)</f>
        <v>4</v>
      </c>
      <c r="N168">
        <v>3.8</v>
      </c>
    </row>
    <row r="169" spans="1:14" x14ac:dyDescent="0.3">
      <c r="A169" t="s">
        <v>439</v>
      </c>
      <c r="B169" t="str">
        <f>TRIM(TTrainingSource[[#This Row],[EMPloyee_ID2]])</f>
        <v>EMP10081</v>
      </c>
      <c r="C169" t="str">
        <f>IFERROR(VLOOKUP(TTrainingSource[[#This Row],[Employee_ID]],THrList[],3,FALSE),"")</f>
        <v>RODRIGUEZ</v>
      </c>
      <c r="D169" t="str">
        <f>IFERROR(VLOOKUP(TTrainingSource[[#This Row],[Employee_ID]],THrList[],4,FALSE),"")</f>
        <v>Camille</v>
      </c>
      <c r="E169" t="str">
        <f>IFERROR(VLOOKUP(TTrainingSource[[#This Row],[Employee_ID]],THrList[],10,FALSE),"")</f>
        <v>IT</v>
      </c>
      <c r="F169" t="str">
        <f>TRIM(PROPER(TTrainingSource[[#This Row],[Training_Status2]]))</f>
        <v>Planned</v>
      </c>
      <c r="G169" t="s">
        <v>19</v>
      </c>
      <c r="H169" t="str">
        <f>TRIM(PROPER(TTrainingSource[[#This Row],[Training_Title2]]))</f>
        <v>Data Analysis Fundamentals</v>
      </c>
      <c r="I169" t="s">
        <v>9</v>
      </c>
      <c r="J169" s="1">
        <v>45457</v>
      </c>
      <c r="K169" t="s">
        <v>42</v>
      </c>
      <c r="L169" s="7">
        <v>8</v>
      </c>
      <c r="M169">
        <f>ROUND(TTrainingSource[[#This Row],[Satisfaction_Score2]],0)</f>
        <v>3</v>
      </c>
      <c r="N169">
        <v>3.1</v>
      </c>
    </row>
    <row r="170" spans="1:14" x14ac:dyDescent="0.3">
      <c r="A170" t="s">
        <v>197</v>
      </c>
      <c r="B170" t="str">
        <f>TRIM(TTrainingSource[[#This Row],[EMPloyee_ID2]])</f>
        <v>EMP10082</v>
      </c>
      <c r="C170" t="str">
        <f>IFERROR(VLOOKUP(TTrainingSource[[#This Row],[Employee_ID]],THrList[],3,FALSE),"")</f>
        <v>JACKSON</v>
      </c>
      <c r="D170" t="str">
        <f>IFERROR(VLOOKUP(TTrainingSource[[#This Row],[Employee_ID]],THrList[],4,FALSE),"")</f>
        <v>Ava</v>
      </c>
      <c r="E170" t="str">
        <f>IFERROR(VLOOKUP(TTrainingSource[[#This Row],[Employee_ID]],THrList[],10,FALSE),"")</f>
        <v>Sales</v>
      </c>
      <c r="F170" t="str">
        <f>TRIM(PROPER(TTrainingSource[[#This Row],[Training_Status2]]))</f>
        <v>Completed</v>
      </c>
      <c r="G170" t="s">
        <v>17</v>
      </c>
      <c r="H170" t="str">
        <f>TRIM(PROPER(TTrainingSource[[#This Row],[Training_Title2]]))</f>
        <v>Financial Modeling Basics</v>
      </c>
      <c r="I170" t="s">
        <v>38</v>
      </c>
      <c r="J170" s="1">
        <v>45772</v>
      </c>
      <c r="K170" t="s">
        <v>42</v>
      </c>
      <c r="L170" s="7">
        <v>12</v>
      </c>
      <c r="M170">
        <f>ROUND(TTrainingSource[[#This Row],[Satisfaction_Score2]],0)</f>
        <v>4</v>
      </c>
      <c r="N170">
        <v>4</v>
      </c>
    </row>
    <row r="171" spans="1:14" x14ac:dyDescent="0.3">
      <c r="A171" t="s">
        <v>197</v>
      </c>
      <c r="B171" t="str">
        <f>TRIM(TTrainingSource[[#This Row],[EMPloyee_ID2]])</f>
        <v>EMP10082</v>
      </c>
      <c r="C171" t="str">
        <f>IFERROR(VLOOKUP(TTrainingSource[[#This Row],[Employee_ID]],THrList[],3,FALSE),"")</f>
        <v>JACKSON</v>
      </c>
      <c r="D171" t="str">
        <f>IFERROR(VLOOKUP(TTrainingSource[[#This Row],[Employee_ID]],THrList[],4,FALSE),"")</f>
        <v>Ava</v>
      </c>
      <c r="E171" t="str">
        <f>IFERROR(VLOOKUP(TTrainingSource[[#This Row],[Employee_ID]],THrList[],10,FALSE),"")</f>
        <v>Sales</v>
      </c>
      <c r="F171" t="str">
        <f>TRIM(PROPER(TTrainingSource[[#This Row],[Training_Status2]]))</f>
        <v>Planned</v>
      </c>
      <c r="G171" t="s">
        <v>19</v>
      </c>
      <c r="H171" t="str">
        <f>TRIM(PROPER(TTrainingSource[[#This Row],[Training_Title2]]))</f>
        <v>Project Management Essentials</v>
      </c>
      <c r="I171" t="s">
        <v>14</v>
      </c>
      <c r="J171" s="1">
        <v>45247</v>
      </c>
      <c r="K171" t="s">
        <v>39</v>
      </c>
      <c r="L171" s="7">
        <v>16</v>
      </c>
      <c r="M171">
        <f>ROUND(TTrainingSource[[#This Row],[Satisfaction_Score2]],0)</f>
        <v>4</v>
      </c>
      <c r="N171">
        <v>3.5</v>
      </c>
    </row>
    <row r="172" spans="1:14" x14ac:dyDescent="0.3">
      <c r="A172" t="s">
        <v>294</v>
      </c>
      <c r="B172" t="str">
        <f>TRIM(TTrainingSource[[#This Row],[EMPloyee_ID2]])</f>
        <v>EMP10083</v>
      </c>
      <c r="C172" t="str">
        <f>IFERROR(VLOOKUP(TTrainingSource[[#This Row],[Employee_ID]],THrList[],3,FALSE),"")</f>
        <v>RODRIGUEZ</v>
      </c>
      <c r="D172" t="str">
        <f>IFERROR(VLOOKUP(TTrainingSource[[#This Row],[Employee_ID]],THrList[],4,FALSE),"")</f>
        <v>Paul</v>
      </c>
      <c r="E172" t="str">
        <f>IFERROR(VLOOKUP(TTrainingSource[[#This Row],[Employee_ID]],THrList[],10,FALSE),"")</f>
        <v>Operations</v>
      </c>
      <c r="F172" t="str">
        <f>TRIM(PROPER(TTrainingSource[[#This Row],[Training_Status2]]))</f>
        <v>Planned</v>
      </c>
      <c r="G172" t="s">
        <v>19</v>
      </c>
      <c r="H172" t="str">
        <f>TRIM(PROPER(TTrainingSource[[#This Row],[Training_Title2]]))</f>
        <v>Introduction To Python For Data</v>
      </c>
      <c r="I172" t="s">
        <v>62</v>
      </c>
      <c r="J172" s="1">
        <v>45846</v>
      </c>
      <c r="K172" t="s">
        <v>15</v>
      </c>
      <c r="L172" s="7">
        <v>20</v>
      </c>
      <c r="M172">
        <f>ROUND(TTrainingSource[[#This Row],[Satisfaction_Score2]],0)</f>
        <v>3</v>
      </c>
      <c r="N172">
        <v>3.3</v>
      </c>
    </row>
    <row r="173" spans="1:14" x14ac:dyDescent="0.3">
      <c r="A173" t="s">
        <v>159</v>
      </c>
      <c r="B173" t="str">
        <f>TRIM(TTrainingSource[[#This Row],[EMPloyee_ID2]])</f>
        <v>EMP10084</v>
      </c>
      <c r="C173" t="str">
        <f>IFERROR(VLOOKUP(TTrainingSource[[#This Row],[Employee_ID]],THrList[],3,FALSE),"")</f>
        <v>DIOP</v>
      </c>
      <c r="D173" t="str">
        <f>IFERROR(VLOOKUP(TTrainingSource[[#This Row],[Employee_ID]],THrList[],4,FALSE),"")</f>
        <v>Yaw</v>
      </c>
      <c r="E173" t="str">
        <f>IFERROR(VLOOKUP(TTrainingSource[[#This Row],[Employee_ID]],THrList[],10,FALSE),"")</f>
        <v>Human Resources</v>
      </c>
      <c r="F173" t="str">
        <f>TRIM(PROPER(TTrainingSource[[#This Row],[Training_Status2]]))</f>
        <v>Completed</v>
      </c>
      <c r="G173" t="s">
        <v>17</v>
      </c>
      <c r="H173" t="str">
        <f>TRIM(PROPER(TTrainingSource[[#This Row],[Training_Title2]]))</f>
        <v>Financial Modeling Basics</v>
      </c>
      <c r="I173" t="s">
        <v>38</v>
      </c>
      <c r="J173" s="1">
        <v>45167</v>
      </c>
      <c r="K173" t="s">
        <v>42</v>
      </c>
      <c r="L173" s="7">
        <v>40</v>
      </c>
      <c r="M173">
        <f>ROUND(TTrainingSource[[#This Row],[Satisfaction_Score2]],0)</f>
        <v>3</v>
      </c>
      <c r="N173">
        <v>2.8</v>
      </c>
    </row>
    <row r="174" spans="1:14" x14ac:dyDescent="0.3">
      <c r="A174" t="s">
        <v>651</v>
      </c>
      <c r="B174" t="str">
        <f>TRIM(TTrainingSource[[#This Row],[EMPloyee_ID2]])</f>
        <v>EMP10084</v>
      </c>
      <c r="C174" t="str">
        <f>IFERROR(VLOOKUP(TTrainingSource[[#This Row],[Employee_ID]],THrList[],3,FALSE),"")</f>
        <v>DIOP</v>
      </c>
      <c r="D174" t="str">
        <f>IFERROR(VLOOKUP(TTrainingSource[[#This Row],[Employee_ID]],THrList[],4,FALSE),"")</f>
        <v>Yaw</v>
      </c>
      <c r="E174" t="str">
        <f>IFERROR(VLOOKUP(TTrainingSource[[#This Row],[Employee_ID]],THrList[],10,FALSE),"")</f>
        <v>Human Resources</v>
      </c>
      <c r="F174" t="str">
        <f>TRIM(PROPER(TTrainingSource[[#This Row],[Training_Status2]]))</f>
        <v>In Progress</v>
      </c>
      <c r="G174" t="s">
        <v>8</v>
      </c>
      <c r="H174" t="str">
        <f>TRIM(PROPER(TTrainingSource[[#This Row],[Training_Title2]]))</f>
        <v>Customer Data Analysis</v>
      </c>
      <c r="I174" t="s">
        <v>31</v>
      </c>
      <c r="J174" s="1">
        <v>45648</v>
      </c>
      <c r="K174" t="s">
        <v>29</v>
      </c>
      <c r="L174" s="7">
        <v>0</v>
      </c>
      <c r="M174">
        <f>ROUND(TTrainingSource[[#This Row],[Satisfaction_Score2]],0)</f>
        <v>4</v>
      </c>
      <c r="N174">
        <v>3.7</v>
      </c>
    </row>
    <row r="175" spans="1:14" x14ac:dyDescent="0.3">
      <c r="A175" t="s">
        <v>593</v>
      </c>
      <c r="B175" t="str">
        <f>TRIM(TTrainingSource[[#This Row],[EMPloyee_ID2]])</f>
        <v>EMP10086</v>
      </c>
      <c r="C175" t="str">
        <f>IFERROR(VLOOKUP(TTrainingSource[[#This Row],[Employee_ID]],THrList[],3,FALSE),"")</f>
        <v>SOW</v>
      </c>
      <c r="D175" t="str">
        <f>IFERROR(VLOOKUP(TTrainingSource[[#This Row],[Employee_ID]],THrList[],4,FALSE),"")</f>
        <v>Nadia</v>
      </c>
      <c r="E175" t="str">
        <f>IFERROR(VLOOKUP(TTrainingSource[[#This Row],[Employee_ID]],THrList[],10,FALSE),"")</f>
        <v>Finance</v>
      </c>
      <c r="F175" t="str">
        <f>TRIM(PROPER(TTrainingSource[[#This Row],[Training_Status2]]))</f>
        <v>In Progress</v>
      </c>
      <c r="G175" t="s">
        <v>8</v>
      </c>
      <c r="H175" t="str">
        <f>TRIM(PROPER(TTrainingSource[[#This Row],[Training_Title2]]))</f>
        <v>Business Intelligence With Tableau</v>
      </c>
      <c r="I175" t="s">
        <v>22</v>
      </c>
      <c r="J175" s="1">
        <v>44865</v>
      </c>
      <c r="K175" t="s">
        <v>42</v>
      </c>
      <c r="L175" s="7">
        <v>16</v>
      </c>
      <c r="M175">
        <f>ROUND(TTrainingSource[[#This Row],[Satisfaction_Score2]],0)</f>
        <v>4</v>
      </c>
      <c r="N175">
        <v>3.7</v>
      </c>
    </row>
    <row r="176" spans="1:14" x14ac:dyDescent="0.3">
      <c r="A176" t="s">
        <v>638</v>
      </c>
      <c r="B176" t="str">
        <f>TRIM(TTrainingSource[[#This Row],[EMPloyee_ID2]])</f>
        <v>EMP10086</v>
      </c>
      <c r="C176" t="str">
        <f>IFERROR(VLOOKUP(TTrainingSource[[#This Row],[Employee_ID]],THrList[],3,FALSE),"")</f>
        <v>SOW</v>
      </c>
      <c r="D176" t="str">
        <f>IFERROR(VLOOKUP(TTrainingSource[[#This Row],[Employee_ID]],THrList[],4,FALSE),"")</f>
        <v>Nadia</v>
      </c>
      <c r="E176" t="str">
        <f>IFERROR(VLOOKUP(TTrainingSource[[#This Row],[Employee_ID]],THrList[],10,FALSE),"")</f>
        <v>Finance</v>
      </c>
      <c r="F176" t="str">
        <f>TRIM(PROPER(TTrainingSource[[#This Row],[Training_Status2]]))</f>
        <v>Planned</v>
      </c>
      <c r="G176" t="s">
        <v>128</v>
      </c>
      <c r="H176" t="str">
        <f>TRIM(PROPER(TTrainingSource[[#This Row],[Training_Title2]]))</f>
        <v>Digital Marketing Strategy</v>
      </c>
      <c r="I176" t="s">
        <v>43</v>
      </c>
      <c r="J176" s="1">
        <v>44808</v>
      </c>
      <c r="K176" t="s">
        <v>44</v>
      </c>
      <c r="L176" s="7">
        <v>4</v>
      </c>
      <c r="M176">
        <f>ROUND(TTrainingSource[[#This Row],[Satisfaction_Score2]],0)</f>
        <v>3</v>
      </c>
      <c r="N176">
        <v>3.2</v>
      </c>
    </row>
    <row r="177" spans="1:14" x14ac:dyDescent="0.3">
      <c r="A177" t="s">
        <v>593</v>
      </c>
      <c r="B177" t="str">
        <f>TRIM(TTrainingSource[[#This Row],[EMPloyee_ID2]])</f>
        <v>EMP10086</v>
      </c>
      <c r="C177" t="str">
        <f>IFERROR(VLOOKUP(TTrainingSource[[#This Row],[Employee_ID]],THrList[],3,FALSE),"")</f>
        <v>SOW</v>
      </c>
      <c r="D177" t="str">
        <f>IFERROR(VLOOKUP(TTrainingSource[[#This Row],[Employee_ID]],THrList[],4,FALSE),"")</f>
        <v>Nadia</v>
      </c>
      <c r="E177" t="str">
        <f>IFERROR(VLOOKUP(TTrainingSource[[#This Row],[Employee_ID]],THrList[],10,FALSE),"")</f>
        <v>Finance</v>
      </c>
      <c r="F177" t="str">
        <f>TRIM(PROPER(TTrainingSource[[#This Row],[Training_Status2]]))</f>
        <v>Planned</v>
      </c>
      <c r="G177" t="s">
        <v>19</v>
      </c>
      <c r="H177" t="str">
        <f>TRIM(PROPER(TTrainingSource[[#This Row],[Training_Title2]]))</f>
        <v>Introduction To Python For Data</v>
      </c>
      <c r="I177" t="s">
        <v>62</v>
      </c>
      <c r="J177" s="1">
        <v>44811</v>
      </c>
      <c r="K177" t="s">
        <v>42</v>
      </c>
      <c r="L177" s="7">
        <v>6</v>
      </c>
      <c r="M177">
        <f>ROUND(TTrainingSource[[#This Row],[Satisfaction_Score2]],0)</f>
        <v>5</v>
      </c>
      <c r="N177">
        <v>4.8</v>
      </c>
    </row>
    <row r="178" spans="1:14" x14ac:dyDescent="0.3">
      <c r="A178" t="s">
        <v>219</v>
      </c>
      <c r="B178" t="str">
        <f>TRIM(TTrainingSource[[#This Row],[EMPloyee_ID2]])</f>
        <v>EMP10087</v>
      </c>
      <c r="C178" t="str">
        <f>IFERROR(VLOOKUP(TTrainingSource[[#This Row],[Employee_ID]],THrList[],3,FALSE),"")</f>
        <v>CAMARA</v>
      </c>
      <c r="D178" t="str">
        <f>IFERROR(VLOOKUP(TTrainingSource[[#This Row],[Employee_ID]],THrList[],4,FALSE),"")</f>
        <v>Amelia</v>
      </c>
      <c r="E178" t="str">
        <f>IFERROR(VLOOKUP(TTrainingSource[[#This Row],[Employee_ID]],THrList[],10,FALSE),"")</f>
        <v>IT</v>
      </c>
      <c r="F178" t="str">
        <f>TRIM(PROPER(TTrainingSource[[#This Row],[Training_Status2]]))</f>
        <v>Completed</v>
      </c>
      <c r="G178" t="s">
        <v>17</v>
      </c>
      <c r="H178" t="str">
        <f>TRIM(PROPER(TTrainingSource[[#This Row],[Training_Title2]]))</f>
        <v>Business Intelligence With Tableau</v>
      </c>
      <c r="I178" t="s">
        <v>220</v>
      </c>
      <c r="J178" s="1">
        <v>44626</v>
      </c>
      <c r="K178" t="s">
        <v>46</v>
      </c>
      <c r="L178" s="7">
        <v>32</v>
      </c>
      <c r="M178">
        <f>ROUND(TTrainingSource[[#This Row],[Satisfaction_Score2]],0)</f>
        <v>3</v>
      </c>
      <c r="N178">
        <v>3.4</v>
      </c>
    </row>
    <row r="179" spans="1:14" x14ac:dyDescent="0.3">
      <c r="A179" t="s">
        <v>474</v>
      </c>
      <c r="B179" t="str">
        <f>TRIM(TTrainingSource[[#This Row],[EMPloyee_ID2]])</f>
        <v>EMP10087</v>
      </c>
      <c r="C179" t="str">
        <f>IFERROR(VLOOKUP(TTrainingSource[[#This Row],[Employee_ID]],THrList[],3,FALSE),"")</f>
        <v>CAMARA</v>
      </c>
      <c r="D179" t="str">
        <f>IFERROR(VLOOKUP(TTrainingSource[[#This Row],[Employee_ID]],THrList[],4,FALSE),"")</f>
        <v>Amelia</v>
      </c>
      <c r="E179" t="str">
        <f>IFERROR(VLOOKUP(TTrainingSource[[#This Row],[Employee_ID]],THrList[],10,FALSE),"")</f>
        <v>IT</v>
      </c>
      <c r="F179" t="str">
        <f>TRIM(PROPER(TTrainingSource[[#This Row],[Training_Status2]]))</f>
        <v>Completed</v>
      </c>
      <c r="G179" t="s">
        <v>17</v>
      </c>
      <c r="H179" t="str">
        <f>TRIM(PROPER(TTrainingSource[[#This Row],[Training_Title2]]))</f>
        <v>Project Management Essentials</v>
      </c>
      <c r="I179" t="s">
        <v>14</v>
      </c>
      <c r="J179" s="1">
        <v>45142</v>
      </c>
      <c r="K179" t="s">
        <v>42</v>
      </c>
      <c r="L179" s="7">
        <v>40</v>
      </c>
      <c r="M179">
        <f>ROUND(TTrainingSource[[#This Row],[Satisfaction_Score2]],0)</f>
        <v>4</v>
      </c>
      <c r="N179">
        <v>4.4000000000000004</v>
      </c>
    </row>
    <row r="180" spans="1:14" x14ac:dyDescent="0.3">
      <c r="A180" t="s">
        <v>474</v>
      </c>
      <c r="B180" t="str">
        <f>TRIM(TTrainingSource[[#This Row],[EMPloyee_ID2]])</f>
        <v>EMP10087</v>
      </c>
      <c r="C180" t="str">
        <f>IFERROR(VLOOKUP(TTrainingSource[[#This Row],[Employee_ID]],THrList[],3,FALSE),"")</f>
        <v>CAMARA</v>
      </c>
      <c r="D180" t="str">
        <f>IFERROR(VLOOKUP(TTrainingSource[[#This Row],[Employee_ID]],THrList[],4,FALSE),"")</f>
        <v>Amelia</v>
      </c>
      <c r="E180" t="str">
        <f>IFERROR(VLOOKUP(TTrainingSource[[#This Row],[Employee_ID]],THrList[],10,FALSE),"")</f>
        <v>IT</v>
      </c>
      <c r="F180" t="str">
        <f>TRIM(PROPER(TTrainingSource[[#This Row],[Training_Status2]]))</f>
        <v>Completed</v>
      </c>
      <c r="G180" t="s">
        <v>17</v>
      </c>
      <c r="H180" t="str">
        <f>TRIM(PROPER(TTrainingSource[[#This Row],[Training_Title2]]))</f>
        <v>Financial Modeling Basics</v>
      </c>
      <c r="I180" t="s">
        <v>38</v>
      </c>
      <c r="J180" s="1">
        <v>45368</v>
      </c>
      <c r="K180" t="s">
        <v>44</v>
      </c>
      <c r="L180" s="7">
        <v>8</v>
      </c>
      <c r="M180">
        <f>ROUND(TTrainingSource[[#This Row],[Satisfaction_Score2]],0)</f>
        <v>3</v>
      </c>
      <c r="N180">
        <v>3.1</v>
      </c>
    </row>
    <row r="181" spans="1:14" x14ac:dyDescent="0.3">
      <c r="A181" t="s">
        <v>448</v>
      </c>
      <c r="B181" t="str">
        <f>TRIM(TTrainingSource[[#This Row],[EMPloyee_ID2]])</f>
        <v>EMP10090</v>
      </c>
      <c r="C181" t="str">
        <f>IFERROR(VLOOKUP(TTrainingSource[[#This Row],[Employee_ID]],THrList[],3,FALSE),"")</f>
        <v>HASSAN</v>
      </c>
      <c r="D181" t="str">
        <f>IFERROR(VLOOKUP(TTrainingSource[[#This Row],[Employee_ID]],THrList[],4,FALSE),"")</f>
        <v>Sophie</v>
      </c>
      <c r="E181" t="str">
        <f>IFERROR(VLOOKUP(TTrainingSource[[#This Row],[Employee_ID]],THrList[],10,FALSE),"")</f>
        <v>IT</v>
      </c>
      <c r="F181" t="str">
        <f>TRIM(PROPER(TTrainingSource[[#This Row],[Training_Status2]]))</f>
        <v>Planned</v>
      </c>
      <c r="G181" t="s">
        <v>19</v>
      </c>
      <c r="H181" t="str">
        <f>TRIM(PROPER(TTrainingSource[[#This Row],[Training_Title2]]))</f>
        <v>Communication For Analysts</v>
      </c>
      <c r="I181" t="s">
        <v>28</v>
      </c>
      <c r="J181" s="1">
        <v>45075</v>
      </c>
      <c r="K181" t="s">
        <v>29</v>
      </c>
      <c r="L181" s="7">
        <v>20</v>
      </c>
      <c r="M181">
        <f>ROUND(TTrainingSource[[#This Row],[Satisfaction_Score2]],0)</f>
        <v>3</v>
      </c>
      <c r="N181">
        <v>3.4</v>
      </c>
    </row>
    <row r="182" spans="1:14" x14ac:dyDescent="0.3">
      <c r="A182" t="s">
        <v>448</v>
      </c>
      <c r="B182" t="str">
        <f>TRIM(TTrainingSource[[#This Row],[EMPloyee_ID2]])</f>
        <v>EMP10090</v>
      </c>
      <c r="C182" t="str">
        <f>IFERROR(VLOOKUP(TTrainingSource[[#This Row],[Employee_ID]],THrList[],3,FALSE),"")</f>
        <v>HASSAN</v>
      </c>
      <c r="D182" t="str">
        <f>IFERROR(VLOOKUP(TTrainingSource[[#This Row],[Employee_ID]],THrList[],4,FALSE),"")</f>
        <v>Sophie</v>
      </c>
      <c r="E182" t="str">
        <f>IFERROR(VLOOKUP(TTrainingSource[[#This Row],[Employee_ID]],THrList[],10,FALSE),"")</f>
        <v>IT</v>
      </c>
      <c r="F182" t="str">
        <f>TRIM(PROPER(TTrainingSource[[#This Row],[Training_Status2]]))</f>
        <v>In Progress</v>
      </c>
      <c r="G182" t="s">
        <v>8</v>
      </c>
      <c r="H182" t="str">
        <f>TRIM(PROPER(TTrainingSource[[#This Row],[Training_Title2]]))</f>
        <v>Communication For Analysts</v>
      </c>
      <c r="I182" t="s">
        <v>28</v>
      </c>
      <c r="J182" s="1">
        <v>45729</v>
      </c>
      <c r="K182" t="s">
        <v>71</v>
      </c>
      <c r="L182" s="7">
        <v>6</v>
      </c>
      <c r="M182">
        <f>ROUND(TTrainingSource[[#This Row],[Satisfaction_Score2]],0)</f>
        <v>5</v>
      </c>
      <c r="N182">
        <v>4.9000000000000004</v>
      </c>
    </row>
    <row r="183" spans="1:14" x14ac:dyDescent="0.3">
      <c r="A183" t="s">
        <v>453</v>
      </c>
      <c r="B183" t="str">
        <f>TRIM(TTrainingSource[[#This Row],[EMPloyee_ID2]])</f>
        <v>EMP10091</v>
      </c>
      <c r="C183" t="str">
        <f>IFERROR(VLOOKUP(TTrainingSource[[#This Row],[Employee_ID]],THrList[],3,FALSE),"")</f>
        <v>GONZALEZ</v>
      </c>
      <c r="D183" t="str">
        <f>IFERROR(VLOOKUP(TTrainingSource[[#This Row],[Employee_ID]],THrList[],4,FALSE),"")</f>
        <v>Emma</v>
      </c>
      <c r="E183" t="str">
        <f>IFERROR(VLOOKUP(TTrainingSource[[#This Row],[Employee_ID]],THrList[],10,FALSE),"")</f>
        <v>Sales</v>
      </c>
      <c r="F183" t="str">
        <f>TRIM(PROPER(TTrainingSource[[#This Row],[Training_Status2]]))</f>
        <v>In Progress</v>
      </c>
      <c r="G183" t="s">
        <v>8</v>
      </c>
      <c r="H183" t="str">
        <f>TRIM(PROPER(TTrainingSource[[#This Row],[Training_Title2]]))</f>
        <v>Business Intelligence With Tableau</v>
      </c>
      <c r="I183" t="s">
        <v>22</v>
      </c>
      <c r="J183" s="1">
        <v>45742</v>
      </c>
      <c r="K183" t="s">
        <v>98</v>
      </c>
      <c r="L183" s="7">
        <v>4</v>
      </c>
      <c r="M183">
        <f>ROUND(TTrainingSource[[#This Row],[Satisfaction_Score2]],0)</f>
        <v>5</v>
      </c>
      <c r="N183">
        <v>4.8</v>
      </c>
    </row>
    <row r="184" spans="1:14" x14ac:dyDescent="0.3">
      <c r="A184" t="s">
        <v>453</v>
      </c>
      <c r="B184" t="str">
        <f>TRIM(TTrainingSource[[#This Row],[EMPloyee_ID2]])</f>
        <v>EMP10091</v>
      </c>
      <c r="C184" t="str">
        <f>IFERROR(VLOOKUP(TTrainingSource[[#This Row],[Employee_ID]],THrList[],3,FALSE),"")</f>
        <v>GONZALEZ</v>
      </c>
      <c r="D184" t="str">
        <f>IFERROR(VLOOKUP(TTrainingSource[[#This Row],[Employee_ID]],THrList[],4,FALSE),"")</f>
        <v>Emma</v>
      </c>
      <c r="E184" t="str">
        <f>IFERROR(VLOOKUP(TTrainingSource[[#This Row],[Employee_ID]],THrList[],10,FALSE),"")</f>
        <v>Sales</v>
      </c>
      <c r="F184" t="str">
        <f>TRIM(PROPER(TTrainingSource[[#This Row],[Training_Status2]]))</f>
        <v>In Progress</v>
      </c>
      <c r="G184" t="s">
        <v>8</v>
      </c>
      <c r="H184" t="str">
        <f>TRIM(PROPER(TTrainingSource[[#This Row],[Training_Title2]]))</f>
        <v>Project Management Essentials</v>
      </c>
      <c r="I184" t="s">
        <v>14</v>
      </c>
      <c r="J184" s="1">
        <v>45366</v>
      </c>
      <c r="K184" t="s">
        <v>98</v>
      </c>
      <c r="L184" s="7">
        <v>40</v>
      </c>
      <c r="M184">
        <f>ROUND(TTrainingSource[[#This Row],[Satisfaction_Score2]],0)</f>
        <v>4</v>
      </c>
      <c r="N184">
        <v>4.2</v>
      </c>
    </row>
    <row r="185" spans="1:14" x14ac:dyDescent="0.3">
      <c r="A185" t="s">
        <v>453</v>
      </c>
      <c r="B185" t="str">
        <f>TRIM(TTrainingSource[[#This Row],[EMPloyee_ID2]])</f>
        <v>EMP10091</v>
      </c>
      <c r="C185" t="str">
        <f>IFERROR(VLOOKUP(TTrainingSource[[#This Row],[Employee_ID]],THrList[],3,FALSE),"")</f>
        <v>GONZALEZ</v>
      </c>
      <c r="D185" t="str">
        <f>IFERROR(VLOOKUP(TTrainingSource[[#This Row],[Employee_ID]],THrList[],4,FALSE),"")</f>
        <v>Emma</v>
      </c>
      <c r="E185" t="str">
        <f>IFERROR(VLOOKUP(TTrainingSource[[#This Row],[Employee_ID]],THrList[],10,FALSE),"")</f>
        <v>Sales</v>
      </c>
      <c r="F185" t="str">
        <f>TRIM(PROPER(TTrainingSource[[#This Row],[Training_Status2]]))</f>
        <v>Completed</v>
      </c>
      <c r="G185" t="s">
        <v>17</v>
      </c>
      <c r="H185" t="str">
        <f>TRIM(PROPER(TTrainingSource[[#This Row],[Training_Title2]]))</f>
        <v>Power Bi Reporting</v>
      </c>
      <c r="I185" t="s">
        <v>24</v>
      </c>
      <c r="J185" s="1">
        <v>45327</v>
      </c>
      <c r="K185" t="s">
        <v>15</v>
      </c>
      <c r="L185" s="7">
        <v>32</v>
      </c>
      <c r="M185">
        <f>ROUND(TTrainingSource[[#This Row],[Satisfaction_Score2]],0)</f>
        <v>3</v>
      </c>
      <c r="N185">
        <v>2.5</v>
      </c>
    </row>
    <row r="186" spans="1:14" x14ac:dyDescent="0.3">
      <c r="A186" t="s">
        <v>453</v>
      </c>
      <c r="B186" t="str">
        <f>TRIM(TTrainingSource[[#This Row],[EMPloyee_ID2]])</f>
        <v>EMP10091</v>
      </c>
      <c r="C186" t="str">
        <f>IFERROR(VLOOKUP(TTrainingSource[[#This Row],[Employee_ID]],THrList[],3,FALSE),"")</f>
        <v>GONZALEZ</v>
      </c>
      <c r="D186" t="str">
        <f>IFERROR(VLOOKUP(TTrainingSource[[#This Row],[Employee_ID]],THrList[],4,FALSE),"")</f>
        <v>Emma</v>
      </c>
      <c r="E186" t="str">
        <f>IFERROR(VLOOKUP(TTrainingSource[[#This Row],[Employee_ID]],THrList[],10,FALSE),"")</f>
        <v>Sales</v>
      </c>
      <c r="F186" t="str">
        <f>TRIM(PROPER(TTrainingSource[[#This Row],[Training_Status2]]))</f>
        <v>Completed</v>
      </c>
      <c r="G186" t="s">
        <v>17</v>
      </c>
      <c r="H186" t="str">
        <f>TRIM(PROPER(TTrainingSource[[#This Row],[Training_Title2]]))</f>
        <v>Project Management Essentials</v>
      </c>
      <c r="I186" t="s">
        <v>14</v>
      </c>
      <c r="J186" s="1">
        <v>45845</v>
      </c>
      <c r="K186" t="s">
        <v>42</v>
      </c>
      <c r="L186" s="7">
        <v>24</v>
      </c>
      <c r="M186">
        <f>ROUND(TTrainingSource[[#This Row],[Satisfaction_Score2]],0)</f>
        <v>4</v>
      </c>
      <c r="N186">
        <v>4.4000000000000004</v>
      </c>
    </row>
    <row r="187" spans="1:14" x14ac:dyDescent="0.3">
      <c r="A187" t="s">
        <v>231</v>
      </c>
      <c r="B187" t="str">
        <f>TRIM(TTrainingSource[[#This Row],[EMPloyee_ID2]])</f>
        <v>EMP10092</v>
      </c>
      <c r="C187" t="str">
        <f>IFERROR(VLOOKUP(TTrainingSource[[#This Row],[Employee_ID]],THrList[],3,FALSE),"")</f>
        <v>MOREAU</v>
      </c>
      <c r="D187" t="str">
        <f>IFERROR(VLOOKUP(TTrainingSource[[#This Row],[Employee_ID]],THrList[],4,FALSE),"")</f>
        <v>Emma</v>
      </c>
      <c r="E187" t="str">
        <f>IFERROR(VLOOKUP(TTrainingSource[[#This Row],[Employee_ID]],THrList[],10,FALSE),"")</f>
        <v>Marketing</v>
      </c>
      <c r="F187" t="str">
        <f>TRIM(PROPER(TTrainingSource[[#This Row],[Training_Status2]]))</f>
        <v>Completed</v>
      </c>
      <c r="G187" t="s">
        <v>17</v>
      </c>
      <c r="H187" t="str">
        <f>TRIM(PROPER(TTrainingSource[[#This Row],[Training_Title2]]))</f>
        <v>Communication For Analysts</v>
      </c>
      <c r="I187" t="s">
        <v>28</v>
      </c>
      <c r="J187" s="1">
        <v>45326</v>
      </c>
      <c r="K187" t="s">
        <v>132</v>
      </c>
      <c r="L187" s="7">
        <v>4</v>
      </c>
      <c r="M187">
        <f>ROUND(TTrainingSource[[#This Row],[Satisfaction_Score2]],0)</f>
        <v>3</v>
      </c>
      <c r="N187">
        <v>3.3</v>
      </c>
    </row>
    <row r="188" spans="1:14" x14ac:dyDescent="0.3">
      <c r="A188" t="s">
        <v>112</v>
      </c>
      <c r="B188" t="str">
        <f>TRIM(TTrainingSource[[#This Row],[EMPloyee_ID2]])</f>
        <v>EMP10093</v>
      </c>
      <c r="C188" t="str">
        <f>IFERROR(VLOOKUP(TTrainingSource[[#This Row],[Employee_ID]],THrList[],3,FALSE),"")</f>
        <v>SOW</v>
      </c>
      <c r="D188" t="str">
        <f>IFERROR(VLOOKUP(TTrainingSource[[#This Row],[Employee_ID]],THrList[],4,FALSE),"")</f>
        <v>Hassan</v>
      </c>
      <c r="E188" t="str">
        <f>IFERROR(VLOOKUP(TTrainingSource[[#This Row],[Employee_ID]],THrList[],10,FALSE),"")</f>
        <v>Marketing</v>
      </c>
      <c r="F188" t="str">
        <f>TRIM(PROPER(TTrainingSource[[#This Row],[Training_Status2]]))</f>
        <v>Completed</v>
      </c>
      <c r="G188" t="s">
        <v>69</v>
      </c>
      <c r="H188" t="str">
        <f>TRIM(PROPER(TTrainingSource[[#This Row],[Training_Title2]]))</f>
        <v>Data Visualization Best Practices</v>
      </c>
      <c r="I188" t="s">
        <v>113</v>
      </c>
      <c r="J188" s="1">
        <v>45488</v>
      </c>
      <c r="K188" t="s">
        <v>29</v>
      </c>
      <c r="L188" s="7">
        <v>4</v>
      </c>
      <c r="M188">
        <f>ROUND(TTrainingSource[[#This Row],[Satisfaction_Score2]],0)</f>
        <v>4</v>
      </c>
      <c r="N188">
        <v>4.0999999999999996</v>
      </c>
    </row>
    <row r="189" spans="1:14" x14ac:dyDescent="0.3">
      <c r="A189" t="s">
        <v>365</v>
      </c>
      <c r="B189" t="str">
        <f>TRIM(TTrainingSource[[#This Row],[EMPloyee_ID2]])</f>
        <v>EMP10093</v>
      </c>
      <c r="C189" t="str">
        <f>IFERROR(VLOOKUP(TTrainingSource[[#This Row],[Employee_ID]],THrList[],3,FALSE),"")</f>
        <v>SOW</v>
      </c>
      <c r="D189" t="str">
        <f>IFERROR(VLOOKUP(TTrainingSource[[#This Row],[Employee_ID]],THrList[],4,FALSE),"")</f>
        <v>Hassan</v>
      </c>
      <c r="E189" t="str">
        <f>IFERROR(VLOOKUP(TTrainingSource[[#This Row],[Employee_ID]],THrList[],10,FALSE),"")</f>
        <v>Marketing</v>
      </c>
      <c r="F189" t="str">
        <f>TRIM(PROPER(TTrainingSource[[#This Row],[Training_Status2]]))</f>
        <v>In Progress</v>
      </c>
      <c r="G189" t="s">
        <v>8</v>
      </c>
      <c r="H189" t="str">
        <f>TRIM(PROPER(TTrainingSource[[#This Row],[Training_Title2]]))</f>
        <v>Introduction To Python For Data</v>
      </c>
      <c r="I189" t="s">
        <v>62</v>
      </c>
      <c r="J189" s="1">
        <v>45804</v>
      </c>
      <c r="K189" t="s">
        <v>46</v>
      </c>
      <c r="L189" s="7">
        <v>32</v>
      </c>
      <c r="M189">
        <f>ROUND(TTrainingSource[[#This Row],[Satisfaction_Score2]],0)</f>
        <v>5</v>
      </c>
      <c r="N189">
        <v>4.9000000000000004</v>
      </c>
    </row>
    <row r="190" spans="1:14" x14ac:dyDescent="0.3">
      <c r="A190" t="s">
        <v>365</v>
      </c>
      <c r="B190" t="str">
        <f>TRIM(TTrainingSource[[#This Row],[EMPloyee_ID2]])</f>
        <v>EMP10093</v>
      </c>
      <c r="C190" t="str">
        <f>IFERROR(VLOOKUP(TTrainingSource[[#This Row],[Employee_ID]],THrList[],3,FALSE),"")</f>
        <v>SOW</v>
      </c>
      <c r="D190" t="str">
        <f>IFERROR(VLOOKUP(TTrainingSource[[#This Row],[Employee_ID]],THrList[],4,FALSE),"")</f>
        <v>Hassan</v>
      </c>
      <c r="E190" t="str">
        <f>IFERROR(VLOOKUP(TTrainingSource[[#This Row],[Employee_ID]],THrList[],10,FALSE),"")</f>
        <v>Marketing</v>
      </c>
      <c r="F190" t="str">
        <f>TRIM(PROPER(TTrainingSource[[#This Row],[Training_Status2]]))</f>
        <v>Completed</v>
      </c>
      <c r="G190" t="s">
        <v>17</v>
      </c>
      <c r="H190" t="str">
        <f>TRIM(PROPER(TTrainingSource[[#This Row],[Training_Title2]]))</f>
        <v>Data Analysis Fundamentals</v>
      </c>
      <c r="I190" t="s">
        <v>9</v>
      </c>
      <c r="J190" s="1">
        <v>45436</v>
      </c>
      <c r="K190" t="s">
        <v>42</v>
      </c>
      <c r="L190" s="7">
        <v>0</v>
      </c>
      <c r="M190">
        <f>ROUND(TTrainingSource[[#This Row],[Satisfaction_Score2]],0)</f>
        <v>4</v>
      </c>
      <c r="N190">
        <v>4.3</v>
      </c>
    </row>
    <row r="191" spans="1:14" x14ac:dyDescent="0.3">
      <c r="A191" t="s">
        <v>365</v>
      </c>
      <c r="B191" t="str">
        <f>TRIM(TTrainingSource[[#This Row],[EMPloyee_ID2]])</f>
        <v>EMP10093</v>
      </c>
      <c r="C191" t="str">
        <f>IFERROR(VLOOKUP(TTrainingSource[[#This Row],[Employee_ID]],THrList[],3,FALSE),"")</f>
        <v>SOW</v>
      </c>
      <c r="D191" t="str">
        <f>IFERROR(VLOOKUP(TTrainingSource[[#This Row],[Employee_ID]],THrList[],4,FALSE),"")</f>
        <v>Hassan</v>
      </c>
      <c r="E191" t="str">
        <f>IFERROR(VLOOKUP(TTrainingSource[[#This Row],[Employee_ID]],THrList[],10,FALSE),"")</f>
        <v>Marketing</v>
      </c>
      <c r="F191" t="str">
        <f>TRIM(PROPER(TTrainingSource[[#This Row],[Training_Status2]]))</f>
        <v>In Progress</v>
      </c>
      <c r="G191" t="s">
        <v>8</v>
      </c>
      <c r="H191" t="str">
        <f>TRIM(PROPER(TTrainingSource[[#This Row],[Training_Title2]]))</f>
        <v>Introduction To Python For Data</v>
      </c>
      <c r="I191" t="s">
        <v>62</v>
      </c>
      <c r="J191" s="1">
        <v>45424</v>
      </c>
      <c r="K191" t="s">
        <v>12</v>
      </c>
      <c r="L191" s="7">
        <v>32</v>
      </c>
      <c r="M191">
        <f>ROUND(TTrainingSource[[#This Row],[Satisfaction_Score2]],0)</f>
        <v>5</v>
      </c>
      <c r="N191">
        <v>4.5999999999999996</v>
      </c>
    </row>
    <row r="192" spans="1:14" x14ac:dyDescent="0.3">
      <c r="A192" t="s">
        <v>112</v>
      </c>
      <c r="B192" t="str">
        <f>TRIM(TTrainingSource[[#This Row],[EMPloyee_ID2]])</f>
        <v>EMP10093</v>
      </c>
      <c r="C192" t="str">
        <f>IFERROR(VLOOKUP(TTrainingSource[[#This Row],[Employee_ID]],THrList[],3,FALSE),"")</f>
        <v>SOW</v>
      </c>
      <c r="D192" t="str">
        <f>IFERROR(VLOOKUP(TTrainingSource[[#This Row],[Employee_ID]],THrList[],4,FALSE),"")</f>
        <v>Hassan</v>
      </c>
      <c r="E192" t="str">
        <f>IFERROR(VLOOKUP(TTrainingSource[[#This Row],[Employee_ID]],THrList[],10,FALSE),"")</f>
        <v>Marketing</v>
      </c>
      <c r="F192" t="str">
        <f>TRIM(PROPER(TTrainingSource[[#This Row],[Training_Status2]]))</f>
        <v>Planned</v>
      </c>
      <c r="G192" t="s">
        <v>19</v>
      </c>
      <c r="H192" t="str">
        <f>TRIM(PROPER(TTrainingSource[[#This Row],[Training_Title2]]))</f>
        <v>Project Management Essentials</v>
      </c>
      <c r="I192" t="s">
        <v>14</v>
      </c>
      <c r="J192" s="1">
        <v>45160</v>
      </c>
      <c r="K192" t="s">
        <v>98</v>
      </c>
      <c r="L192" s="7">
        <v>20</v>
      </c>
      <c r="M192">
        <f>ROUND(TTrainingSource[[#This Row],[Satisfaction_Score2]],0)</f>
        <v>4</v>
      </c>
      <c r="N192">
        <v>4.0999999999999996</v>
      </c>
    </row>
    <row r="193" spans="1:14" x14ac:dyDescent="0.3">
      <c r="A193" t="s">
        <v>778</v>
      </c>
      <c r="B193" t="str">
        <f>TRIM(TTrainingSource[[#This Row],[EMPloyee_ID2]])</f>
        <v>EMP10094</v>
      </c>
      <c r="C193" t="str">
        <f>IFERROR(VLOOKUP(TTrainingSource[[#This Row],[Employee_ID]],THrList[],3,FALSE),"")</f>
        <v>DAVIS</v>
      </c>
      <c r="D193" t="str">
        <f>IFERROR(VLOOKUP(TTrainingSource[[#This Row],[Employee_ID]],THrList[],4,FALSE),"")</f>
        <v>Kofi</v>
      </c>
      <c r="E193" t="str">
        <f>IFERROR(VLOOKUP(TTrainingSource[[#This Row],[Employee_ID]],THrList[],10,FALSE),"")</f>
        <v>Compliance</v>
      </c>
      <c r="F193" t="str">
        <f>TRIM(PROPER(TTrainingSource[[#This Row],[Training_Status2]]))</f>
        <v>In Progress</v>
      </c>
      <c r="G193" t="s">
        <v>8</v>
      </c>
      <c r="H193" t="str">
        <f>TRIM(PROPER(TTrainingSource[[#This Row],[Training_Title2]]))</f>
        <v>Data Visualization Best Practices</v>
      </c>
      <c r="I193" t="s">
        <v>20</v>
      </c>
      <c r="J193" s="1">
        <v>44647</v>
      </c>
      <c r="K193" t="s">
        <v>46</v>
      </c>
      <c r="L193" s="7">
        <v>12</v>
      </c>
      <c r="M193">
        <f>ROUND(TTrainingSource[[#This Row],[Satisfaction_Score2]],0)</f>
        <v>3</v>
      </c>
      <c r="N193">
        <v>3.1</v>
      </c>
    </row>
    <row r="194" spans="1:14" x14ac:dyDescent="0.3">
      <c r="A194" t="s">
        <v>390</v>
      </c>
      <c r="B194" t="str">
        <f>TRIM(TTrainingSource[[#This Row],[EMPloyee_ID2]])</f>
        <v>EMP10095</v>
      </c>
      <c r="C194" t="str">
        <f>IFERROR(VLOOKUP(TTrainingSource[[#This Row],[Employee_ID]],THrList[],3,FALSE),"")</f>
        <v>CHEN</v>
      </c>
      <c r="D194" t="str">
        <f>IFERROR(VLOOKUP(TTrainingSource[[#This Row],[Employee_ID]],THrList[],4,FALSE),"")</f>
        <v>Olivia</v>
      </c>
      <c r="E194" t="str">
        <f>IFERROR(VLOOKUP(TTrainingSource[[#This Row],[Employee_ID]],THrList[],10,FALSE),"")</f>
        <v>N/A</v>
      </c>
      <c r="F194" t="str">
        <f>TRIM(PROPER(TTrainingSource[[#This Row],[Training_Status2]]))</f>
        <v>In Progress</v>
      </c>
      <c r="G194" t="s">
        <v>8</v>
      </c>
      <c r="H194" t="str">
        <f>TRIM(PROPER(TTrainingSource[[#This Row],[Training_Title2]]))</f>
        <v>Financial Modeling Basics</v>
      </c>
      <c r="I194" t="s">
        <v>331</v>
      </c>
      <c r="J194" s="1">
        <v>44851</v>
      </c>
      <c r="K194" t="s">
        <v>32</v>
      </c>
      <c r="L194" s="7">
        <v>12</v>
      </c>
      <c r="M194">
        <f>ROUND(TTrainingSource[[#This Row],[Satisfaction_Score2]],0)</f>
        <v>3</v>
      </c>
      <c r="N194">
        <v>2.7</v>
      </c>
    </row>
    <row r="195" spans="1:14" x14ac:dyDescent="0.3">
      <c r="A195" t="s">
        <v>390</v>
      </c>
      <c r="B195" t="str">
        <f>TRIM(TTrainingSource[[#This Row],[EMPloyee_ID2]])</f>
        <v>EMP10095</v>
      </c>
      <c r="C195" t="str">
        <f>IFERROR(VLOOKUP(TTrainingSource[[#This Row],[Employee_ID]],THrList[],3,FALSE),"")</f>
        <v>CHEN</v>
      </c>
      <c r="D195" t="str">
        <f>IFERROR(VLOOKUP(TTrainingSource[[#This Row],[Employee_ID]],THrList[],4,FALSE),"")</f>
        <v>Olivia</v>
      </c>
      <c r="E195" t="str">
        <f>IFERROR(VLOOKUP(TTrainingSource[[#This Row],[Employee_ID]],THrList[],10,FALSE),"")</f>
        <v>N/A</v>
      </c>
      <c r="F195" t="str">
        <f>TRIM(PROPER(TTrainingSource[[#This Row],[Training_Status2]]))</f>
        <v>Completed</v>
      </c>
      <c r="G195" t="s">
        <v>17</v>
      </c>
      <c r="H195" t="str">
        <f>TRIM(PROPER(TTrainingSource[[#This Row],[Training_Title2]]))</f>
        <v>Digital Marketing Strategy</v>
      </c>
      <c r="I195" t="s">
        <v>43</v>
      </c>
      <c r="J195" s="1">
        <v>45817</v>
      </c>
      <c r="K195" t="s">
        <v>39</v>
      </c>
      <c r="L195" s="7">
        <v>6</v>
      </c>
      <c r="M195">
        <f>ROUND(TTrainingSource[[#This Row],[Satisfaction_Score2]],0)</f>
        <v>5</v>
      </c>
      <c r="N195">
        <v>4.8</v>
      </c>
    </row>
    <row r="196" spans="1:14" x14ac:dyDescent="0.3">
      <c r="A196" t="s">
        <v>390</v>
      </c>
      <c r="B196" t="str">
        <f>TRIM(TTrainingSource[[#This Row],[EMPloyee_ID2]])</f>
        <v>EMP10095</v>
      </c>
      <c r="C196" t="str">
        <f>IFERROR(VLOOKUP(TTrainingSource[[#This Row],[Employee_ID]],THrList[],3,FALSE),"")</f>
        <v>CHEN</v>
      </c>
      <c r="D196" t="str">
        <f>IFERROR(VLOOKUP(TTrainingSource[[#This Row],[Employee_ID]],THrList[],4,FALSE),"")</f>
        <v>Olivia</v>
      </c>
      <c r="E196" t="str">
        <f>IFERROR(VLOOKUP(TTrainingSource[[#This Row],[Employee_ID]],THrList[],10,FALSE),"")</f>
        <v>N/A</v>
      </c>
      <c r="F196" t="str">
        <f>TRIM(PROPER(TTrainingSource[[#This Row],[Training_Status2]]))</f>
        <v>Planned</v>
      </c>
      <c r="G196" t="s">
        <v>19</v>
      </c>
      <c r="H196" t="str">
        <f>TRIM(PROPER(TTrainingSource[[#This Row],[Training_Title2]]))</f>
        <v>Sql For Data Analytics</v>
      </c>
      <c r="I196" t="s">
        <v>26</v>
      </c>
      <c r="J196" s="1">
        <v>45805</v>
      </c>
      <c r="K196" t="s">
        <v>1072</v>
      </c>
      <c r="L196" s="7">
        <v>16</v>
      </c>
      <c r="M196">
        <f>ROUND(TTrainingSource[[#This Row],[Satisfaction_Score2]],0)</f>
        <v>5</v>
      </c>
      <c r="N196">
        <v>4.5</v>
      </c>
    </row>
    <row r="197" spans="1:14" x14ac:dyDescent="0.3">
      <c r="A197" t="s">
        <v>84</v>
      </c>
      <c r="B197" t="str">
        <f>TRIM(TTrainingSource[[#This Row],[EMPloyee_ID2]])</f>
        <v>EMP10096</v>
      </c>
      <c r="C197" t="str">
        <f>IFERROR(VLOOKUP(TTrainingSource[[#This Row],[Employee_ID]],THrList[],3,FALSE),"")</f>
        <v>KHAN</v>
      </c>
      <c r="D197" t="str">
        <f>IFERROR(VLOOKUP(TTrainingSource[[#This Row],[Employee_ID]],THrList[],4,FALSE),"")</f>
        <v>Camille</v>
      </c>
      <c r="E197" t="str">
        <f>IFERROR(VLOOKUP(TTrainingSource[[#This Row],[Employee_ID]],THrList[],10,FALSE),"")</f>
        <v>Finance</v>
      </c>
      <c r="F197" t="str">
        <f>TRIM(PROPER(TTrainingSource[[#This Row],[Training_Status2]]))</f>
        <v>In Progress</v>
      </c>
      <c r="G197" t="s">
        <v>8</v>
      </c>
      <c r="H197" t="str">
        <f>TRIM(PROPER(TTrainingSource[[#This Row],[Training_Title2]]))</f>
        <v>Advanced Excel For Business</v>
      </c>
      <c r="I197" t="s">
        <v>52</v>
      </c>
      <c r="J197" s="1">
        <v>45305</v>
      </c>
      <c r="K197" t="s">
        <v>42</v>
      </c>
      <c r="L197" s="7">
        <v>0</v>
      </c>
      <c r="M197">
        <f>ROUND(TTrainingSource[[#This Row],[Satisfaction_Score2]],0)</f>
        <v>3</v>
      </c>
      <c r="N197">
        <v>2.9</v>
      </c>
    </row>
    <row r="198" spans="1:14" x14ac:dyDescent="0.3">
      <c r="A198" t="s">
        <v>84</v>
      </c>
      <c r="B198" t="str">
        <f>TRIM(TTrainingSource[[#This Row],[EMPloyee_ID2]])</f>
        <v>EMP10096</v>
      </c>
      <c r="C198" t="str">
        <f>IFERROR(VLOOKUP(TTrainingSource[[#This Row],[Employee_ID]],THrList[],3,FALSE),"")</f>
        <v>KHAN</v>
      </c>
      <c r="D198" t="str">
        <f>IFERROR(VLOOKUP(TTrainingSource[[#This Row],[Employee_ID]],THrList[],4,FALSE),"")</f>
        <v>Camille</v>
      </c>
      <c r="E198" t="str">
        <f>IFERROR(VLOOKUP(TTrainingSource[[#This Row],[Employee_ID]],THrList[],10,FALSE),"")</f>
        <v>Finance</v>
      </c>
      <c r="F198" t="str">
        <f>TRIM(PROPER(TTrainingSource[[#This Row],[Training_Status2]]))</f>
        <v>In Progress</v>
      </c>
      <c r="G198" t="s">
        <v>8</v>
      </c>
      <c r="H198" t="str">
        <f>TRIM(PROPER(TTrainingSource[[#This Row],[Training_Title2]]))</f>
        <v>Advanced Excel For Business</v>
      </c>
      <c r="I198" t="s">
        <v>52</v>
      </c>
      <c r="J198" s="1">
        <v>45361</v>
      </c>
      <c r="K198" t="s">
        <v>15</v>
      </c>
      <c r="L198" s="7">
        <v>16</v>
      </c>
      <c r="M198">
        <f>ROUND(TTrainingSource[[#This Row],[Satisfaction_Score2]],0)</f>
        <v>4</v>
      </c>
      <c r="N198">
        <v>3.6</v>
      </c>
    </row>
    <row r="199" spans="1:14" x14ac:dyDescent="0.3">
      <c r="A199" t="s">
        <v>84</v>
      </c>
      <c r="B199" t="str">
        <f>TRIM(TTrainingSource[[#This Row],[EMPloyee_ID2]])</f>
        <v>EMP10096</v>
      </c>
      <c r="C199" t="str">
        <f>IFERROR(VLOOKUP(TTrainingSource[[#This Row],[Employee_ID]],THrList[],3,FALSE),"")</f>
        <v>KHAN</v>
      </c>
      <c r="D199" t="str">
        <f>IFERROR(VLOOKUP(TTrainingSource[[#This Row],[Employee_ID]],THrList[],4,FALSE),"")</f>
        <v>Camille</v>
      </c>
      <c r="E199" t="str">
        <f>IFERROR(VLOOKUP(TTrainingSource[[#This Row],[Employee_ID]],THrList[],10,FALSE),"")</f>
        <v>Finance</v>
      </c>
      <c r="F199" t="str">
        <f>TRIM(PROPER(TTrainingSource[[#This Row],[Training_Status2]]))</f>
        <v>Completed</v>
      </c>
      <c r="G199" t="s">
        <v>17</v>
      </c>
      <c r="H199" t="str">
        <f>TRIM(PROPER(TTrainingSource[[#This Row],[Training_Title2]]))</f>
        <v>Data Analysis Fundamentals</v>
      </c>
      <c r="I199" t="s">
        <v>9</v>
      </c>
      <c r="J199" s="1">
        <v>45050</v>
      </c>
      <c r="K199" t="s">
        <v>42</v>
      </c>
      <c r="L199" s="7">
        <v>0</v>
      </c>
      <c r="M199">
        <f>ROUND(TTrainingSource[[#This Row],[Satisfaction_Score2]],0)</f>
        <v>3</v>
      </c>
      <c r="N199">
        <v>3</v>
      </c>
    </row>
    <row r="200" spans="1:14" x14ac:dyDescent="0.3">
      <c r="A200" t="s">
        <v>33</v>
      </c>
      <c r="B200" t="str">
        <f>TRIM(TTrainingSource[[#This Row],[EMPloyee_ID2]])</f>
        <v>EMP10097</v>
      </c>
      <c r="C200" t="str">
        <f>IFERROR(VLOOKUP(TTrainingSource[[#This Row],[Employee_ID]],THrList[],3,FALSE),"")</f>
        <v>KHAN</v>
      </c>
      <c r="D200" t="str">
        <f>IFERROR(VLOOKUP(TTrainingSource[[#This Row],[Employee_ID]],THrList[],4,FALSE),"")</f>
        <v>Olivia</v>
      </c>
      <c r="E200" t="str">
        <f>IFERROR(VLOOKUP(TTrainingSource[[#This Row],[Employee_ID]],THrList[],10,FALSE),"")</f>
        <v>Sales</v>
      </c>
      <c r="F200" t="str">
        <f>TRIM(PROPER(TTrainingSource[[#This Row],[Training_Status2]]))</f>
        <v>Completed</v>
      </c>
      <c r="G200" t="s">
        <v>17</v>
      </c>
      <c r="H200" t="str">
        <f>TRIM(PROPER(TTrainingSource[[#This Row],[Training_Title2]]))</f>
        <v>Data Visualization Best Practices</v>
      </c>
      <c r="I200" t="s">
        <v>20</v>
      </c>
      <c r="J200" s="1">
        <v>44803</v>
      </c>
      <c r="K200" t="s">
        <v>98</v>
      </c>
      <c r="L200" s="7">
        <v>40</v>
      </c>
      <c r="M200">
        <f>ROUND(TTrainingSource[[#This Row],[Satisfaction_Score2]],0)</f>
        <v>4</v>
      </c>
      <c r="N200">
        <v>4.0999999999999996</v>
      </c>
    </row>
    <row r="201" spans="1:14" x14ac:dyDescent="0.3">
      <c r="A201" t="s">
        <v>33</v>
      </c>
      <c r="B201" t="str">
        <f>TRIM(TTrainingSource[[#This Row],[EMPloyee_ID2]])</f>
        <v>EMP10097</v>
      </c>
      <c r="C201" t="str">
        <f>IFERROR(VLOOKUP(TTrainingSource[[#This Row],[Employee_ID]],THrList[],3,FALSE),"")</f>
        <v>KHAN</v>
      </c>
      <c r="D201" t="str">
        <f>IFERROR(VLOOKUP(TTrainingSource[[#This Row],[Employee_ID]],THrList[],4,FALSE),"")</f>
        <v>Olivia</v>
      </c>
      <c r="E201" t="str">
        <f>IFERROR(VLOOKUP(TTrainingSource[[#This Row],[Employee_ID]],THrList[],10,FALSE),"")</f>
        <v>Sales</v>
      </c>
      <c r="F201" t="str">
        <f>TRIM(PROPER(TTrainingSource[[#This Row],[Training_Status2]]))</f>
        <v>Completed</v>
      </c>
      <c r="G201" t="s">
        <v>17</v>
      </c>
      <c r="H201" t="str">
        <f>TRIM(PROPER(TTrainingSource[[#This Row],[Training_Title2]]))</f>
        <v>Power Bi Reporting</v>
      </c>
      <c r="I201" t="s">
        <v>173</v>
      </c>
      <c r="J201" s="1">
        <v>44774</v>
      </c>
      <c r="K201" t="s">
        <v>42</v>
      </c>
      <c r="L201" s="7">
        <v>40</v>
      </c>
      <c r="M201">
        <f>ROUND(TTrainingSource[[#This Row],[Satisfaction_Score2]],0)</f>
        <v>4</v>
      </c>
      <c r="N201">
        <v>3.5</v>
      </c>
    </row>
    <row r="202" spans="1:14" x14ac:dyDescent="0.3">
      <c r="A202" t="s">
        <v>33</v>
      </c>
      <c r="B202" t="str">
        <f>TRIM(TTrainingSource[[#This Row],[EMPloyee_ID2]])</f>
        <v>EMP10097</v>
      </c>
      <c r="C202" t="str">
        <f>IFERROR(VLOOKUP(TTrainingSource[[#This Row],[Employee_ID]],THrList[],3,FALSE),"")</f>
        <v>KHAN</v>
      </c>
      <c r="D202" t="str">
        <f>IFERROR(VLOOKUP(TTrainingSource[[#This Row],[Employee_ID]],THrList[],4,FALSE),"")</f>
        <v>Olivia</v>
      </c>
      <c r="E202" t="str">
        <f>IFERROR(VLOOKUP(TTrainingSource[[#This Row],[Employee_ID]],THrList[],10,FALSE),"")</f>
        <v>Sales</v>
      </c>
      <c r="F202" t="str">
        <f>TRIM(PROPER(TTrainingSource[[#This Row],[Training_Status2]]))</f>
        <v>In Progress</v>
      </c>
      <c r="G202" t="s">
        <v>67</v>
      </c>
      <c r="H202" t="str">
        <f>TRIM(PROPER(TTrainingSource[[#This Row],[Training_Title2]]))</f>
        <v>Digital Marketing Strategy</v>
      </c>
      <c r="I202" t="s">
        <v>43</v>
      </c>
      <c r="J202" s="1">
        <v>44990</v>
      </c>
      <c r="K202" t="s">
        <v>42</v>
      </c>
      <c r="L202" s="7">
        <v>32</v>
      </c>
      <c r="M202">
        <f>ROUND(TTrainingSource[[#This Row],[Satisfaction_Score2]],0)</f>
        <v>5</v>
      </c>
      <c r="N202">
        <v>4.7</v>
      </c>
    </row>
    <row r="203" spans="1:14" x14ac:dyDescent="0.3">
      <c r="A203" t="s">
        <v>480</v>
      </c>
      <c r="B203" t="str">
        <f>TRIM(TTrainingSource[[#This Row],[EMPloyee_ID2]])</f>
        <v>EMP10098</v>
      </c>
      <c r="C203" t="str">
        <f>IFERROR(VLOOKUP(TTrainingSource[[#This Row],[Employee_ID]],THrList[],3,FALSE),"")</f>
        <v>KHAN</v>
      </c>
      <c r="D203" t="str">
        <f>IFERROR(VLOOKUP(TTrainingSource[[#This Row],[Employee_ID]],THrList[],4,FALSE),"")</f>
        <v>Hassan</v>
      </c>
      <c r="E203" t="str">
        <f>IFERROR(VLOOKUP(TTrainingSource[[#This Row],[Employee_ID]],THrList[],10,FALSE),"")</f>
        <v>Operations</v>
      </c>
      <c r="F203" t="str">
        <f>TRIM(PROPER(TTrainingSource[[#This Row],[Training_Status2]]))</f>
        <v>In Progress</v>
      </c>
      <c r="G203" t="s">
        <v>8</v>
      </c>
      <c r="H203" t="str">
        <f>TRIM(PROPER(TTrainingSource[[#This Row],[Training_Title2]]))</f>
        <v>Introduction To Python For Data</v>
      </c>
      <c r="I203" t="s">
        <v>62</v>
      </c>
      <c r="J203" s="1">
        <v>44713</v>
      </c>
      <c r="K203" t="s">
        <v>98</v>
      </c>
      <c r="L203" s="7">
        <v>4</v>
      </c>
      <c r="M203">
        <f>ROUND(TTrainingSource[[#This Row],[Satisfaction_Score2]],0)</f>
        <v>4</v>
      </c>
      <c r="N203">
        <v>3.7</v>
      </c>
    </row>
    <row r="204" spans="1:14" x14ac:dyDescent="0.3">
      <c r="A204" t="s">
        <v>480</v>
      </c>
      <c r="B204" t="str">
        <f>TRIM(TTrainingSource[[#This Row],[EMPloyee_ID2]])</f>
        <v>EMP10098</v>
      </c>
      <c r="C204" t="str">
        <f>IFERROR(VLOOKUP(TTrainingSource[[#This Row],[Employee_ID]],THrList[],3,FALSE),"")</f>
        <v>KHAN</v>
      </c>
      <c r="D204" t="str">
        <f>IFERROR(VLOOKUP(TTrainingSource[[#This Row],[Employee_ID]],THrList[],4,FALSE),"")</f>
        <v>Hassan</v>
      </c>
      <c r="E204" t="str">
        <f>IFERROR(VLOOKUP(TTrainingSource[[#This Row],[Employee_ID]],THrList[],10,FALSE),"")</f>
        <v>Operations</v>
      </c>
      <c r="F204" t="str">
        <f>TRIM(PROPER(TTrainingSource[[#This Row],[Training_Status2]]))</f>
        <v>Completed</v>
      </c>
      <c r="G204" t="s">
        <v>17</v>
      </c>
      <c r="H204" t="str">
        <f>TRIM(PROPER(TTrainingSource[[#This Row],[Training_Title2]]))</f>
        <v>Data Analysis Fundamentals</v>
      </c>
      <c r="I204" t="s">
        <v>9</v>
      </c>
      <c r="J204" s="1">
        <v>45498</v>
      </c>
      <c r="K204" t="s">
        <v>29</v>
      </c>
      <c r="L204" s="7">
        <v>12</v>
      </c>
      <c r="M204">
        <f>ROUND(TTrainingSource[[#This Row],[Satisfaction_Score2]],0)</f>
        <v>5</v>
      </c>
      <c r="N204">
        <v>4.7</v>
      </c>
    </row>
    <row r="205" spans="1:14" x14ac:dyDescent="0.3">
      <c r="A205" t="s">
        <v>780</v>
      </c>
      <c r="B205" t="str">
        <f>TRIM(TTrainingSource[[#This Row],[EMPloyee_ID2]])</f>
        <v>EMP10099</v>
      </c>
      <c r="C205" t="str">
        <f>IFERROR(VLOOKUP(TTrainingSource[[#This Row],[Employee_ID]],THrList[],3,FALSE),"")</f>
        <v>BROWN</v>
      </c>
      <c r="D205" t="str">
        <f>IFERROR(VLOOKUP(TTrainingSource[[#This Row],[Employee_ID]],THrList[],4,FALSE),"")</f>
        <v>Antoine</v>
      </c>
      <c r="E205" t="str">
        <f>IFERROR(VLOOKUP(TTrainingSource[[#This Row],[Employee_ID]],THrList[],10,FALSE),"")</f>
        <v>Procurement</v>
      </c>
      <c r="F205" t="str">
        <f>TRIM(PROPER(TTrainingSource[[#This Row],[Training_Status2]]))</f>
        <v>Planned</v>
      </c>
      <c r="G205" t="s">
        <v>19</v>
      </c>
      <c r="H205" t="str">
        <f>TRIM(PROPER(TTrainingSource[[#This Row],[Training_Title2]]))</f>
        <v>Advanced Excel For Business</v>
      </c>
      <c r="I205" t="s">
        <v>52</v>
      </c>
      <c r="J205" s="1">
        <v>44747</v>
      </c>
      <c r="K205" t="s">
        <v>71</v>
      </c>
      <c r="L205" s="7">
        <v>12</v>
      </c>
      <c r="M205">
        <f>ROUND(TTrainingSource[[#This Row],[Satisfaction_Score2]],0)</f>
        <v>3</v>
      </c>
      <c r="N205">
        <v>3.4</v>
      </c>
    </row>
    <row r="206" spans="1:14" x14ac:dyDescent="0.3">
      <c r="A206" t="s">
        <v>165</v>
      </c>
      <c r="B206" t="str">
        <f>TRIM(TTrainingSource[[#This Row],[EMPloyee_ID2]])</f>
        <v>EMP10101</v>
      </c>
      <c r="C206" t="str">
        <f>IFERROR(VLOOKUP(TTrainingSource[[#This Row],[Employee_ID]],THrList[],3,FALSE),"")</f>
        <v>MERCIER</v>
      </c>
      <c r="D206" t="str">
        <f>IFERROR(VLOOKUP(TTrainingSource[[#This Row],[Employee_ID]],THrList[],4,FALSE),"")</f>
        <v>Mariama</v>
      </c>
      <c r="E206" t="str">
        <f>IFERROR(VLOOKUP(TTrainingSource[[#This Row],[Employee_ID]],THrList[],10,FALSE),"")</f>
        <v>Compliance</v>
      </c>
      <c r="F206" t="str">
        <f>TRIM(PROPER(TTrainingSource[[#This Row],[Training_Status2]]))</f>
        <v>Completed</v>
      </c>
      <c r="G206" t="s">
        <v>17</v>
      </c>
      <c r="H206" t="str">
        <f>TRIM(PROPER(TTrainingSource[[#This Row],[Training_Title2]]))</f>
        <v>Data Visualization Best Practices</v>
      </c>
      <c r="I206" t="s">
        <v>20</v>
      </c>
      <c r="J206" s="1">
        <v>45003</v>
      </c>
      <c r="K206" t="s">
        <v>15</v>
      </c>
      <c r="L206" s="7">
        <v>12</v>
      </c>
      <c r="M206">
        <f>ROUND(TTrainingSource[[#This Row],[Satisfaction_Score2]],0)</f>
        <v>5</v>
      </c>
      <c r="N206">
        <v>4.8</v>
      </c>
    </row>
    <row r="207" spans="1:14" x14ac:dyDescent="0.3">
      <c r="A207" t="s">
        <v>165</v>
      </c>
      <c r="B207" t="str">
        <f>TRIM(TTrainingSource[[#This Row],[EMPloyee_ID2]])</f>
        <v>EMP10101</v>
      </c>
      <c r="C207" t="str">
        <f>IFERROR(VLOOKUP(TTrainingSource[[#This Row],[Employee_ID]],THrList[],3,FALSE),"")</f>
        <v>MERCIER</v>
      </c>
      <c r="D207" t="str">
        <f>IFERROR(VLOOKUP(TTrainingSource[[#This Row],[Employee_ID]],THrList[],4,FALSE),"")</f>
        <v>Mariama</v>
      </c>
      <c r="E207" t="str">
        <f>IFERROR(VLOOKUP(TTrainingSource[[#This Row],[Employee_ID]],THrList[],10,FALSE),"")</f>
        <v>Compliance</v>
      </c>
      <c r="F207" t="str">
        <f>TRIM(PROPER(TTrainingSource[[#This Row],[Training_Status2]]))</f>
        <v>Completed</v>
      </c>
      <c r="G207" t="s">
        <v>17</v>
      </c>
      <c r="H207" t="str">
        <f>TRIM(PROPER(TTrainingSource[[#This Row],[Training_Title2]]))</f>
        <v>Project Management Essentials</v>
      </c>
      <c r="I207" t="s">
        <v>14</v>
      </c>
      <c r="J207" s="1">
        <v>45863</v>
      </c>
      <c r="K207" t="s">
        <v>44</v>
      </c>
      <c r="L207" s="7">
        <v>4</v>
      </c>
      <c r="M207">
        <f>ROUND(TTrainingSource[[#This Row],[Satisfaction_Score2]],0)</f>
        <v>4</v>
      </c>
      <c r="N207">
        <v>4.2</v>
      </c>
    </row>
    <row r="208" spans="1:14" x14ac:dyDescent="0.3">
      <c r="A208" t="s">
        <v>165</v>
      </c>
      <c r="B208" t="str">
        <f>TRIM(TTrainingSource[[#This Row],[EMPloyee_ID2]])</f>
        <v>EMP10101</v>
      </c>
      <c r="C208" t="str">
        <f>IFERROR(VLOOKUP(TTrainingSource[[#This Row],[Employee_ID]],THrList[],3,FALSE),"")</f>
        <v>MERCIER</v>
      </c>
      <c r="D208" t="str">
        <f>IFERROR(VLOOKUP(TTrainingSource[[#This Row],[Employee_ID]],THrList[],4,FALSE),"")</f>
        <v>Mariama</v>
      </c>
      <c r="E208" t="str">
        <f>IFERROR(VLOOKUP(TTrainingSource[[#This Row],[Employee_ID]],THrList[],10,FALSE),"")</f>
        <v>Compliance</v>
      </c>
      <c r="F208" t="str">
        <f>TRIM(PROPER(TTrainingSource[[#This Row],[Training_Status2]]))</f>
        <v>In Progress</v>
      </c>
      <c r="G208" t="s">
        <v>8</v>
      </c>
      <c r="H208" t="str">
        <f>TRIM(PROPER(TTrainingSource[[#This Row],[Training_Title2]]))</f>
        <v>Project Management Essentials</v>
      </c>
      <c r="I208" t="s">
        <v>14</v>
      </c>
      <c r="J208" s="1">
        <v>44592</v>
      </c>
      <c r="K208" t="s">
        <v>98</v>
      </c>
      <c r="L208" s="7">
        <v>0</v>
      </c>
      <c r="M208">
        <f>ROUND(TTrainingSource[[#This Row],[Satisfaction_Score2]],0)</f>
        <v>3</v>
      </c>
      <c r="N208">
        <v>2.8</v>
      </c>
    </row>
    <row r="209" spans="1:14" x14ac:dyDescent="0.3">
      <c r="A209" t="s">
        <v>289</v>
      </c>
      <c r="B209" t="str">
        <f>TRIM(TTrainingSource[[#This Row],[EMPloyee_ID2]])</f>
        <v>EMP10102</v>
      </c>
      <c r="C209" t="str">
        <f>IFERROR(VLOOKUP(TTrainingSource[[#This Row],[Employee_ID]],THrList[],3,FALSE),"")</f>
        <v>BROWN</v>
      </c>
      <c r="D209" t="str">
        <f>IFERROR(VLOOKUP(TTrainingSource[[#This Row],[Employee_ID]],THrList[],4,FALSE),"")</f>
        <v>Khalid</v>
      </c>
      <c r="E209" t="str">
        <f>IFERROR(VLOOKUP(TTrainingSource[[#This Row],[Employee_ID]],THrList[],10,FALSE),"")</f>
        <v>Sales</v>
      </c>
      <c r="F209" t="str">
        <f>TRIM(PROPER(TTrainingSource[[#This Row],[Training_Status2]]))</f>
        <v>Planned</v>
      </c>
      <c r="G209" t="s">
        <v>19</v>
      </c>
      <c r="H209" t="str">
        <f>TRIM(PROPER(TTrainingSource[[#This Row],[Training_Title2]]))</f>
        <v>Financial Modeling Basics</v>
      </c>
      <c r="I209" t="s">
        <v>41</v>
      </c>
      <c r="J209" s="1">
        <v>45897</v>
      </c>
      <c r="K209" t="s">
        <v>98</v>
      </c>
      <c r="L209" s="7">
        <v>6</v>
      </c>
      <c r="M209">
        <f>ROUND(TTrainingSource[[#This Row],[Satisfaction_Score2]],0)</f>
        <v>3</v>
      </c>
      <c r="N209">
        <v>2.6</v>
      </c>
    </row>
    <row r="210" spans="1:14" x14ac:dyDescent="0.3">
      <c r="A210" t="s">
        <v>289</v>
      </c>
      <c r="B210" t="str">
        <f>TRIM(TTrainingSource[[#This Row],[EMPloyee_ID2]])</f>
        <v>EMP10102</v>
      </c>
      <c r="C210" t="str">
        <f>IFERROR(VLOOKUP(TTrainingSource[[#This Row],[Employee_ID]],THrList[],3,FALSE),"")</f>
        <v>BROWN</v>
      </c>
      <c r="D210" t="str">
        <f>IFERROR(VLOOKUP(TTrainingSource[[#This Row],[Employee_ID]],THrList[],4,FALSE),"")</f>
        <v>Khalid</v>
      </c>
      <c r="E210" t="str">
        <f>IFERROR(VLOOKUP(TTrainingSource[[#This Row],[Employee_ID]],THrList[],10,FALSE),"")</f>
        <v>Sales</v>
      </c>
      <c r="F210" t="str">
        <f>TRIM(PROPER(TTrainingSource[[#This Row],[Training_Status2]]))</f>
        <v>In Progress</v>
      </c>
      <c r="G210" t="s">
        <v>8</v>
      </c>
      <c r="H210" t="str">
        <f>TRIM(PROPER(TTrainingSource[[#This Row],[Training_Title2]]))</f>
        <v>Introduction To Python For Data</v>
      </c>
      <c r="I210" t="s">
        <v>62</v>
      </c>
      <c r="J210" s="1">
        <v>45291</v>
      </c>
      <c r="K210" t="s">
        <v>42</v>
      </c>
      <c r="L210" s="7">
        <v>8</v>
      </c>
      <c r="M210">
        <f>ROUND(TTrainingSource[[#This Row],[Satisfaction_Score2]],0)</f>
        <v>3</v>
      </c>
      <c r="N210">
        <v>2.7</v>
      </c>
    </row>
    <row r="211" spans="1:14" x14ac:dyDescent="0.3">
      <c r="A211" t="s">
        <v>289</v>
      </c>
      <c r="B211" t="str">
        <f>TRIM(TTrainingSource[[#This Row],[EMPloyee_ID2]])</f>
        <v>EMP10102</v>
      </c>
      <c r="C211" t="str">
        <f>IFERROR(VLOOKUP(TTrainingSource[[#This Row],[Employee_ID]],THrList[],3,FALSE),"")</f>
        <v>BROWN</v>
      </c>
      <c r="D211" t="str">
        <f>IFERROR(VLOOKUP(TTrainingSource[[#This Row],[Employee_ID]],THrList[],4,FALSE),"")</f>
        <v>Khalid</v>
      </c>
      <c r="E211" t="str">
        <f>IFERROR(VLOOKUP(TTrainingSource[[#This Row],[Employee_ID]],THrList[],10,FALSE),"")</f>
        <v>Sales</v>
      </c>
      <c r="F211" t="str">
        <f>TRIM(PROPER(TTrainingSource[[#This Row],[Training_Status2]]))</f>
        <v>Planned</v>
      </c>
      <c r="G211" t="s">
        <v>19</v>
      </c>
      <c r="H211" t="str">
        <f>TRIM(PROPER(TTrainingSource[[#This Row],[Training_Title2]]))</f>
        <v>Business Intelligence With Tableau</v>
      </c>
      <c r="I211" t="s">
        <v>22</v>
      </c>
      <c r="J211" s="1">
        <v>45317</v>
      </c>
      <c r="K211" t="s">
        <v>29</v>
      </c>
      <c r="L211" s="7">
        <v>16</v>
      </c>
      <c r="M211">
        <f>ROUND(TTrainingSource[[#This Row],[Satisfaction_Score2]],0)</f>
        <v>5</v>
      </c>
      <c r="N211">
        <v>4.5999999999999996</v>
      </c>
    </row>
    <row r="212" spans="1:14" x14ac:dyDescent="0.3">
      <c r="A212" t="s">
        <v>263</v>
      </c>
      <c r="B212" t="str">
        <f>TRIM(TTrainingSource[[#This Row],[EMPloyee_ID2]])</f>
        <v>EMP10103</v>
      </c>
      <c r="C212" t="str">
        <f>IFERROR(VLOOKUP(TTrainingSource[[#This Row],[Employee_ID]],THrList[],3,FALSE),"")</f>
        <v>WILLIAMS</v>
      </c>
      <c r="D212" t="str">
        <f>IFERROR(VLOOKUP(TTrainingSource[[#This Row],[Employee_ID]],THrList[],4,FALSE),"")</f>
        <v>Julien</v>
      </c>
      <c r="E212" t="str">
        <f>IFERROR(VLOOKUP(TTrainingSource[[#This Row],[Employee_ID]],THrList[],10,FALSE),"")</f>
        <v>Finance</v>
      </c>
      <c r="F212" t="str">
        <f>TRIM(PROPER(TTrainingSource[[#This Row],[Training_Status2]]))</f>
        <v>Completed</v>
      </c>
      <c r="G212" t="s">
        <v>17</v>
      </c>
      <c r="H212" t="str">
        <f>TRIM(PROPER(TTrainingSource[[#This Row],[Training_Title2]]))</f>
        <v>Sql For Data Analytics</v>
      </c>
      <c r="I212" t="s">
        <v>26</v>
      </c>
      <c r="J212" s="1">
        <v>45067</v>
      </c>
      <c r="K212" t="s">
        <v>32</v>
      </c>
      <c r="L212" s="7">
        <v>6</v>
      </c>
      <c r="M212">
        <f>ROUND(TTrainingSource[[#This Row],[Satisfaction_Score2]],0)</f>
        <v>3</v>
      </c>
      <c r="N212">
        <v>3.1</v>
      </c>
    </row>
    <row r="213" spans="1:14" x14ac:dyDescent="0.3">
      <c r="A213" t="s">
        <v>263</v>
      </c>
      <c r="B213" t="str">
        <f>TRIM(TTrainingSource[[#This Row],[EMPloyee_ID2]])</f>
        <v>EMP10103</v>
      </c>
      <c r="C213" t="str">
        <f>IFERROR(VLOOKUP(TTrainingSource[[#This Row],[Employee_ID]],THrList[],3,FALSE),"")</f>
        <v>WILLIAMS</v>
      </c>
      <c r="D213" t="str">
        <f>IFERROR(VLOOKUP(TTrainingSource[[#This Row],[Employee_ID]],THrList[],4,FALSE),"")</f>
        <v>Julien</v>
      </c>
      <c r="E213" t="str">
        <f>IFERROR(VLOOKUP(TTrainingSource[[#This Row],[Employee_ID]],THrList[],10,FALSE),"")</f>
        <v>Finance</v>
      </c>
      <c r="F213" t="str">
        <f>TRIM(PROPER(TTrainingSource[[#This Row],[Training_Status2]]))</f>
        <v>Completed</v>
      </c>
      <c r="G213" t="s">
        <v>17</v>
      </c>
      <c r="H213" t="str">
        <f>TRIM(PROPER(TTrainingSource[[#This Row],[Training_Title2]]))</f>
        <v>Financial Modeling Basics</v>
      </c>
      <c r="I213" t="s">
        <v>38</v>
      </c>
      <c r="J213" s="1">
        <v>44852</v>
      </c>
      <c r="K213" t="s">
        <v>15</v>
      </c>
      <c r="L213" s="7">
        <v>32</v>
      </c>
      <c r="M213">
        <f>ROUND(TTrainingSource[[#This Row],[Satisfaction_Score2]],0)</f>
        <v>3</v>
      </c>
      <c r="N213">
        <v>2.6</v>
      </c>
    </row>
    <row r="214" spans="1:14" x14ac:dyDescent="0.3">
      <c r="A214" t="s">
        <v>263</v>
      </c>
      <c r="B214" t="str">
        <f>TRIM(TTrainingSource[[#This Row],[EMPloyee_ID2]])</f>
        <v>EMP10103</v>
      </c>
      <c r="C214" t="str">
        <f>IFERROR(VLOOKUP(TTrainingSource[[#This Row],[Employee_ID]],THrList[],3,FALSE),"")</f>
        <v>WILLIAMS</v>
      </c>
      <c r="D214" t="str">
        <f>IFERROR(VLOOKUP(TTrainingSource[[#This Row],[Employee_ID]],THrList[],4,FALSE),"")</f>
        <v>Julien</v>
      </c>
      <c r="E214" t="str">
        <f>IFERROR(VLOOKUP(TTrainingSource[[#This Row],[Employee_ID]],THrList[],10,FALSE),"")</f>
        <v>Finance</v>
      </c>
      <c r="F214" t="str">
        <f>TRIM(PROPER(TTrainingSource[[#This Row],[Training_Status2]]))</f>
        <v>In Progress</v>
      </c>
      <c r="G214" t="s">
        <v>8</v>
      </c>
      <c r="H214" t="str">
        <f>TRIM(PROPER(TTrainingSource[[#This Row],[Training_Title2]]))</f>
        <v>Introduction To Python For Data</v>
      </c>
      <c r="I214" t="s">
        <v>467</v>
      </c>
      <c r="J214" s="1">
        <v>45206</v>
      </c>
      <c r="K214" t="s">
        <v>39</v>
      </c>
      <c r="L214" s="7">
        <v>20</v>
      </c>
      <c r="M214">
        <f>ROUND(TTrainingSource[[#This Row],[Satisfaction_Score2]],0)</f>
        <v>4</v>
      </c>
      <c r="N214">
        <v>4.3</v>
      </c>
    </row>
    <row r="215" spans="1:14" x14ac:dyDescent="0.3">
      <c r="A215" t="s">
        <v>263</v>
      </c>
      <c r="B215" t="str">
        <f>TRIM(TTrainingSource[[#This Row],[EMPloyee_ID2]])</f>
        <v>EMP10103</v>
      </c>
      <c r="C215" t="str">
        <f>IFERROR(VLOOKUP(TTrainingSource[[#This Row],[Employee_ID]],THrList[],3,FALSE),"")</f>
        <v>WILLIAMS</v>
      </c>
      <c r="D215" t="str">
        <f>IFERROR(VLOOKUP(TTrainingSource[[#This Row],[Employee_ID]],THrList[],4,FALSE),"")</f>
        <v>Julien</v>
      </c>
      <c r="E215" t="str">
        <f>IFERROR(VLOOKUP(TTrainingSource[[#This Row],[Employee_ID]],THrList[],10,FALSE),"")</f>
        <v>Finance</v>
      </c>
      <c r="F215" t="str">
        <f>TRIM(PROPER(TTrainingSource[[#This Row],[Training_Status2]]))</f>
        <v>Planned</v>
      </c>
      <c r="G215" t="s">
        <v>19</v>
      </c>
      <c r="H215" t="str">
        <f>TRIM(PROPER(TTrainingSource[[#This Row],[Training_Title2]]))</f>
        <v>Digital Marketing Strategy</v>
      </c>
      <c r="I215" t="s">
        <v>43</v>
      </c>
      <c r="J215" s="1">
        <v>44617</v>
      </c>
      <c r="K215" t="s">
        <v>29</v>
      </c>
      <c r="L215" s="7">
        <v>12</v>
      </c>
      <c r="M215">
        <f>ROUND(TTrainingSource[[#This Row],[Satisfaction_Score2]],0)</f>
        <v>4</v>
      </c>
      <c r="N215">
        <v>3.6</v>
      </c>
    </row>
    <row r="216" spans="1:14" x14ac:dyDescent="0.3">
      <c r="A216" t="s">
        <v>400</v>
      </c>
      <c r="B216" t="str">
        <f>TRIM(TTrainingSource[[#This Row],[EMPloyee_ID2]])</f>
        <v>EMP10104</v>
      </c>
      <c r="C216" t="str">
        <f>IFERROR(VLOOKUP(TTrainingSource[[#This Row],[Employee_ID]],THrList[],3,FALSE),"")</f>
        <v>FOURNIER</v>
      </c>
      <c r="D216" t="str">
        <f>IFERROR(VLOOKUP(TTrainingSource[[#This Row],[Employee_ID]],THrList[],4,FALSE),"")</f>
        <v>Nina</v>
      </c>
      <c r="E216" t="str">
        <f>IFERROR(VLOOKUP(TTrainingSource[[#This Row],[Employee_ID]],THrList[],10,FALSE),"")</f>
        <v>IT</v>
      </c>
      <c r="F216" t="str">
        <f>TRIM(PROPER(TTrainingSource[[#This Row],[Training_Status2]]))</f>
        <v>Completed</v>
      </c>
      <c r="G216" t="s">
        <v>17</v>
      </c>
      <c r="H216" t="str">
        <f>TRIM(PROPER(TTrainingSource[[#This Row],[Training_Title2]]))</f>
        <v>Communication For Analysts</v>
      </c>
      <c r="I216" t="s">
        <v>401</v>
      </c>
      <c r="J216" s="1">
        <v>45105</v>
      </c>
      <c r="K216" t="s">
        <v>12</v>
      </c>
      <c r="L216" s="7">
        <v>12</v>
      </c>
      <c r="M216">
        <f>ROUND(TTrainingSource[[#This Row],[Satisfaction_Score2]],0)</f>
        <v>5</v>
      </c>
      <c r="N216">
        <v>4.5999999999999996</v>
      </c>
    </row>
    <row r="217" spans="1:14" x14ac:dyDescent="0.3">
      <c r="A217" t="s">
        <v>400</v>
      </c>
      <c r="B217" t="str">
        <f>TRIM(TTrainingSource[[#This Row],[EMPloyee_ID2]])</f>
        <v>EMP10104</v>
      </c>
      <c r="C217" t="str">
        <f>IFERROR(VLOOKUP(TTrainingSource[[#This Row],[Employee_ID]],THrList[],3,FALSE),"")</f>
        <v>FOURNIER</v>
      </c>
      <c r="D217" t="str">
        <f>IFERROR(VLOOKUP(TTrainingSource[[#This Row],[Employee_ID]],THrList[],4,FALSE),"")</f>
        <v>Nina</v>
      </c>
      <c r="E217" t="str">
        <f>IFERROR(VLOOKUP(TTrainingSource[[#This Row],[Employee_ID]],THrList[],10,FALSE),"")</f>
        <v>IT</v>
      </c>
      <c r="F217" t="str">
        <f>TRIM(PROPER(TTrainingSource[[#This Row],[Training_Status2]]))</f>
        <v>Completed</v>
      </c>
      <c r="G217" t="s">
        <v>17</v>
      </c>
      <c r="H217" t="str">
        <f>TRIM(PROPER(TTrainingSource[[#This Row],[Training_Title2]]))</f>
        <v>Data Visualization Best Practices</v>
      </c>
      <c r="I217" t="s">
        <v>20</v>
      </c>
      <c r="J217" s="1">
        <v>44815</v>
      </c>
      <c r="K217" t="s">
        <v>98</v>
      </c>
      <c r="L217" s="7">
        <v>6</v>
      </c>
      <c r="M217">
        <f>ROUND(TTrainingSource[[#This Row],[Satisfaction_Score2]],0)</f>
        <v>5</v>
      </c>
      <c r="N217">
        <v>4.7</v>
      </c>
    </row>
    <row r="218" spans="1:14" x14ac:dyDescent="0.3">
      <c r="A218" t="s">
        <v>664</v>
      </c>
      <c r="B218" t="str">
        <f>TRIM(TTrainingSource[[#This Row],[EMPloyee_ID2]])</f>
        <v>EMP10105</v>
      </c>
      <c r="C218" t="str">
        <f>IFERROR(VLOOKUP(TTrainingSource[[#This Row],[Employee_ID]],THrList[],3,FALSE),"")</f>
        <v>WILLIAMS</v>
      </c>
      <c r="D218" t="str">
        <f>IFERROR(VLOOKUP(TTrainingSource[[#This Row],[Employee_ID]],THrList[],4,FALSE),"")</f>
        <v>Henry</v>
      </c>
      <c r="E218" t="str">
        <f>IFERROR(VLOOKUP(TTrainingSource[[#This Row],[Employee_ID]],THrList[],10,FALSE),"")</f>
        <v>Human Resources</v>
      </c>
      <c r="F218" t="str">
        <f>TRIM(PROPER(TTrainingSource[[#This Row],[Training_Status2]]))</f>
        <v>Completed</v>
      </c>
      <c r="G218" t="s">
        <v>17</v>
      </c>
      <c r="H218" t="str">
        <f>TRIM(PROPER(TTrainingSource[[#This Row],[Training_Title2]]))</f>
        <v>Data Analysis Fundamentals</v>
      </c>
      <c r="I218" t="s">
        <v>9</v>
      </c>
      <c r="J218" s="1">
        <v>44616</v>
      </c>
      <c r="K218" t="s">
        <v>98</v>
      </c>
      <c r="L218" s="7">
        <v>32</v>
      </c>
      <c r="M218">
        <f>ROUND(TTrainingSource[[#This Row],[Satisfaction_Score2]],0)</f>
        <v>3</v>
      </c>
      <c r="N218">
        <v>3.4</v>
      </c>
    </row>
    <row r="219" spans="1:14" x14ac:dyDescent="0.3">
      <c r="A219" t="s">
        <v>718</v>
      </c>
      <c r="B219" t="str">
        <f>TRIM(TTrainingSource[[#This Row],[EMPloyee_ID2]])</f>
        <v>EMP10106</v>
      </c>
      <c r="C219" t="str">
        <f>IFERROR(VLOOKUP(TTrainingSource[[#This Row],[Employee_ID]],THrList[],3,FALSE),"")</f>
        <v>SOW</v>
      </c>
      <c r="D219" t="str">
        <f>IFERROR(VLOOKUP(TTrainingSource[[#This Row],[Employee_ID]],THrList[],4,FALSE),"")</f>
        <v>Henry</v>
      </c>
      <c r="E219" t="str">
        <f>IFERROR(VLOOKUP(TTrainingSource[[#This Row],[Employee_ID]],THrList[],10,FALSE),"")</f>
        <v>Sales</v>
      </c>
      <c r="F219" t="str">
        <f>TRIM(PROPER(TTrainingSource[[#This Row],[Training_Status2]]))</f>
        <v>Planned</v>
      </c>
      <c r="G219" t="s">
        <v>19</v>
      </c>
      <c r="H219" t="str">
        <f>TRIM(PROPER(TTrainingSource[[#This Row],[Training_Title2]]))</f>
        <v>Data Analysis Fundamentals</v>
      </c>
      <c r="I219" t="s">
        <v>55</v>
      </c>
      <c r="J219" s="1">
        <v>45060</v>
      </c>
      <c r="K219" t="s">
        <v>44</v>
      </c>
      <c r="L219" s="7">
        <v>6</v>
      </c>
      <c r="M219">
        <f>ROUND(TTrainingSource[[#This Row],[Satisfaction_Score2]],0)</f>
        <v>3</v>
      </c>
      <c r="N219">
        <v>2.8</v>
      </c>
    </row>
    <row r="220" spans="1:14" x14ac:dyDescent="0.3">
      <c r="A220" t="s">
        <v>122</v>
      </c>
      <c r="B220" t="str">
        <f>TRIM(TTrainingSource[[#This Row],[EMPloyee_ID2]])</f>
        <v>EMP10107</v>
      </c>
      <c r="C220" t="str">
        <f>IFERROR(VLOOKUP(TTrainingSource[[#This Row],[Employee_ID]],THrList[],3,FALSE),"")</f>
        <v>LAURENT</v>
      </c>
      <c r="D220" t="str">
        <f>IFERROR(VLOOKUP(TTrainingSource[[#This Row],[Employee_ID]],THrList[],4,FALSE),"")</f>
        <v>Jean</v>
      </c>
      <c r="E220" t="str">
        <f>IFERROR(VLOOKUP(TTrainingSource[[#This Row],[Employee_ID]],THrList[],10,FALSE),"")</f>
        <v>Human Resources</v>
      </c>
      <c r="F220" t="str">
        <f>TRIM(PROPER(TTrainingSource[[#This Row],[Training_Status2]]))</f>
        <v>In Progress</v>
      </c>
      <c r="G220" t="s">
        <v>67</v>
      </c>
      <c r="H220" t="str">
        <f>TRIM(PROPER(TTrainingSource[[#This Row],[Training_Title2]]))</f>
        <v>Advanced Excel For Business</v>
      </c>
      <c r="I220" t="s">
        <v>52</v>
      </c>
      <c r="J220" s="1">
        <v>44629</v>
      </c>
      <c r="K220" t="s">
        <v>98</v>
      </c>
      <c r="L220" s="7">
        <v>24</v>
      </c>
      <c r="M220">
        <f>ROUND(TTrainingSource[[#This Row],[Satisfaction_Score2]],0)</f>
        <v>5</v>
      </c>
      <c r="N220">
        <v>5</v>
      </c>
    </row>
    <row r="221" spans="1:14" x14ac:dyDescent="0.3">
      <c r="A221" t="s">
        <v>122</v>
      </c>
      <c r="B221" t="str">
        <f>TRIM(TTrainingSource[[#This Row],[EMPloyee_ID2]])</f>
        <v>EMP10107</v>
      </c>
      <c r="C221" t="str">
        <f>IFERROR(VLOOKUP(TTrainingSource[[#This Row],[Employee_ID]],THrList[],3,FALSE),"")</f>
        <v>LAURENT</v>
      </c>
      <c r="D221" t="str">
        <f>IFERROR(VLOOKUP(TTrainingSource[[#This Row],[Employee_ID]],THrList[],4,FALSE),"")</f>
        <v>Jean</v>
      </c>
      <c r="E221" t="str">
        <f>IFERROR(VLOOKUP(TTrainingSource[[#This Row],[Employee_ID]],THrList[],10,FALSE),"")</f>
        <v>Human Resources</v>
      </c>
      <c r="F221" t="str">
        <f>TRIM(PROPER(TTrainingSource[[#This Row],[Training_Status2]]))</f>
        <v>In Progress</v>
      </c>
      <c r="G221" t="s">
        <v>8</v>
      </c>
      <c r="H221" t="str">
        <f>TRIM(PROPER(TTrainingSource[[#This Row],[Training_Title2]]))</f>
        <v>Digital Marketing Strategy</v>
      </c>
      <c r="I221" t="s">
        <v>299</v>
      </c>
      <c r="J221" s="1">
        <v>44926</v>
      </c>
      <c r="K221" t="s">
        <v>46</v>
      </c>
      <c r="L221" s="7">
        <v>24</v>
      </c>
      <c r="M221">
        <f>ROUND(TTrainingSource[[#This Row],[Satisfaction_Score2]],0)</f>
        <v>4</v>
      </c>
      <c r="N221">
        <v>3.6</v>
      </c>
    </row>
    <row r="222" spans="1:14" x14ac:dyDescent="0.3">
      <c r="A222" t="s">
        <v>122</v>
      </c>
      <c r="B222" t="str">
        <f>TRIM(TTrainingSource[[#This Row],[EMPloyee_ID2]])</f>
        <v>EMP10107</v>
      </c>
      <c r="C222" t="str">
        <f>IFERROR(VLOOKUP(TTrainingSource[[#This Row],[Employee_ID]],THrList[],3,FALSE),"")</f>
        <v>LAURENT</v>
      </c>
      <c r="D222" t="str">
        <f>IFERROR(VLOOKUP(TTrainingSource[[#This Row],[Employee_ID]],THrList[],4,FALSE),"")</f>
        <v>Jean</v>
      </c>
      <c r="E222" t="str">
        <f>IFERROR(VLOOKUP(TTrainingSource[[#This Row],[Employee_ID]],THrList[],10,FALSE),"")</f>
        <v>Human Resources</v>
      </c>
      <c r="F222" t="str">
        <f>TRIM(PROPER(TTrainingSource[[#This Row],[Training_Status2]]))</f>
        <v>Completed</v>
      </c>
      <c r="G222" t="s">
        <v>17</v>
      </c>
      <c r="H222" t="str">
        <f>TRIM(PROPER(TTrainingSource[[#This Row],[Training_Title2]]))</f>
        <v>Project Management Essentials</v>
      </c>
      <c r="I222" t="s">
        <v>14</v>
      </c>
      <c r="J222" s="1">
        <v>44990</v>
      </c>
      <c r="K222" t="s">
        <v>15</v>
      </c>
      <c r="L222" s="7">
        <v>4</v>
      </c>
      <c r="M222">
        <f>ROUND(TTrainingSource[[#This Row],[Satisfaction_Score2]],0)</f>
        <v>5</v>
      </c>
      <c r="N222">
        <v>4.7</v>
      </c>
    </row>
    <row r="223" spans="1:14" x14ac:dyDescent="0.3">
      <c r="A223" t="s">
        <v>122</v>
      </c>
      <c r="B223" t="str">
        <f>TRIM(TTrainingSource[[#This Row],[EMPloyee_ID2]])</f>
        <v>EMP10107</v>
      </c>
      <c r="C223" t="str">
        <f>IFERROR(VLOOKUP(TTrainingSource[[#This Row],[Employee_ID]],THrList[],3,FALSE),"")</f>
        <v>LAURENT</v>
      </c>
      <c r="D223" t="str">
        <f>IFERROR(VLOOKUP(TTrainingSource[[#This Row],[Employee_ID]],THrList[],4,FALSE),"")</f>
        <v>Jean</v>
      </c>
      <c r="E223" t="str">
        <f>IFERROR(VLOOKUP(TTrainingSource[[#This Row],[Employee_ID]],THrList[],10,FALSE),"")</f>
        <v>Human Resources</v>
      </c>
      <c r="F223" t="str">
        <f>TRIM(PROPER(TTrainingSource[[#This Row],[Training_Status2]]))</f>
        <v>Completed</v>
      </c>
      <c r="G223" t="s">
        <v>35</v>
      </c>
      <c r="H223" t="str">
        <f>TRIM(PROPER(TTrainingSource[[#This Row],[Training_Title2]]))</f>
        <v>Business Intelligence With Tableau</v>
      </c>
      <c r="I223" t="s">
        <v>22</v>
      </c>
      <c r="J223" s="1">
        <v>45819</v>
      </c>
      <c r="K223" t="s">
        <v>98</v>
      </c>
      <c r="L223" s="7">
        <v>24</v>
      </c>
      <c r="M223">
        <f>ROUND(TTrainingSource[[#This Row],[Satisfaction_Score2]],0)</f>
        <v>3</v>
      </c>
      <c r="N223">
        <v>2.7</v>
      </c>
    </row>
    <row r="224" spans="1:14" x14ac:dyDescent="0.3">
      <c r="A224" t="s">
        <v>314</v>
      </c>
      <c r="B224" t="str">
        <f>TRIM(TTrainingSource[[#This Row],[EMPloyee_ID2]])</f>
        <v>EMP10108</v>
      </c>
      <c r="C224" t="str">
        <f>IFERROR(VLOOKUP(TTrainingSource[[#This Row],[Employee_ID]],THrList[],3,FALSE),"")</f>
        <v>TAYLOR</v>
      </c>
      <c r="D224" t="str">
        <f>IFERROR(VLOOKUP(TTrainingSource[[#This Row],[Employee_ID]],THrList[],4,FALSE),"")</f>
        <v>Julien</v>
      </c>
      <c r="E224" t="str">
        <f>IFERROR(VLOOKUP(TTrainingSource[[#This Row],[Employee_ID]],THrList[],10,FALSE),"")</f>
        <v>Compliance</v>
      </c>
      <c r="F224" t="str">
        <f>TRIM(PROPER(TTrainingSource[[#This Row],[Training_Status2]]))</f>
        <v>Completed</v>
      </c>
      <c r="G224" t="s">
        <v>17</v>
      </c>
      <c r="H224" t="str">
        <f>TRIM(PROPER(TTrainingSource[[#This Row],[Training_Title2]]))</f>
        <v>Digital Marketing Strategy</v>
      </c>
      <c r="I224" t="s">
        <v>43</v>
      </c>
      <c r="J224" s="1">
        <v>45040</v>
      </c>
      <c r="K224" t="s">
        <v>32</v>
      </c>
      <c r="L224" s="7">
        <v>16</v>
      </c>
      <c r="M224">
        <f>ROUND(TTrainingSource[[#This Row],[Satisfaction_Score2]],0)</f>
        <v>4</v>
      </c>
      <c r="N224">
        <v>4.2</v>
      </c>
    </row>
    <row r="225" spans="1:14" x14ac:dyDescent="0.3">
      <c r="A225" t="s">
        <v>314</v>
      </c>
      <c r="B225" t="str">
        <f>TRIM(TTrainingSource[[#This Row],[EMPloyee_ID2]])</f>
        <v>EMP10108</v>
      </c>
      <c r="C225" t="str">
        <f>IFERROR(VLOOKUP(TTrainingSource[[#This Row],[Employee_ID]],THrList[],3,FALSE),"")</f>
        <v>TAYLOR</v>
      </c>
      <c r="D225" t="str">
        <f>IFERROR(VLOOKUP(TTrainingSource[[#This Row],[Employee_ID]],THrList[],4,FALSE),"")</f>
        <v>Julien</v>
      </c>
      <c r="E225" t="str">
        <f>IFERROR(VLOOKUP(TTrainingSource[[#This Row],[Employee_ID]],THrList[],10,FALSE),"")</f>
        <v>Compliance</v>
      </c>
      <c r="F225" t="str">
        <f>TRIM(PROPER(TTrainingSource[[#This Row],[Training_Status2]]))</f>
        <v>Completed</v>
      </c>
      <c r="G225" t="s">
        <v>17</v>
      </c>
      <c r="H225" t="str">
        <f>TRIM(PROPER(TTrainingSource[[#This Row],[Training_Title2]]))</f>
        <v>Sql For Data Analytics</v>
      </c>
      <c r="I225" t="s">
        <v>272</v>
      </c>
      <c r="J225" s="1">
        <v>44702</v>
      </c>
      <c r="K225" t="s">
        <v>46</v>
      </c>
      <c r="L225" s="7">
        <v>20</v>
      </c>
      <c r="M225">
        <f>ROUND(TTrainingSource[[#This Row],[Satisfaction_Score2]],0)</f>
        <v>3</v>
      </c>
      <c r="N225">
        <v>3.3</v>
      </c>
    </row>
    <row r="226" spans="1:14" x14ac:dyDescent="0.3">
      <c r="A226" t="s">
        <v>689</v>
      </c>
      <c r="B226" t="str">
        <f>TRIM(TTrainingSource[[#This Row],[EMPloyee_ID2]])</f>
        <v>EMP10109</v>
      </c>
      <c r="C226" t="str">
        <f>IFERROR(VLOOKUP(TTrainingSource[[#This Row],[Employee_ID]],THrList[],3,FALSE),"")</f>
        <v>JOHNSON</v>
      </c>
      <c r="D226" t="str">
        <f>IFERROR(VLOOKUP(TTrainingSource[[#This Row],[Employee_ID]],THrList[],4,FALSE),"")</f>
        <v>Amelia</v>
      </c>
      <c r="E226" t="str">
        <f>IFERROR(VLOOKUP(TTrainingSource[[#This Row],[Employee_ID]],THrList[],10,FALSE),"")</f>
        <v>Sales</v>
      </c>
      <c r="F226" t="str">
        <f>TRIM(PROPER(TTrainingSource[[#This Row],[Training_Status2]]))</f>
        <v>Completed</v>
      </c>
      <c r="G226" t="s">
        <v>17</v>
      </c>
      <c r="H226" t="str">
        <f>TRIM(PROPER(TTrainingSource[[#This Row],[Training_Title2]]))</f>
        <v>Introduction To Python For Data</v>
      </c>
      <c r="I226" t="s">
        <v>62</v>
      </c>
      <c r="J226" s="1">
        <v>45367</v>
      </c>
      <c r="K226" t="s">
        <v>46</v>
      </c>
      <c r="L226" s="7">
        <v>40</v>
      </c>
      <c r="M226">
        <f>ROUND(TTrainingSource[[#This Row],[Satisfaction_Score2]],0)</f>
        <v>4</v>
      </c>
      <c r="N226">
        <v>4.4000000000000004</v>
      </c>
    </row>
    <row r="227" spans="1:14" x14ac:dyDescent="0.3">
      <c r="A227" t="s">
        <v>138</v>
      </c>
      <c r="B227" t="str">
        <f>TRIM(TTrainingSource[[#This Row],[EMPloyee_ID2]])</f>
        <v>EMP10110</v>
      </c>
      <c r="C227" t="str">
        <f>IFERROR(VLOOKUP(TTrainingSource[[#This Row],[Employee_ID]],THrList[],3,FALSE),"")</f>
        <v>WILLIAMS</v>
      </c>
      <c r="D227" t="str">
        <f>IFERROR(VLOOKUP(TTrainingSource[[#This Row],[Employee_ID]],THrList[],4,FALSE),"")</f>
        <v>Ada</v>
      </c>
      <c r="E227" t="str">
        <f>IFERROR(VLOOKUP(TTrainingSource[[#This Row],[Employee_ID]],THrList[],10,FALSE),"")</f>
        <v>IT</v>
      </c>
      <c r="F227" t="str">
        <f>TRIM(PROPER(TTrainingSource[[#This Row],[Training_Status2]]))</f>
        <v>Completed</v>
      </c>
      <c r="G227" t="s">
        <v>17</v>
      </c>
      <c r="H227" t="str">
        <f>TRIM(PROPER(TTrainingSource[[#This Row],[Training_Title2]]))</f>
        <v>Customer Data Analysis</v>
      </c>
      <c r="I227" t="s">
        <v>50</v>
      </c>
      <c r="J227" s="1">
        <v>45490</v>
      </c>
      <c r="K227" t="s">
        <v>15</v>
      </c>
      <c r="L227" s="7">
        <v>6</v>
      </c>
      <c r="M227">
        <f>ROUND(TTrainingSource[[#This Row],[Satisfaction_Score2]],0)</f>
        <v>5</v>
      </c>
      <c r="N227">
        <v>4.7</v>
      </c>
    </row>
    <row r="228" spans="1:14" x14ac:dyDescent="0.3">
      <c r="A228" t="s">
        <v>138</v>
      </c>
      <c r="B228" t="str">
        <f>TRIM(TTrainingSource[[#This Row],[EMPloyee_ID2]])</f>
        <v>EMP10110</v>
      </c>
      <c r="C228" t="str">
        <f>IFERROR(VLOOKUP(TTrainingSource[[#This Row],[Employee_ID]],THrList[],3,FALSE),"")</f>
        <v>WILLIAMS</v>
      </c>
      <c r="D228" t="str">
        <f>IFERROR(VLOOKUP(TTrainingSource[[#This Row],[Employee_ID]],THrList[],4,FALSE),"")</f>
        <v>Ada</v>
      </c>
      <c r="E228" t="str">
        <f>IFERROR(VLOOKUP(TTrainingSource[[#This Row],[Employee_ID]],THrList[],10,FALSE),"")</f>
        <v>IT</v>
      </c>
      <c r="F228" t="str">
        <f>TRIM(PROPER(TTrainingSource[[#This Row],[Training_Status2]]))</f>
        <v>Planned</v>
      </c>
      <c r="G228" t="s">
        <v>19</v>
      </c>
      <c r="H228" t="str">
        <f>TRIM(PROPER(TTrainingSource[[#This Row],[Training_Title2]]))</f>
        <v>Introduction To Python For Data</v>
      </c>
      <c r="I228" t="s">
        <v>62</v>
      </c>
      <c r="J228" s="1">
        <v>45041</v>
      </c>
      <c r="K228" t="s">
        <v>44</v>
      </c>
      <c r="L228" s="7">
        <v>24</v>
      </c>
      <c r="M228">
        <f>ROUND(TTrainingSource[[#This Row],[Satisfaction_Score2]],0)</f>
        <v>3</v>
      </c>
      <c r="N228">
        <v>3.1</v>
      </c>
    </row>
    <row r="229" spans="1:14" x14ac:dyDescent="0.3">
      <c r="A229" t="s">
        <v>138</v>
      </c>
      <c r="B229" t="str">
        <f>TRIM(TTrainingSource[[#This Row],[EMPloyee_ID2]])</f>
        <v>EMP10110</v>
      </c>
      <c r="C229" t="str">
        <f>IFERROR(VLOOKUP(TTrainingSource[[#This Row],[Employee_ID]],THrList[],3,FALSE),"")</f>
        <v>WILLIAMS</v>
      </c>
      <c r="D229" t="str">
        <f>IFERROR(VLOOKUP(TTrainingSource[[#This Row],[Employee_ID]],THrList[],4,FALSE),"")</f>
        <v>Ada</v>
      </c>
      <c r="E229" t="str">
        <f>IFERROR(VLOOKUP(TTrainingSource[[#This Row],[Employee_ID]],THrList[],10,FALSE),"")</f>
        <v>IT</v>
      </c>
      <c r="F229" t="str">
        <f>TRIM(PROPER(TTrainingSource[[#This Row],[Training_Status2]]))</f>
        <v>In Progress</v>
      </c>
      <c r="G229" t="s">
        <v>8</v>
      </c>
      <c r="H229" t="str">
        <f>TRIM(PROPER(TTrainingSource[[#This Row],[Training_Title2]]))</f>
        <v>Business Intelligence With Tableau</v>
      </c>
      <c r="I229" t="s">
        <v>22</v>
      </c>
      <c r="J229" s="1">
        <v>45300</v>
      </c>
      <c r="K229" t="s">
        <v>29</v>
      </c>
      <c r="L229" s="7">
        <v>4</v>
      </c>
      <c r="M229">
        <f>ROUND(TTrainingSource[[#This Row],[Satisfaction_Score2]],0)</f>
        <v>4</v>
      </c>
      <c r="N229">
        <v>3.8</v>
      </c>
    </row>
    <row r="230" spans="1:14" x14ac:dyDescent="0.3">
      <c r="A230" t="s">
        <v>138</v>
      </c>
      <c r="B230" t="str">
        <f>TRIM(TTrainingSource[[#This Row],[EMPloyee_ID2]])</f>
        <v>EMP10110</v>
      </c>
      <c r="C230" t="str">
        <f>IFERROR(VLOOKUP(TTrainingSource[[#This Row],[Employee_ID]],THrList[],3,FALSE),"")</f>
        <v>WILLIAMS</v>
      </c>
      <c r="D230" t="str">
        <f>IFERROR(VLOOKUP(TTrainingSource[[#This Row],[Employee_ID]],THrList[],4,FALSE),"")</f>
        <v>Ada</v>
      </c>
      <c r="E230" t="str">
        <f>IFERROR(VLOOKUP(TTrainingSource[[#This Row],[Employee_ID]],THrList[],10,FALSE),"")</f>
        <v>IT</v>
      </c>
      <c r="F230" t="str">
        <f>TRIM(PROPER(TTrainingSource[[#This Row],[Training_Status2]]))</f>
        <v>Completed</v>
      </c>
      <c r="G230" t="s">
        <v>17</v>
      </c>
      <c r="H230" t="str">
        <f>TRIM(PROPER(TTrainingSource[[#This Row],[Training_Title2]]))</f>
        <v>Financial Modeling Basics</v>
      </c>
      <c r="I230" t="s">
        <v>38</v>
      </c>
      <c r="J230" s="1">
        <v>45186</v>
      </c>
      <c r="K230" t="s">
        <v>98</v>
      </c>
      <c r="L230" s="7">
        <v>24</v>
      </c>
      <c r="M230">
        <f>ROUND(TTrainingSource[[#This Row],[Satisfaction_Score2]],0)</f>
        <v>3</v>
      </c>
      <c r="N230">
        <v>3.3</v>
      </c>
    </row>
    <row r="231" spans="1:14" x14ac:dyDescent="0.3">
      <c r="A231" t="s">
        <v>138</v>
      </c>
      <c r="B231" t="str">
        <f>TRIM(TTrainingSource[[#This Row],[EMPloyee_ID2]])</f>
        <v>EMP10110</v>
      </c>
      <c r="C231" t="str">
        <f>IFERROR(VLOOKUP(TTrainingSource[[#This Row],[Employee_ID]],THrList[],3,FALSE),"")</f>
        <v>WILLIAMS</v>
      </c>
      <c r="D231" t="str">
        <f>IFERROR(VLOOKUP(TTrainingSource[[#This Row],[Employee_ID]],THrList[],4,FALSE),"")</f>
        <v>Ada</v>
      </c>
      <c r="E231" t="str">
        <f>IFERROR(VLOOKUP(TTrainingSource[[#This Row],[Employee_ID]],THrList[],10,FALSE),"")</f>
        <v>IT</v>
      </c>
      <c r="F231" t="str">
        <f>TRIM(PROPER(TTrainingSource[[#This Row],[Training_Status2]]))</f>
        <v>In Progress</v>
      </c>
      <c r="G231" t="s">
        <v>67</v>
      </c>
      <c r="H231" t="str">
        <f>TRIM(PROPER(TTrainingSource[[#This Row],[Training_Title2]]))</f>
        <v>Advanced Excel For Business</v>
      </c>
      <c r="I231" t="s">
        <v>124</v>
      </c>
      <c r="J231" s="1">
        <v>45328</v>
      </c>
      <c r="K231" t="s">
        <v>39</v>
      </c>
      <c r="L231" s="7">
        <v>20</v>
      </c>
      <c r="M231">
        <f>ROUND(TTrainingSource[[#This Row],[Satisfaction_Score2]],0)</f>
        <v>4</v>
      </c>
      <c r="N231">
        <v>4</v>
      </c>
    </row>
    <row r="232" spans="1:14" x14ac:dyDescent="0.3">
      <c r="A232" t="s">
        <v>543</v>
      </c>
      <c r="B232" t="str">
        <f>TRIM(TTrainingSource[[#This Row],[EMPloyee_ID2]])</f>
        <v>EMP10111</v>
      </c>
      <c r="C232" t="str">
        <f>IFERROR(VLOOKUP(TTrainingSource[[#This Row],[Employee_ID]],THrList[],3,FALSE),"")</f>
        <v>MARTINEZ</v>
      </c>
      <c r="D232" t="str">
        <f>IFERROR(VLOOKUP(TTrainingSource[[#This Row],[Employee_ID]],THrList[],4,FALSE),"")</f>
        <v>Omar</v>
      </c>
      <c r="E232" t="str">
        <f>IFERROR(VLOOKUP(TTrainingSource[[#This Row],[Employee_ID]],THrList[],10,FALSE),"")</f>
        <v>IT</v>
      </c>
      <c r="F232" t="str">
        <f>TRIM(PROPER(TTrainingSource[[#This Row],[Training_Status2]]))</f>
        <v>Completed</v>
      </c>
      <c r="G232" t="s">
        <v>17</v>
      </c>
      <c r="H232" t="str">
        <f>TRIM(PROPER(TTrainingSource[[#This Row],[Training_Title2]]))</f>
        <v>Introduction To Python For Data</v>
      </c>
      <c r="I232" t="s">
        <v>62</v>
      </c>
      <c r="J232" s="1">
        <v>45961</v>
      </c>
      <c r="K232" t="s">
        <v>132</v>
      </c>
      <c r="L232" s="7">
        <v>32</v>
      </c>
      <c r="M232">
        <f>ROUND(TTrainingSource[[#This Row],[Satisfaction_Score2]],0)</f>
        <v>4</v>
      </c>
      <c r="N232">
        <v>3.9</v>
      </c>
    </row>
    <row r="233" spans="1:14" x14ac:dyDescent="0.3">
      <c r="A233" t="s">
        <v>543</v>
      </c>
      <c r="B233" t="str">
        <f>TRIM(TTrainingSource[[#This Row],[EMPloyee_ID2]])</f>
        <v>EMP10111</v>
      </c>
      <c r="C233" t="str">
        <f>IFERROR(VLOOKUP(TTrainingSource[[#This Row],[Employee_ID]],THrList[],3,FALSE),"")</f>
        <v>MARTINEZ</v>
      </c>
      <c r="D233" t="str">
        <f>IFERROR(VLOOKUP(TTrainingSource[[#This Row],[Employee_ID]],THrList[],4,FALSE),"")</f>
        <v>Omar</v>
      </c>
      <c r="E233" t="str">
        <f>IFERROR(VLOOKUP(TTrainingSource[[#This Row],[Employee_ID]],THrList[],10,FALSE),"")</f>
        <v>IT</v>
      </c>
      <c r="F233" t="str">
        <f>TRIM(PROPER(TTrainingSource[[#This Row],[Training_Status2]]))</f>
        <v>Completed</v>
      </c>
      <c r="G233" t="s">
        <v>17</v>
      </c>
      <c r="H233" t="str">
        <f>TRIM(PROPER(TTrainingSource[[#This Row],[Training_Title2]]))</f>
        <v>Introduction To Python For Data</v>
      </c>
      <c r="I233" t="s">
        <v>62</v>
      </c>
      <c r="J233" s="1">
        <v>45552</v>
      </c>
      <c r="K233" t="s">
        <v>46</v>
      </c>
      <c r="L233" s="7">
        <v>6</v>
      </c>
      <c r="M233">
        <f>ROUND(TTrainingSource[[#This Row],[Satisfaction_Score2]],0)</f>
        <v>3</v>
      </c>
      <c r="N233">
        <v>2.9</v>
      </c>
    </row>
    <row r="234" spans="1:14" x14ac:dyDescent="0.3">
      <c r="A234" t="s">
        <v>595</v>
      </c>
      <c r="B234" t="str">
        <f>TRIM(TTrainingSource[[#This Row],[EMPloyee_ID2]])</f>
        <v>EMP10111</v>
      </c>
      <c r="C234" t="str">
        <f>IFERROR(VLOOKUP(TTrainingSource[[#This Row],[Employee_ID]],THrList[],3,FALSE),"")</f>
        <v>MARTINEZ</v>
      </c>
      <c r="D234" t="str">
        <f>IFERROR(VLOOKUP(TTrainingSource[[#This Row],[Employee_ID]],THrList[],4,FALSE),"")</f>
        <v>Omar</v>
      </c>
      <c r="E234" t="str">
        <f>IFERROR(VLOOKUP(TTrainingSource[[#This Row],[Employee_ID]],THrList[],10,FALSE),"")</f>
        <v>IT</v>
      </c>
      <c r="F234" t="str">
        <f>TRIM(PROPER(TTrainingSource[[#This Row],[Training_Status2]]))</f>
        <v>Planned</v>
      </c>
      <c r="G234" t="s">
        <v>19</v>
      </c>
      <c r="H234" t="str">
        <f>TRIM(PROPER(TTrainingSource[[#This Row],[Training_Title2]]))</f>
        <v>Customer Data Analysis</v>
      </c>
      <c r="I234" t="s">
        <v>31</v>
      </c>
      <c r="J234" s="1">
        <v>45814</v>
      </c>
      <c r="K234" t="s">
        <v>132</v>
      </c>
      <c r="L234" s="7">
        <v>4</v>
      </c>
      <c r="M234">
        <f>ROUND(TTrainingSource[[#This Row],[Satisfaction_Score2]],0)</f>
        <v>3</v>
      </c>
      <c r="N234">
        <v>3.3</v>
      </c>
    </row>
    <row r="235" spans="1:14" x14ac:dyDescent="0.3">
      <c r="A235" t="s">
        <v>358</v>
      </c>
      <c r="B235" t="str">
        <f>TRIM(TTrainingSource[[#This Row],[EMPloyee_ID2]])</f>
        <v>EMP10112</v>
      </c>
      <c r="C235" t="str">
        <f>IFERROR(VLOOKUP(TTrainingSource[[#This Row],[Employee_ID]],THrList[],3,FALSE),"")</f>
        <v>WILSON</v>
      </c>
      <c r="D235" t="str">
        <f>IFERROR(VLOOKUP(TTrainingSource[[#This Row],[Employee_ID]],THrList[],4,FALSE),"")</f>
        <v>Mariama</v>
      </c>
      <c r="E235" t="str">
        <f>IFERROR(VLOOKUP(TTrainingSource[[#This Row],[Employee_ID]],THrList[],10,FALSE),"")</f>
        <v>Human Resources</v>
      </c>
      <c r="F235" t="str">
        <f>TRIM(PROPER(TTrainingSource[[#This Row],[Training_Status2]]))</f>
        <v>Completed</v>
      </c>
      <c r="G235" t="s">
        <v>17</v>
      </c>
      <c r="H235" t="str">
        <f>TRIM(PROPER(TTrainingSource[[#This Row],[Training_Title2]]))</f>
        <v>Project Management Essentials</v>
      </c>
      <c r="I235" t="s">
        <v>14</v>
      </c>
      <c r="J235" s="1">
        <v>45240</v>
      </c>
      <c r="K235" t="s">
        <v>39</v>
      </c>
      <c r="L235" s="7">
        <v>20</v>
      </c>
      <c r="M235">
        <f>ROUND(TTrainingSource[[#This Row],[Satisfaction_Score2]],0)</f>
        <v>3</v>
      </c>
      <c r="N235">
        <v>2.6</v>
      </c>
    </row>
    <row r="236" spans="1:14" x14ac:dyDescent="0.3">
      <c r="A236" t="s">
        <v>358</v>
      </c>
      <c r="B236" t="str">
        <f>TRIM(TTrainingSource[[#This Row],[EMPloyee_ID2]])</f>
        <v>EMP10112</v>
      </c>
      <c r="C236" t="str">
        <f>IFERROR(VLOOKUP(TTrainingSource[[#This Row],[Employee_ID]],THrList[],3,FALSE),"")</f>
        <v>WILSON</v>
      </c>
      <c r="D236" t="str">
        <f>IFERROR(VLOOKUP(TTrainingSource[[#This Row],[Employee_ID]],THrList[],4,FALSE),"")</f>
        <v>Mariama</v>
      </c>
      <c r="E236" t="str">
        <f>IFERROR(VLOOKUP(TTrainingSource[[#This Row],[Employee_ID]],THrList[],10,FALSE),"")</f>
        <v>Human Resources</v>
      </c>
      <c r="F236" t="str">
        <f>TRIM(PROPER(TTrainingSource[[#This Row],[Training_Status2]]))</f>
        <v>Completed</v>
      </c>
      <c r="G236" t="s">
        <v>17</v>
      </c>
      <c r="H236" t="str">
        <f>TRIM(PROPER(TTrainingSource[[#This Row],[Training_Title2]]))</f>
        <v>Digital Marketing Strategy</v>
      </c>
      <c r="I236" t="s">
        <v>43</v>
      </c>
      <c r="J236" s="1">
        <v>45446</v>
      </c>
      <c r="K236" t="s">
        <v>132</v>
      </c>
      <c r="L236" s="7">
        <v>16</v>
      </c>
      <c r="M236">
        <f>ROUND(TTrainingSource[[#This Row],[Satisfaction_Score2]],0)</f>
        <v>3</v>
      </c>
      <c r="N236">
        <v>3.1</v>
      </c>
    </row>
    <row r="237" spans="1:14" x14ac:dyDescent="0.3">
      <c r="A237" t="s">
        <v>358</v>
      </c>
      <c r="B237" t="str">
        <f>TRIM(TTrainingSource[[#This Row],[EMPloyee_ID2]])</f>
        <v>EMP10112</v>
      </c>
      <c r="C237" t="str">
        <f>IFERROR(VLOOKUP(TTrainingSource[[#This Row],[Employee_ID]],THrList[],3,FALSE),"")</f>
        <v>WILSON</v>
      </c>
      <c r="D237" t="str">
        <f>IFERROR(VLOOKUP(TTrainingSource[[#This Row],[Employee_ID]],THrList[],4,FALSE),"")</f>
        <v>Mariama</v>
      </c>
      <c r="E237" t="str">
        <f>IFERROR(VLOOKUP(TTrainingSource[[#This Row],[Employee_ID]],THrList[],10,FALSE),"")</f>
        <v>Human Resources</v>
      </c>
      <c r="F237" t="str">
        <f>TRIM(PROPER(TTrainingSource[[#This Row],[Training_Status2]]))</f>
        <v>Completed</v>
      </c>
      <c r="G237" t="s">
        <v>17</v>
      </c>
      <c r="H237" t="str">
        <f>TRIM(PROPER(TTrainingSource[[#This Row],[Training_Title2]]))</f>
        <v>Digital Marketing Strategy</v>
      </c>
      <c r="I237" t="s">
        <v>284</v>
      </c>
      <c r="J237" s="1">
        <v>45440</v>
      </c>
      <c r="K237" t="s">
        <v>32</v>
      </c>
      <c r="L237" s="7">
        <v>6</v>
      </c>
      <c r="M237">
        <f>ROUND(TTrainingSource[[#This Row],[Satisfaction_Score2]],0)</f>
        <v>4</v>
      </c>
      <c r="N237">
        <v>3.7</v>
      </c>
    </row>
    <row r="238" spans="1:14" x14ac:dyDescent="0.3">
      <c r="A238" t="s">
        <v>445</v>
      </c>
      <c r="B238" t="str">
        <f>TRIM(TTrainingSource[[#This Row],[EMPloyee_ID2]])</f>
        <v>EMP10113</v>
      </c>
      <c r="C238" t="str">
        <f>IFERROR(VLOOKUP(TTrainingSource[[#This Row],[Employee_ID]],THrList[],3,FALSE),"")</f>
        <v>LEROY</v>
      </c>
      <c r="D238" t="str">
        <f>IFERROR(VLOOKUP(TTrainingSource[[#This Row],[Employee_ID]],THrList[],4,FALSE),"")</f>
        <v>Amelia</v>
      </c>
      <c r="E238" t="str">
        <f>IFERROR(VLOOKUP(TTrainingSource[[#This Row],[Employee_ID]],THrList[],10,FALSE),"")</f>
        <v>Sales</v>
      </c>
      <c r="F238" t="str">
        <f>TRIM(PROPER(TTrainingSource[[#This Row],[Training_Status2]]))</f>
        <v>Planned</v>
      </c>
      <c r="G238" t="s">
        <v>19</v>
      </c>
      <c r="H238" t="str">
        <f>TRIM(PROPER(TTrainingSource[[#This Row],[Training_Title2]]))</f>
        <v>Project Management Essentials</v>
      </c>
      <c r="I238" t="s">
        <v>14</v>
      </c>
      <c r="J238" s="1">
        <v>45924</v>
      </c>
      <c r="K238" t="s">
        <v>98</v>
      </c>
      <c r="L238" s="7">
        <v>24</v>
      </c>
      <c r="M238">
        <f>ROUND(TTrainingSource[[#This Row],[Satisfaction_Score2]],0)</f>
        <v>4</v>
      </c>
      <c r="N238">
        <v>3.7</v>
      </c>
    </row>
    <row r="239" spans="1:14" x14ac:dyDescent="0.3">
      <c r="A239" t="s">
        <v>445</v>
      </c>
      <c r="B239" t="str">
        <f>TRIM(TTrainingSource[[#This Row],[EMPloyee_ID2]])</f>
        <v>EMP10113</v>
      </c>
      <c r="C239" t="str">
        <f>IFERROR(VLOOKUP(TTrainingSource[[#This Row],[Employee_ID]],THrList[],3,FALSE),"")</f>
        <v>LEROY</v>
      </c>
      <c r="D239" t="str">
        <f>IFERROR(VLOOKUP(TTrainingSource[[#This Row],[Employee_ID]],THrList[],4,FALSE),"")</f>
        <v>Amelia</v>
      </c>
      <c r="E239" t="str">
        <f>IFERROR(VLOOKUP(TTrainingSource[[#This Row],[Employee_ID]],THrList[],10,FALSE),"")</f>
        <v>Sales</v>
      </c>
      <c r="F239" t="str">
        <f>TRIM(PROPER(TTrainingSource[[#This Row],[Training_Status2]]))</f>
        <v>Completed</v>
      </c>
      <c r="G239" t="s">
        <v>17</v>
      </c>
      <c r="H239" t="str">
        <f>TRIM(PROPER(TTrainingSource[[#This Row],[Training_Title2]]))</f>
        <v>Financial Modeling Basics</v>
      </c>
      <c r="I239" t="s">
        <v>38</v>
      </c>
      <c r="J239" s="1">
        <v>44937</v>
      </c>
      <c r="K239" t="s">
        <v>44</v>
      </c>
      <c r="L239" s="7">
        <v>8</v>
      </c>
      <c r="M239">
        <f>ROUND(TTrainingSource[[#This Row],[Satisfaction_Score2]],0)</f>
        <v>4</v>
      </c>
      <c r="N239">
        <v>4.0999999999999996</v>
      </c>
    </row>
    <row r="240" spans="1:14" x14ac:dyDescent="0.3">
      <c r="A240" t="s">
        <v>445</v>
      </c>
      <c r="B240" t="str">
        <f>TRIM(TTrainingSource[[#This Row],[EMPloyee_ID2]])</f>
        <v>EMP10113</v>
      </c>
      <c r="C240" t="str">
        <f>IFERROR(VLOOKUP(TTrainingSource[[#This Row],[Employee_ID]],THrList[],3,FALSE),"")</f>
        <v>LEROY</v>
      </c>
      <c r="D240" t="str">
        <f>IFERROR(VLOOKUP(TTrainingSource[[#This Row],[Employee_ID]],THrList[],4,FALSE),"")</f>
        <v>Amelia</v>
      </c>
      <c r="E240" t="str">
        <f>IFERROR(VLOOKUP(TTrainingSource[[#This Row],[Employee_ID]],THrList[],10,FALSE),"")</f>
        <v>Sales</v>
      </c>
      <c r="F240" t="str">
        <f>TRIM(PROPER(TTrainingSource[[#This Row],[Training_Status2]]))</f>
        <v>Completed</v>
      </c>
      <c r="G240" t="s">
        <v>17</v>
      </c>
      <c r="H240" t="str">
        <f>TRIM(PROPER(TTrainingSource[[#This Row],[Training_Title2]]))</f>
        <v>Power Bi Reporting</v>
      </c>
      <c r="I240" t="s">
        <v>24</v>
      </c>
      <c r="J240" s="1">
        <v>45574</v>
      </c>
      <c r="K240" t="s">
        <v>39</v>
      </c>
      <c r="L240" s="7">
        <v>24</v>
      </c>
      <c r="M240">
        <f>ROUND(TTrainingSource[[#This Row],[Satisfaction_Score2]],0)</f>
        <v>4</v>
      </c>
      <c r="N240">
        <v>4.2</v>
      </c>
    </row>
    <row r="241" spans="1:14" x14ac:dyDescent="0.3">
      <c r="A241" t="s">
        <v>749</v>
      </c>
      <c r="B241" t="str">
        <f>TRIM(TTrainingSource[[#This Row],[EMPloyee_ID2]])</f>
        <v>EMP10114</v>
      </c>
      <c r="C241" t="str">
        <f>IFERROR(VLOOKUP(TTrainingSource[[#This Row],[Employee_ID]],THrList[],3,FALSE),"")</f>
        <v>HERNANDEZ</v>
      </c>
      <c r="D241" t="str">
        <f>IFERROR(VLOOKUP(TTrainingSource[[#This Row],[Employee_ID]],THrList[],4,FALSE),"")</f>
        <v>Alexander</v>
      </c>
      <c r="E241" t="str">
        <f>IFERROR(VLOOKUP(TTrainingSource[[#This Row],[Employee_ID]],THrList[],10,FALSE),"")</f>
        <v>Customer Support</v>
      </c>
      <c r="F241" t="str">
        <f>TRIM(PROPER(TTrainingSource[[#This Row],[Training_Status2]]))</f>
        <v>Planned</v>
      </c>
      <c r="G241" t="s">
        <v>19</v>
      </c>
      <c r="H241" t="str">
        <f>TRIM(PROPER(TTrainingSource[[#This Row],[Training_Title2]]))</f>
        <v>Advanced Excel For Business</v>
      </c>
      <c r="I241" t="s">
        <v>52</v>
      </c>
      <c r="J241" s="1">
        <v>44846</v>
      </c>
      <c r="K241" t="s">
        <v>42</v>
      </c>
      <c r="L241" s="7">
        <v>12</v>
      </c>
      <c r="M241">
        <f>ROUND(TTrainingSource[[#This Row],[Satisfaction_Score2]],0)</f>
        <v>5</v>
      </c>
      <c r="N241">
        <v>4.7</v>
      </c>
    </row>
    <row r="242" spans="1:14" x14ac:dyDescent="0.3">
      <c r="A242" t="s">
        <v>96</v>
      </c>
      <c r="B242" t="str">
        <f>TRIM(TTrainingSource[[#This Row],[EMPloyee_ID2]])</f>
        <v>EMP10115</v>
      </c>
      <c r="C242" t="str">
        <f>IFERROR(VLOOKUP(TTrainingSource[[#This Row],[Employee_ID]],THrList[],3,FALSE),"")</f>
        <v>KHAN</v>
      </c>
      <c r="D242" t="str">
        <f>IFERROR(VLOOKUP(TTrainingSource[[#This Row],[Employee_ID]],THrList[],4,FALSE),"")</f>
        <v>Sophie</v>
      </c>
      <c r="E242" t="str">
        <f>IFERROR(VLOOKUP(TTrainingSource[[#This Row],[Employee_ID]],THrList[],10,FALSE),"")</f>
        <v>Operations</v>
      </c>
      <c r="F242" t="str">
        <f>TRIM(PROPER(TTrainingSource[[#This Row],[Training_Status2]]))</f>
        <v>Planned</v>
      </c>
      <c r="G242" t="s">
        <v>19</v>
      </c>
      <c r="H242" t="str">
        <f>TRIM(PROPER(TTrainingSource[[#This Row],[Training_Title2]]))</f>
        <v>Advanced Excel For Business</v>
      </c>
      <c r="I242" t="s">
        <v>52</v>
      </c>
      <c r="J242" s="1">
        <v>44983</v>
      </c>
      <c r="K242" t="s">
        <v>42</v>
      </c>
      <c r="L242" s="7">
        <v>40</v>
      </c>
      <c r="M242">
        <f>ROUND(TTrainingSource[[#This Row],[Satisfaction_Score2]],0)</f>
        <v>5</v>
      </c>
      <c r="N242">
        <v>4.5</v>
      </c>
    </row>
    <row r="243" spans="1:14" x14ac:dyDescent="0.3">
      <c r="A243" t="s">
        <v>96</v>
      </c>
      <c r="B243" t="str">
        <f>TRIM(TTrainingSource[[#This Row],[EMPloyee_ID2]])</f>
        <v>EMP10115</v>
      </c>
      <c r="C243" t="str">
        <f>IFERROR(VLOOKUP(TTrainingSource[[#This Row],[Employee_ID]],THrList[],3,FALSE),"")</f>
        <v>KHAN</v>
      </c>
      <c r="D243" t="str">
        <f>IFERROR(VLOOKUP(TTrainingSource[[#This Row],[Employee_ID]],THrList[],4,FALSE),"")</f>
        <v>Sophie</v>
      </c>
      <c r="E243" t="str">
        <f>IFERROR(VLOOKUP(TTrainingSource[[#This Row],[Employee_ID]],THrList[],10,FALSE),"")</f>
        <v>Operations</v>
      </c>
      <c r="F243" t="str">
        <f>TRIM(PROPER(TTrainingSource[[#This Row],[Training_Status2]]))</f>
        <v>Planned</v>
      </c>
      <c r="G243" t="s">
        <v>19</v>
      </c>
      <c r="H243" t="str">
        <f>TRIM(PROPER(TTrainingSource[[#This Row],[Training_Title2]]))</f>
        <v>Data Analysis Fundamentals</v>
      </c>
      <c r="I243" t="s">
        <v>9</v>
      </c>
      <c r="J243" s="1">
        <v>45738</v>
      </c>
      <c r="K243" t="s">
        <v>39</v>
      </c>
      <c r="L243" s="7">
        <v>32</v>
      </c>
      <c r="M243">
        <f>ROUND(TTrainingSource[[#This Row],[Satisfaction_Score2]],0)</f>
        <v>3</v>
      </c>
      <c r="N243">
        <v>2.7</v>
      </c>
    </row>
    <row r="244" spans="1:14" x14ac:dyDescent="0.3">
      <c r="A244" t="s">
        <v>270</v>
      </c>
      <c r="B244" t="str">
        <f>TRIM(TTrainingSource[[#This Row],[EMPloyee_ID2]])</f>
        <v>EMP10117</v>
      </c>
      <c r="C244" t="str">
        <f>IFERROR(VLOOKUP(TTrainingSource[[#This Row],[Employee_ID]],THrList[],3,FALSE),"")</f>
        <v>MENSAH</v>
      </c>
      <c r="D244" t="str">
        <f>IFERROR(VLOOKUP(TTrainingSource[[#This Row],[Employee_ID]],THrList[],4,FALSE),"")</f>
        <v>Amina</v>
      </c>
      <c r="E244" t="str">
        <f>IFERROR(VLOOKUP(TTrainingSource[[#This Row],[Employee_ID]],THrList[],10,FALSE),"")</f>
        <v>Finance</v>
      </c>
      <c r="F244" t="str">
        <f>TRIM(PROPER(TTrainingSource[[#This Row],[Training_Status2]]))</f>
        <v>Completed</v>
      </c>
      <c r="G244" t="s">
        <v>17</v>
      </c>
      <c r="H244" t="str">
        <f>TRIM(PROPER(TTrainingSource[[#This Row],[Training_Title2]]))</f>
        <v>Project Management Essentials</v>
      </c>
      <c r="I244" t="s">
        <v>14</v>
      </c>
      <c r="J244" s="1">
        <v>45529</v>
      </c>
      <c r="K244" t="s">
        <v>42</v>
      </c>
      <c r="L244" s="7">
        <v>12</v>
      </c>
      <c r="M244">
        <f>ROUND(TTrainingSource[[#This Row],[Satisfaction_Score2]],0)</f>
        <v>4</v>
      </c>
      <c r="N244">
        <v>3.6</v>
      </c>
    </row>
    <row r="245" spans="1:14" x14ac:dyDescent="0.3">
      <c r="A245" t="s">
        <v>270</v>
      </c>
      <c r="B245" t="str">
        <f>TRIM(TTrainingSource[[#This Row],[EMPloyee_ID2]])</f>
        <v>EMP10117</v>
      </c>
      <c r="C245" t="str">
        <f>IFERROR(VLOOKUP(TTrainingSource[[#This Row],[Employee_ID]],THrList[],3,FALSE),"")</f>
        <v>MENSAH</v>
      </c>
      <c r="D245" t="str">
        <f>IFERROR(VLOOKUP(TTrainingSource[[#This Row],[Employee_ID]],THrList[],4,FALSE),"")</f>
        <v>Amina</v>
      </c>
      <c r="E245" t="str">
        <f>IFERROR(VLOOKUP(TTrainingSource[[#This Row],[Employee_ID]],THrList[],10,FALSE),"")</f>
        <v>Finance</v>
      </c>
      <c r="F245" t="str">
        <f>TRIM(PROPER(TTrainingSource[[#This Row],[Training_Status2]]))</f>
        <v>Planned</v>
      </c>
      <c r="G245" t="s">
        <v>19</v>
      </c>
      <c r="H245" t="str">
        <f>TRIM(PROPER(TTrainingSource[[#This Row],[Training_Title2]]))</f>
        <v>Data Analysis Fundamentals</v>
      </c>
      <c r="I245" t="s">
        <v>9</v>
      </c>
      <c r="J245" s="1">
        <v>44790</v>
      </c>
      <c r="K245" t="s">
        <v>44</v>
      </c>
      <c r="L245" s="7">
        <v>4</v>
      </c>
      <c r="M245">
        <f>ROUND(TTrainingSource[[#This Row],[Satisfaction_Score2]],0)</f>
        <v>4</v>
      </c>
      <c r="N245">
        <v>3.6</v>
      </c>
    </row>
    <row r="246" spans="1:14" x14ac:dyDescent="0.3">
      <c r="A246" t="s">
        <v>129</v>
      </c>
      <c r="B246" t="str">
        <f>TRIM(TTrainingSource[[#This Row],[EMPloyee_ID2]])</f>
        <v>EMP10118</v>
      </c>
      <c r="C246" t="str">
        <f>IFERROR(VLOOKUP(TTrainingSource[[#This Row],[Employee_ID]],THrList[],3,FALSE),"")</f>
        <v>KONE</v>
      </c>
      <c r="D246" t="str">
        <f>IFERROR(VLOOKUP(TTrainingSource[[#This Row],[Employee_ID]],THrList[],4,FALSE),"")</f>
        <v>Hassan</v>
      </c>
      <c r="E246" t="str">
        <f>IFERROR(VLOOKUP(TTrainingSource[[#This Row],[Employee_ID]],THrList[],10,FALSE),"")</f>
        <v>Customer Support</v>
      </c>
      <c r="F246" t="str">
        <f>TRIM(PROPER(TTrainingSource[[#This Row],[Training_Status2]]))</f>
        <v>In Progress</v>
      </c>
      <c r="G246" t="s">
        <v>8</v>
      </c>
      <c r="H246" t="str">
        <f>TRIM(PROPER(TTrainingSource[[#This Row],[Training_Title2]]))</f>
        <v>Power Bi Reporting</v>
      </c>
      <c r="I246" t="s">
        <v>130</v>
      </c>
      <c r="J246" s="1">
        <v>45707</v>
      </c>
      <c r="K246" t="s">
        <v>32</v>
      </c>
      <c r="L246" s="7">
        <v>6</v>
      </c>
      <c r="M246">
        <f>ROUND(TTrainingSource[[#This Row],[Satisfaction_Score2]],0)</f>
        <v>4</v>
      </c>
      <c r="N246">
        <v>4</v>
      </c>
    </row>
    <row r="247" spans="1:14" x14ac:dyDescent="0.3">
      <c r="A247" t="s">
        <v>515</v>
      </c>
      <c r="B247" t="str">
        <f>TRIM(TTrainingSource[[#This Row],[EMPloyee_ID2]])</f>
        <v>EMP10119</v>
      </c>
      <c r="C247" t="str">
        <f>IFERROR(VLOOKUP(TTrainingSource[[#This Row],[Employee_ID]],THrList[],3,FALSE),"")</f>
        <v>TAYLOR</v>
      </c>
      <c r="D247" t="str">
        <f>IFERROR(VLOOKUP(TTrainingSource[[#This Row],[Employee_ID]],THrList[],4,FALSE),"")</f>
        <v>Alexander</v>
      </c>
      <c r="E247" t="str">
        <f>IFERROR(VLOOKUP(TTrainingSource[[#This Row],[Employee_ID]],THrList[],10,FALSE),"")</f>
        <v>IT</v>
      </c>
      <c r="F247" t="str">
        <f>TRIM(PROPER(TTrainingSource[[#This Row],[Training_Status2]]))</f>
        <v>Completed</v>
      </c>
      <c r="G247" t="s">
        <v>35</v>
      </c>
      <c r="H247" t="str">
        <f>TRIM(PROPER(TTrainingSource[[#This Row],[Training_Title2]]))</f>
        <v>Advanced Excel For Business</v>
      </c>
      <c r="I247" t="s">
        <v>82</v>
      </c>
      <c r="J247" s="1">
        <v>45492</v>
      </c>
      <c r="K247" t="s">
        <v>29</v>
      </c>
      <c r="L247" s="7">
        <v>40</v>
      </c>
      <c r="M247">
        <f>ROUND(TTrainingSource[[#This Row],[Satisfaction_Score2]],0)</f>
        <v>4</v>
      </c>
      <c r="N247">
        <v>3.5</v>
      </c>
    </row>
    <row r="248" spans="1:14" x14ac:dyDescent="0.3">
      <c r="A248" t="s">
        <v>515</v>
      </c>
      <c r="B248" t="str">
        <f>TRIM(TTrainingSource[[#This Row],[EMPloyee_ID2]])</f>
        <v>EMP10119</v>
      </c>
      <c r="C248" t="str">
        <f>IFERROR(VLOOKUP(TTrainingSource[[#This Row],[Employee_ID]],THrList[],3,FALSE),"")</f>
        <v>TAYLOR</v>
      </c>
      <c r="D248" t="str">
        <f>IFERROR(VLOOKUP(TTrainingSource[[#This Row],[Employee_ID]],THrList[],4,FALSE),"")</f>
        <v>Alexander</v>
      </c>
      <c r="E248" t="str">
        <f>IFERROR(VLOOKUP(TTrainingSource[[#This Row],[Employee_ID]],THrList[],10,FALSE),"")</f>
        <v>IT</v>
      </c>
      <c r="F248" t="str">
        <f>TRIM(PROPER(TTrainingSource[[#This Row],[Training_Status2]]))</f>
        <v>Completed</v>
      </c>
      <c r="G248" t="s">
        <v>17</v>
      </c>
      <c r="H248" t="str">
        <f>TRIM(PROPER(TTrainingSource[[#This Row],[Training_Title2]]))</f>
        <v>Financial Modeling Basics</v>
      </c>
      <c r="I248" t="s">
        <v>94</v>
      </c>
      <c r="J248" s="1">
        <v>45011</v>
      </c>
      <c r="K248" t="s">
        <v>42</v>
      </c>
      <c r="L248" s="7">
        <v>32</v>
      </c>
      <c r="M248">
        <f>ROUND(TTrainingSource[[#This Row],[Satisfaction_Score2]],0)</f>
        <v>4</v>
      </c>
      <c r="N248">
        <v>4.2</v>
      </c>
    </row>
    <row r="249" spans="1:14" x14ac:dyDescent="0.3">
      <c r="A249" t="s">
        <v>515</v>
      </c>
      <c r="B249" t="str">
        <f>TRIM(TTrainingSource[[#This Row],[EMPloyee_ID2]])</f>
        <v>EMP10119</v>
      </c>
      <c r="C249" t="str">
        <f>IFERROR(VLOOKUP(TTrainingSource[[#This Row],[Employee_ID]],THrList[],3,FALSE),"")</f>
        <v>TAYLOR</v>
      </c>
      <c r="D249" t="str">
        <f>IFERROR(VLOOKUP(TTrainingSource[[#This Row],[Employee_ID]],THrList[],4,FALSE),"")</f>
        <v>Alexander</v>
      </c>
      <c r="E249" t="str">
        <f>IFERROR(VLOOKUP(TTrainingSource[[#This Row],[Employee_ID]],THrList[],10,FALSE),"")</f>
        <v>IT</v>
      </c>
      <c r="F249" t="str">
        <f>TRIM(PROPER(TTrainingSource[[#This Row],[Training_Status2]]))</f>
        <v>Completed</v>
      </c>
      <c r="G249" t="s">
        <v>17</v>
      </c>
      <c r="H249" t="str">
        <f>TRIM(PROPER(TTrainingSource[[#This Row],[Training_Title2]]))</f>
        <v>Financial Modeling Basics</v>
      </c>
      <c r="I249" t="s">
        <v>38</v>
      </c>
      <c r="J249" s="1">
        <v>45141</v>
      </c>
      <c r="K249" t="s">
        <v>46</v>
      </c>
      <c r="L249" s="7">
        <v>32</v>
      </c>
      <c r="M249">
        <f>ROUND(TTrainingSource[[#This Row],[Satisfaction_Score2]],0)</f>
        <v>4</v>
      </c>
      <c r="N249">
        <v>3.7</v>
      </c>
    </row>
    <row r="250" spans="1:14" x14ac:dyDescent="0.3">
      <c r="A250" t="s">
        <v>923</v>
      </c>
      <c r="B250" t="str">
        <f>TRIM(TTrainingSource[[#This Row],[EMPloyee_ID2]])</f>
        <v>EMP10120</v>
      </c>
      <c r="C250" t="str">
        <f>IFERROR(VLOOKUP(TTrainingSource[[#This Row],[Employee_ID]],THrList[],3,FALSE),"")</f>
        <v>TAYLOR</v>
      </c>
      <c r="D250" t="str">
        <f>IFERROR(VLOOKUP(TTrainingSource[[#This Row],[Employee_ID]],THrList[],4,FALSE),"")</f>
        <v>Amina</v>
      </c>
      <c r="E250" t="str">
        <f>IFERROR(VLOOKUP(TTrainingSource[[#This Row],[Employee_ID]],THrList[],10,FALSE),"")</f>
        <v>Sales</v>
      </c>
      <c r="F250" t="str">
        <f>TRIM(PROPER(TTrainingSource[[#This Row],[Training_Status2]]))</f>
        <v>Completed</v>
      </c>
      <c r="G250" t="s">
        <v>17</v>
      </c>
      <c r="H250" t="str">
        <f>TRIM(PROPER(TTrainingSource[[#This Row],[Training_Title2]]))</f>
        <v>Customer Data Analysis</v>
      </c>
      <c r="I250" t="s">
        <v>264</v>
      </c>
      <c r="J250" s="1">
        <v>45455</v>
      </c>
      <c r="K250" t="s">
        <v>42</v>
      </c>
      <c r="L250" s="7">
        <v>16</v>
      </c>
      <c r="M250">
        <f>ROUND(TTrainingSource[[#This Row],[Satisfaction_Score2]],0)</f>
        <v>4</v>
      </c>
      <c r="N250">
        <v>3.9</v>
      </c>
    </row>
    <row r="251" spans="1:14" x14ac:dyDescent="0.3">
      <c r="A251" t="s">
        <v>291</v>
      </c>
      <c r="B251" t="str">
        <f>TRIM(TTrainingSource[[#This Row],[EMPloyee_ID2]])</f>
        <v>EMP10121</v>
      </c>
      <c r="C251" t="str">
        <f>IFERROR(VLOOKUP(TTrainingSource[[#This Row],[Employee_ID]],THrList[],3,FALSE),"")</f>
        <v>ALI</v>
      </c>
      <c r="D251" t="str">
        <f>IFERROR(VLOOKUP(TTrainingSource[[#This Row],[Employee_ID]],THrList[],4,FALSE),"")</f>
        <v>Ada</v>
      </c>
      <c r="E251" t="str">
        <f>IFERROR(VLOOKUP(TTrainingSource[[#This Row],[Employee_ID]],THrList[],10,FALSE),"")</f>
        <v>Operations</v>
      </c>
      <c r="F251" t="str">
        <f>TRIM(PROPER(TTrainingSource[[#This Row],[Training_Status2]]))</f>
        <v>Completed</v>
      </c>
      <c r="G251" t="s">
        <v>17</v>
      </c>
      <c r="H251" t="str">
        <f>TRIM(PROPER(TTrainingSource[[#This Row],[Training_Title2]]))</f>
        <v>Business Intelligence With Tableau</v>
      </c>
      <c r="I251" t="s">
        <v>22</v>
      </c>
      <c r="J251" s="1">
        <v>45281</v>
      </c>
      <c r="K251" t="s">
        <v>12</v>
      </c>
      <c r="L251" s="7">
        <v>0</v>
      </c>
      <c r="M251">
        <f>ROUND(TTrainingSource[[#This Row],[Satisfaction_Score2]],0)</f>
        <v>4</v>
      </c>
      <c r="N251">
        <v>4.4000000000000004</v>
      </c>
    </row>
    <row r="252" spans="1:14" x14ac:dyDescent="0.3">
      <c r="A252" t="s">
        <v>291</v>
      </c>
      <c r="B252" t="str">
        <f>TRIM(TTrainingSource[[#This Row],[EMPloyee_ID2]])</f>
        <v>EMP10121</v>
      </c>
      <c r="C252" t="str">
        <f>IFERROR(VLOOKUP(TTrainingSource[[#This Row],[Employee_ID]],THrList[],3,FALSE),"")</f>
        <v>ALI</v>
      </c>
      <c r="D252" t="str">
        <f>IFERROR(VLOOKUP(TTrainingSource[[#This Row],[Employee_ID]],THrList[],4,FALSE),"")</f>
        <v>Ada</v>
      </c>
      <c r="E252" t="str">
        <f>IFERROR(VLOOKUP(TTrainingSource[[#This Row],[Employee_ID]],THrList[],10,FALSE),"")</f>
        <v>Operations</v>
      </c>
      <c r="F252" t="str">
        <f>TRIM(PROPER(TTrainingSource[[#This Row],[Training_Status2]]))</f>
        <v>Completed</v>
      </c>
      <c r="G252" t="s">
        <v>17</v>
      </c>
      <c r="H252" t="str">
        <f>TRIM(PROPER(TTrainingSource[[#This Row],[Training_Title2]]))</f>
        <v>Power Bi Reporting</v>
      </c>
      <c r="I252" t="s">
        <v>24</v>
      </c>
      <c r="J252" s="1">
        <v>45266</v>
      </c>
      <c r="K252" t="s">
        <v>46</v>
      </c>
      <c r="L252" s="7">
        <v>24</v>
      </c>
      <c r="M252">
        <f>ROUND(TTrainingSource[[#This Row],[Satisfaction_Score2]],0)</f>
        <v>4</v>
      </c>
      <c r="N252">
        <v>4.2</v>
      </c>
    </row>
    <row r="253" spans="1:14" x14ac:dyDescent="0.3">
      <c r="A253" t="s">
        <v>291</v>
      </c>
      <c r="B253" t="str">
        <f>TRIM(TTrainingSource[[#This Row],[EMPloyee_ID2]])</f>
        <v>EMP10121</v>
      </c>
      <c r="C253" t="str">
        <f>IFERROR(VLOOKUP(TTrainingSource[[#This Row],[Employee_ID]],THrList[],3,FALSE),"")</f>
        <v>ALI</v>
      </c>
      <c r="D253" t="str">
        <f>IFERROR(VLOOKUP(TTrainingSource[[#This Row],[Employee_ID]],THrList[],4,FALSE),"")</f>
        <v>Ada</v>
      </c>
      <c r="E253" t="str">
        <f>IFERROR(VLOOKUP(TTrainingSource[[#This Row],[Employee_ID]],THrList[],10,FALSE),"")</f>
        <v>Operations</v>
      </c>
      <c r="F253" t="str">
        <f>TRIM(PROPER(TTrainingSource[[#This Row],[Training_Status2]]))</f>
        <v>Completed</v>
      </c>
      <c r="G253" t="s">
        <v>17</v>
      </c>
      <c r="H253" t="str">
        <f>TRIM(PROPER(TTrainingSource[[#This Row],[Training_Title2]]))</f>
        <v>Data Analysis Fundamentals</v>
      </c>
      <c r="I253" t="s">
        <v>9</v>
      </c>
      <c r="J253" s="1">
        <v>45671</v>
      </c>
      <c r="K253" t="s">
        <v>46</v>
      </c>
      <c r="L253" s="7">
        <v>16</v>
      </c>
      <c r="M253">
        <f>ROUND(TTrainingSource[[#This Row],[Satisfaction_Score2]],0)</f>
        <v>4</v>
      </c>
      <c r="N253">
        <v>3.5</v>
      </c>
    </row>
    <row r="254" spans="1:14" x14ac:dyDescent="0.3">
      <c r="A254" t="s">
        <v>291</v>
      </c>
      <c r="B254" t="str">
        <f>TRIM(TTrainingSource[[#This Row],[EMPloyee_ID2]])</f>
        <v>EMP10121</v>
      </c>
      <c r="C254" t="str">
        <f>IFERROR(VLOOKUP(TTrainingSource[[#This Row],[Employee_ID]],THrList[],3,FALSE),"")</f>
        <v>ALI</v>
      </c>
      <c r="D254" t="str">
        <f>IFERROR(VLOOKUP(TTrainingSource[[#This Row],[Employee_ID]],THrList[],4,FALSE),"")</f>
        <v>Ada</v>
      </c>
      <c r="E254" t="str">
        <f>IFERROR(VLOOKUP(TTrainingSource[[#This Row],[Employee_ID]],THrList[],10,FALSE),"")</f>
        <v>Operations</v>
      </c>
      <c r="F254" t="str">
        <f>TRIM(PROPER(TTrainingSource[[#This Row],[Training_Status2]]))</f>
        <v>Completed</v>
      </c>
      <c r="G254" t="s">
        <v>17</v>
      </c>
      <c r="H254" t="str">
        <f>TRIM(PROPER(TTrainingSource[[#This Row],[Training_Title2]]))</f>
        <v>Project Management Essentials</v>
      </c>
      <c r="I254" t="s">
        <v>14</v>
      </c>
      <c r="J254" s="1">
        <v>45171</v>
      </c>
      <c r="K254" t="s">
        <v>46</v>
      </c>
      <c r="L254" s="7">
        <v>32</v>
      </c>
      <c r="M254">
        <f>ROUND(TTrainingSource[[#This Row],[Satisfaction_Score2]],0)</f>
        <v>3</v>
      </c>
      <c r="N254">
        <v>3</v>
      </c>
    </row>
    <row r="255" spans="1:14" x14ac:dyDescent="0.3">
      <c r="A255" t="s">
        <v>443</v>
      </c>
      <c r="B255" t="str">
        <f>TRIM(TTrainingSource[[#This Row],[EMPloyee_ID2]])</f>
        <v>EMP10122</v>
      </c>
      <c r="C255" t="str">
        <f>IFERROR(VLOOKUP(TTrainingSource[[#This Row],[Employee_ID]],THrList[],3,FALSE),"")</f>
        <v>RODRIGUEZ</v>
      </c>
      <c r="D255" t="str">
        <f>IFERROR(VLOOKUP(TTrainingSource[[#This Row],[Employee_ID]],THrList[],4,FALSE),"")</f>
        <v>Julien</v>
      </c>
      <c r="E255" t="str">
        <f>IFERROR(VLOOKUP(TTrainingSource[[#This Row],[Employee_ID]],THrList[],10,FALSE),"")</f>
        <v>Marketing</v>
      </c>
      <c r="F255" t="str">
        <f>TRIM(PROPER(TTrainingSource[[#This Row],[Training_Status2]]))</f>
        <v>In Progress</v>
      </c>
      <c r="G255" t="s">
        <v>8</v>
      </c>
      <c r="H255" t="str">
        <f>TRIM(PROPER(TTrainingSource[[#This Row],[Training_Title2]]))</f>
        <v>Data Visualization Best Practices</v>
      </c>
      <c r="I255" t="s">
        <v>20</v>
      </c>
      <c r="J255" s="1">
        <v>44591</v>
      </c>
      <c r="K255" t="s">
        <v>46</v>
      </c>
      <c r="L255" s="7">
        <v>32</v>
      </c>
      <c r="M255">
        <f>ROUND(TTrainingSource[[#This Row],[Satisfaction_Score2]],0)</f>
        <v>4</v>
      </c>
      <c r="N255">
        <v>3.9</v>
      </c>
    </row>
    <row r="256" spans="1:14" x14ac:dyDescent="0.3">
      <c r="A256" t="s">
        <v>397</v>
      </c>
      <c r="B256" t="str">
        <f>TRIM(TTrainingSource[[#This Row],[EMPloyee_ID2]])</f>
        <v>EMP10123</v>
      </c>
      <c r="C256" t="str">
        <f>IFERROR(VLOOKUP(TTrainingSource[[#This Row],[Employee_ID]],THrList[],3,FALSE),"")</f>
        <v>BROWN</v>
      </c>
      <c r="D256" t="str">
        <f>IFERROR(VLOOKUP(TTrainingSource[[#This Row],[Employee_ID]],THrList[],4,FALSE),"")</f>
        <v>Chinedu</v>
      </c>
      <c r="E256" t="str">
        <f>IFERROR(VLOOKUP(TTrainingSource[[#This Row],[Employee_ID]],THrList[],10,FALSE),"")</f>
        <v>Sales</v>
      </c>
      <c r="F256" t="str">
        <f>TRIM(PROPER(TTrainingSource[[#This Row],[Training_Status2]]))</f>
        <v>In Progress</v>
      </c>
      <c r="G256" t="s">
        <v>8</v>
      </c>
      <c r="H256" t="str">
        <f>TRIM(PROPER(TTrainingSource[[#This Row],[Training_Title2]]))</f>
        <v>Digital Marketing Strategy</v>
      </c>
      <c r="I256" t="s">
        <v>398</v>
      </c>
      <c r="J256" s="1">
        <v>45244</v>
      </c>
      <c r="K256" t="s">
        <v>42</v>
      </c>
      <c r="L256" s="7">
        <v>6</v>
      </c>
      <c r="M256">
        <f>ROUND(TTrainingSource[[#This Row],[Satisfaction_Score2]],0)</f>
        <v>3</v>
      </c>
      <c r="N256">
        <v>3.3</v>
      </c>
    </row>
    <row r="257" spans="1:14" x14ac:dyDescent="0.3">
      <c r="A257" t="s">
        <v>397</v>
      </c>
      <c r="B257" t="str">
        <f>TRIM(TTrainingSource[[#This Row],[EMPloyee_ID2]])</f>
        <v>EMP10123</v>
      </c>
      <c r="C257" t="str">
        <f>IFERROR(VLOOKUP(TTrainingSource[[#This Row],[Employee_ID]],THrList[],3,FALSE),"")</f>
        <v>BROWN</v>
      </c>
      <c r="D257" t="str">
        <f>IFERROR(VLOOKUP(TTrainingSource[[#This Row],[Employee_ID]],THrList[],4,FALSE),"")</f>
        <v>Chinedu</v>
      </c>
      <c r="E257" t="str">
        <f>IFERROR(VLOOKUP(TTrainingSource[[#This Row],[Employee_ID]],THrList[],10,FALSE),"")</f>
        <v>Sales</v>
      </c>
      <c r="F257" t="str">
        <f>TRIM(PROPER(TTrainingSource[[#This Row],[Training_Status2]]))</f>
        <v>Planned</v>
      </c>
      <c r="G257" t="s">
        <v>19</v>
      </c>
      <c r="H257" t="str">
        <f>TRIM(PROPER(TTrainingSource[[#This Row],[Training_Title2]]))</f>
        <v>Project Management Essentials</v>
      </c>
      <c r="I257" t="s">
        <v>14</v>
      </c>
      <c r="J257" s="1">
        <v>45754</v>
      </c>
      <c r="K257" t="s">
        <v>32</v>
      </c>
      <c r="L257" s="7">
        <v>40</v>
      </c>
      <c r="M257">
        <f>ROUND(TTrainingSource[[#This Row],[Satisfaction_Score2]],0)</f>
        <v>3</v>
      </c>
      <c r="N257">
        <v>2.8</v>
      </c>
    </row>
    <row r="258" spans="1:14" x14ac:dyDescent="0.3">
      <c r="A258" t="s">
        <v>397</v>
      </c>
      <c r="B258" t="str">
        <f>TRIM(TTrainingSource[[#This Row],[EMPloyee_ID2]])</f>
        <v>EMP10123</v>
      </c>
      <c r="C258" t="str">
        <f>IFERROR(VLOOKUP(TTrainingSource[[#This Row],[Employee_ID]],THrList[],3,FALSE),"")</f>
        <v>BROWN</v>
      </c>
      <c r="D258" t="str">
        <f>IFERROR(VLOOKUP(TTrainingSource[[#This Row],[Employee_ID]],THrList[],4,FALSE),"")</f>
        <v>Chinedu</v>
      </c>
      <c r="E258" t="str">
        <f>IFERROR(VLOOKUP(TTrainingSource[[#This Row],[Employee_ID]],THrList[],10,FALSE),"")</f>
        <v>Sales</v>
      </c>
      <c r="F258" t="str">
        <f>TRIM(PROPER(TTrainingSource[[#This Row],[Training_Status2]]))</f>
        <v>Completed</v>
      </c>
      <c r="G258" t="s">
        <v>17</v>
      </c>
      <c r="H258" t="str">
        <f>TRIM(PROPER(TTrainingSource[[#This Row],[Training_Title2]]))</f>
        <v>Customer Data Analysis</v>
      </c>
      <c r="I258" t="s">
        <v>31</v>
      </c>
      <c r="J258" s="1">
        <v>44884</v>
      </c>
      <c r="K258" t="s">
        <v>32</v>
      </c>
      <c r="L258" s="7">
        <v>12</v>
      </c>
      <c r="M258">
        <f>ROUND(TTrainingSource[[#This Row],[Satisfaction_Score2]],0)</f>
        <v>4</v>
      </c>
      <c r="N258">
        <v>3.8</v>
      </c>
    </row>
    <row r="259" spans="1:14" x14ac:dyDescent="0.3">
      <c r="A259" t="s">
        <v>759</v>
      </c>
      <c r="B259" t="str">
        <f>TRIM(TTrainingSource[[#This Row],[EMPloyee_ID2]])</f>
        <v>EMP10123</v>
      </c>
      <c r="C259" t="str">
        <f>IFERROR(VLOOKUP(TTrainingSource[[#This Row],[Employee_ID]],THrList[],3,FALSE),"")</f>
        <v>BROWN</v>
      </c>
      <c r="D259" t="str">
        <f>IFERROR(VLOOKUP(TTrainingSource[[#This Row],[Employee_ID]],THrList[],4,FALSE),"")</f>
        <v>Chinedu</v>
      </c>
      <c r="E259" t="str">
        <f>IFERROR(VLOOKUP(TTrainingSource[[#This Row],[Employee_ID]],THrList[],10,FALSE),"")</f>
        <v>Sales</v>
      </c>
      <c r="F259" t="str">
        <f>TRIM(PROPER(TTrainingSource[[#This Row],[Training_Status2]]))</f>
        <v>Planned</v>
      </c>
      <c r="G259" t="s">
        <v>19</v>
      </c>
      <c r="H259" t="str">
        <f>TRIM(PROPER(TTrainingSource[[#This Row],[Training_Title2]]))</f>
        <v>Introduction To Python For Data</v>
      </c>
      <c r="I259" t="s">
        <v>62</v>
      </c>
      <c r="J259" s="1">
        <v>45112</v>
      </c>
      <c r="K259" t="s">
        <v>44</v>
      </c>
      <c r="L259" s="7">
        <v>12</v>
      </c>
      <c r="M259">
        <f>ROUND(TTrainingSource[[#This Row],[Satisfaction_Score2]],0)</f>
        <v>4</v>
      </c>
      <c r="N259">
        <v>3.7</v>
      </c>
    </row>
    <row r="260" spans="1:14" x14ac:dyDescent="0.3">
      <c r="A260" t="s">
        <v>604</v>
      </c>
      <c r="B260" t="str">
        <f>TRIM(TTrainingSource[[#This Row],[EMPloyee_ID2]])</f>
        <v>EMP10124</v>
      </c>
      <c r="C260" t="str">
        <f>IFERROR(VLOOKUP(TTrainingSource[[#This Row],[Employee_ID]],THrList[],3,FALSE),"")</f>
        <v>PETIT</v>
      </c>
      <c r="D260" t="str">
        <f>IFERROR(VLOOKUP(TTrainingSource[[#This Row],[Employee_ID]],THrList[],4,FALSE),"")</f>
        <v>Amina</v>
      </c>
      <c r="E260" t="str">
        <f>IFERROR(VLOOKUP(TTrainingSource[[#This Row],[Employee_ID]],THrList[],10,FALSE),"")</f>
        <v>IT</v>
      </c>
      <c r="F260" t="str">
        <f>TRIM(PROPER(TTrainingSource[[#This Row],[Training_Status2]]))</f>
        <v>Completed</v>
      </c>
      <c r="G260" t="s">
        <v>17</v>
      </c>
      <c r="H260" t="str">
        <f>TRIM(PROPER(TTrainingSource[[#This Row],[Training_Title2]]))</f>
        <v>Communication For Analysts</v>
      </c>
      <c r="I260" t="s">
        <v>28</v>
      </c>
      <c r="J260" s="1">
        <v>45259</v>
      </c>
      <c r="K260" t="s">
        <v>29</v>
      </c>
      <c r="L260" s="7">
        <v>8</v>
      </c>
      <c r="M260">
        <f>ROUND(TTrainingSource[[#This Row],[Satisfaction_Score2]],0)</f>
        <v>3</v>
      </c>
      <c r="N260">
        <v>3.1</v>
      </c>
    </row>
    <row r="261" spans="1:14" x14ac:dyDescent="0.3">
      <c r="A261" t="s">
        <v>604</v>
      </c>
      <c r="B261" t="str">
        <f>TRIM(TTrainingSource[[#This Row],[EMPloyee_ID2]])</f>
        <v>EMP10124</v>
      </c>
      <c r="C261" t="str">
        <f>IFERROR(VLOOKUP(TTrainingSource[[#This Row],[Employee_ID]],THrList[],3,FALSE),"")</f>
        <v>PETIT</v>
      </c>
      <c r="D261" t="str">
        <f>IFERROR(VLOOKUP(TTrainingSource[[#This Row],[Employee_ID]],THrList[],4,FALSE),"")</f>
        <v>Amina</v>
      </c>
      <c r="E261" t="str">
        <f>IFERROR(VLOOKUP(TTrainingSource[[#This Row],[Employee_ID]],THrList[],10,FALSE),"")</f>
        <v>IT</v>
      </c>
      <c r="F261" t="str">
        <f>TRIM(PROPER(TTrainingSource[[#This Row],[Training_Status2]]))</f>
        <v>In Progress</v>
      </c>
      <c r="G261" t="s">
        <v>8</v>
      </c>
      <c r="H261" t="str">
        <f>TRIM(PROPER(TTrainingSource[[#This Row],[Training_Title2]]))</f>
        <v>Project Management Essentials</v>
      </c>
      <c r="I261" t="s">
        <v>224</v>
      </c>
      <c r="J261" s="1">
        <v>45935</v>
      </c>
      <c r="K261" t="s">
        <v>32</v>
      </c>
      <c r="L261" s="7">
        <v>32</v>
      </c>
      <c r="M261">
        <f>ROUND(TTrainingSource[[#This Row],[Satisfaction_Score2]],0)</f>
        <v>4</v>
      </c>
      <c r="N261">
        <v>4.2</v>
      </c>
    </row>
    <row r="262" spans="1:14" x14ac:dyDescent="0.3">
      <c r="A262" t="s">
        <v>604</v>
      </c>
      <c r="B262" t="str">
        <f>TRIM(TTrainingSource[[#This Row],[EMPloyee_ID2]])</f>
        <v>EMP10124</v>
      </c>
      <c r="C262" t="str">
        <f>IFERROR(VLOOKUP(TTrainingSource[[#This Row],[Employee_ID]],THrList[],3,FALSE),"")</f>
        <v>PETIT</v>
      </c>
      <c r="D262" t="str">
        <f>IFERROR(VLOOKUP(TTrainingSource[[#This Row],[Employee_ID]],THrList[],4,FALSE),"")</f>
        <v>Amina</v>
      </c>
      <c r="E262" t="str">
        <f>IFERROR(VLOOKUP(TTrainingSource[[#This Row],[Employee_ID]],THrList[],10,FALSE),"")</f>
        <v>IT</v>
      </c>
      <c r="F262" t="str">
        <f>TRIM(PROPER(TTrainingSource[[#This Row],[Training_Status2]]))</f>
        <v>Planned</v>
      </c>
      <c r="G262" t="s">
        <v>19</v>
      </c>
      <c r="H262" t="str">
        <f>TRIM(PROPER(TTrainingSource[[#This Row],[Training_Title2]]))</f>
        <v>Introduction To Python For Data</v>
      </c>
      <c r="I262" t="s">
        <v>307</v>
      </c>
      <c r="J262" s="1">
        <v>44755</v>
      </c>
      <c r="K262" t="s">
        <v>98</v>
      </c>
      <c r="L262" s="7">
        <v>12</v>
      </c>
      <c r="M262">
        <f>ROUND(TTrainingSource[[#This Row],[Satisfaction_Score2]],0)</f>
        <v>4</v>
      </c>
      <c r="N262">
        <v>4</v>
      </c>
    </row>
    <row r="263" spans="1:14" x14ac:dyDescent="0.3">
      <c r="A263" t="s">
        <v>223</v>
      </c>
      <c r="B263" t="str">
        <f>TRIM(TTrainingSource[[#This Row],[EMPloyee_ID2]])</f>
        <v>EMP10126</v>
      </c>
      <c r="C263" t="str">
        <f>IFERROR(VLOOKUP(TTrainingSource[[#This Row],[Employee_ID]],THrList[],3,FALSE),"")</f>
        <v>RODRIGUEZ</v>
      </c>
      <c r="D263" t="str">
        <f>IFERROR(VLOOKUP(TTrainingSource[[#This Row],[Employee_ID]],THrList[],4,FALSE),"")</f>
        <v>Claire</v>
      </c>
      <c r="E263" t="str">
        <f>IFERROR(VLOOKUP(TTrainingSource[[#This Row],[Employee_ID]],THrList[],10,FALSE),"")</f>
        <v>Finance</v>
      </c>
      <c r="F263" t="str">
        <f>TRIM(PROPER(TTrainingSource[[#This Row],[Training_Status2]]))</f>
        <v>Completed</v>
      </c>
      <c r="G263" t="s">
        <v>17</v>
      </c>
      <c r="H263" t="str">
        <f>TRIM(PROPER(TTrainingSource[[#This Row],[Training_Title2]]))</f>
        <v>Project Management Essentials</v>
      </c>
      <c r="I263" t="s">
        <v>224</v>
      </c>
      <c r="J263" s="1">
        <v>44969</v>
      </c>
      <c r="K263" t="s">
        <v>1072</v>
      </c>
      <c r="L263" s="7">
        <v>24</v>
      </c>
      <c r="M263">
        <f>ROUND(TTrainingSource[[#This Row],[Satisfaction_Score2]],0)</f>
        <v>5</v>
      </c>
      <c r="N263">
        <v>4.9000000000000004</v>
      </c>
    </row>
    <row r="264" spans="1:14" x14ac:dyDescent="0.3">
      <c r="A264" t="s">
        <v>223</v>
      </c>
      <c r="B264" t="str">
        <f>TRIM(TTrainingSource[[#This Row],[EMPloyee_ID2]])</f>
        <v>EMP10126</v>
      </c>
      <c r="C264" t="str">
        <f>IFERROR(VLOOKUP(TTrainingSource[[#This Row],[Employee_ID]],THrList[],3,FALSE),"")</f>
        <v>RODRIGUEZ</v>
      </c>
      <c r="D264" t="str">
        <f>IFERROR(VLOOKUP(TTrainingSource[[#This Row],[Employee_ID]],THrList[],4,FALSE),"")</f>
        <v>Claire</v>
      </c>
      <c r="E264" t="str">
        <f>IFERROR(VLOOKUP(TTrainingSource[[#This Row],[Employee_ID]],THrList[],10,FALSE),"")</f>
        <v>Finance</v>
      </c>
      <c r="F264" t="str">
        <f>TRIM(PROPER(TTrainingSource[[#This Row],[Training_Status2]]))</f>
        <v>In Progress</v>
      </c>
      <c r="G264" t="s">
        <v>8</v>
      </c>
      <c r="H264" t="str">
        <f>TRIM(PROPER(TTrainingSource[[#This Row],[Training_Title2]]))</f>
        <v>Power Bi Reporting</v>
      </c>
      <c r="I264" t="s">
        <v>24</v>
      </c>
      <c r="J264" s="1">
        <v>45584</v>
      </c>
      <c r="K264" t="s">
        <v>46</v>
      </c>
      <c r="L264" s="7">
        <v>16</v>
      </c>
      <c r="M264">
        <f>ROUND(TTrainingSource[[#This Row],[Satisfaction_Score2]],0)</f>
        <v>4</v>
      </c>
      <c r="N264">
        <v>4.0999999999999996</v>
      </c>
    </row>
    <row r="265" spans="1:14" x14ac:dyDescent="0.3">
      <c r="A265" t="s">
        <v>245</v>
      </c>
      <c r="B265" t="str">
        <f>TRIM(TTrainingSource[[#This Row],[EMPloyee_ID2]])</f>
        <v>EMP10127</v>
      </c>
      <c r="C265" t="str">
        <f>IFERROR(VLOOKUP(TTrainingSource[[#This Row],[Employee_ID]],THrList[],3,FALSE),"")</f>
        <v>NGUYEN</v>
      </c>
      <c r="D265" t="str">
        <f>IFERROR(VLOOKUP(TTrainingSource[[#This Row],[Employee_ID]],THrList[],4,FALSE),"")</f>
        <v>Kwame</v>
      </c>
      <c r="E265" t="str">
        <f>IFERROR(VLOOKUP(TTrainingSource[[#This Row],[Employee_ID]],THrList[],10,FALSE),"")</f>
        <v>Human Resources</v>
      </c>
      <c r="F265" t="str">
        <f>TRIM(PROPER(TTrainingSource[[#This Row],[Training_Status2]]))</f>
        <v>Planned</v>
      </c>
      <c r="G265" t="s">
        <v>19</v>
      </c>
      <c r="H265" t="str">
        <f>TRIM(PROPER(TTrainingSource[[#This Row],[Training_Title2]]))</f>
        <v>Financial Modeling Basics</v>
      </c>
      <c r="I265" t="s">
        <v>38</v>
      </c>
      <c r="J265" s="1">
        <v>45431</v>
      </c>
      <c r="K265" t="s">
        <v>46</v>
      </c>
      <c r="L265" s="7">
        <v>0</v>
      </c>
      <c r="M265">
        <f>ROUND(TTrainingSource[[#This Row],[Satisfaction_Score2]],0)</f>
        <v>3</v>
      </c>
      <c r="N265">
        <v>2.7</v>
      </c>
    </row>
    <row r="266" spans="1:14" x14ac:dyDescent="0.3">
      <c r="A266" t="s">
        <v>245</v>
      </c>
      <c r="B266" t="str">
        <f>TRIM(TTrainingSource[[#This Row],[EMPloyee_ID2]])</f>
        <v>EMP10127</v>
      </c>
      <c r="C266" t="str">
        <f>IFERROR(VLOOKUP(TTrainingSource[[#This Row],[Employee_ID]],THrList[],3,FALSE),"")</f>
        <v>NGUYEN</v>
      </c>
      <c r="D266" t="str">
        <f>IFERROR(VLOOKUP(TTrainingSource[[#This Row],[Employee_ID]],THrList[],4,FALSE),"")</f>
        <v>Kwame</v>
      </c>
      <c r="E266" t="str">
        <f>IFERROR(VLOOKUP(TTrainingSource[[#This Row],[Employee_ID]],THrList[],10,FALSE),"")</f>
        <v>Human Resources</v>
      </c>
      <c r="F266" t="str">
        <f>TRIM(PROPER(TTrainingSource[[#This Row],[Training_Status2]]))</f>
        <v>In Progress</v>
      </c>
      <c r="G266" t="s">
        <v>8</v>
      </c>
      <c r="H266" t="str">
        <f>TRIM(PROPER(TTrainingSource[[#This Row],[Training_Title2]]))</f>
        <v>Financial Modeling Basics</v>
      </c>
      <c r="I266" t="s">
        <v>38</v>
      </c>
      <c r="J266" s="1">
        <v>45845</v>
      </c>
      <c r="K266" t="s">
        <v>42</v>
      </c>
      <c r="L266" s="7">
        <v>20</v>
      </c>
      <c r="M266">
        <f>ROUND(TTrainingSource[[#This Row],[Satisfaction_Score2]],0)</f>
        <v>4</v>
      </c>
      <c r="N266">
        <v>4</v>
      </c>
    </row>
    <row r="267" spans="1:14" x14ac:dyDescent="0.3">
      <c r="A267" t="s">
        <v>245</v>
      </c>
      <c r="B267" t="str">
        <f>TRIM(TTrainingSource[[#This Row],[EMPloyee_ID2]])</f>
        <v>EMP10127</v>
      </c>
      <c r="C267" t="str">
        <f>IFERROR(VLOOKUP(TTrainingSource[[#This Row],[Employee_ID]],THrList[],3,FALSE),"")</f>
        <v>NGUYEN</v>
      </c>
      <c r="D267" t="str">
        <f>IFERROR(VLOOKUP(TTrainingSource[[#This Row],[Employee_ID]],THrList[],4,FALSE),"")</f>
        <v>Kwame</v>
      </c>
      <c r="E267" t="str">
        <f>IFERROR(VLOOKUP(TTrainingSource[[#This Row],[Employee_ID]],THrList[],10,FALSE),"")</f>
        <v>Human Resources</v>
      </c>
      <c r="F267" t="str">
        <f>TRIM(PROPER(TTrainingSource[[#This Row],[Training_Status2]]))</f>
        <v>Completed</v>
      </c>
      <c r="G267" t="s">
        <v>17</v>
      </c>
      <c r="H267" t="str">
        <f>TRIM(PROPER(TTrainingSource[[#This Row],[Training_Title2]]))</f>
        <v>Communication For Analysts</v>
      </c>
      <c r="I267" t="s">
        <v>28</v>
      </c>
      <c r="J267" s="1">
        <v>45880</v>
      </c>
      <c r="K267" t="s">
        <v>29</v>
      </c>
      <c r="L267" s="7">
        <v>0</v>
      </c>
      <c r="M267">
        <f>ROUND(TTrainingSource[[#This Row],[Satisfaction_Score2]],0)</f>
        <v>3</v>
      </c>
      <c r="N267">
        <v>2.9</v>
      </c>
    </row>
    <row r="268" spans="1:14" x14ac:dyDescent="0.3">
      <c r="A268" t="s">
        <v>127</v>
      </c>
      <c r="B268" t="str">
        <f>TRIM(TTrainingSource[[#This Row],[EMPloyee_ID2]])</f>
        <v>EMP10128</v>
      </c>
      <c r="C268" t="str">
        <f>IFERROR(VLOOKUP(TTrainingSource[[#This Row],[Employee_ID]],THrList[],3,FALSE),"")</f>
        <v>SINGH</v>
      </c>
      <c r="D268" t="str">
        <f>IFERROR(VLOOKUP(TTrainingSource[[#This Row],[Employee_ID]],THrList[],4,FALSE),"")</f>
        <v>Henry</v>
      </c>
      <c r="E268" t="str">
        <f>IFERROR(VLOOKUP(TTrainingSource[[#This Row],[Employee_ID]],THrList[],10,FALSE),"")</f>
        <v>Operations</v>
      </c>
      <c r="F268" t="str">
        <f>TRIM(PROPER(TTrainingSource[[#This Row],[Training_Status2]]))</f>
        <v>Planned</v>
      </c>
      <c r="G268" t="s">
        <v>128</v>
      </c>
      <c r="H268" t="str">
        <f>TRIM(PROPER(TTrainingSource[[#This Row],[Training_Title2]]))</f>
        <v>Data Visualization Best Practices</v>
      </c>
      <c r="I268" t="s">
        <v>20</v>
      </c>
      <c r="J268" s="1">
        <v>45111</v>
      </c>
      <c r="K268" t="s">
        <v>44</v>
      </c>
      <c r="L268" s="7">
        <v>16</v>
      </c>
      <c r="M268">
        <f>ROUND(TTrainingSource[[#This Row],[Satisfaction_Score2]],0)</f>
        <v>4</v>
      </c>
      <c r="N268">
        <v>3.6</v>
      </c>
    </row>
    <row r="269" spans="1:14" x14ac:dyDescent="0.3">
      <c r="A269" t="s">
        <v>127</v>
      </c>
      <c r="B269" t="str">
        <f>TRIM(TTrainingSource[[#This Row],[EMPloyee_ID2]])</f>
        <v>EMP10128</v>
      </c>
      <c r="C269" t="str">
        <f>IFERROR(VLOOKUP(TTrainingSource[[#This Row],[Employee_ID]],THrList[],3,FALSE),"")</f>
        <v>SINGH</v>
      </c>
      <c r="D269" t="str">
        <f>IFERROR(VLOOKUP(TTrainingSource[[#This Row],[Employee_ID]],THrList[],4,FALSE),"")</f>
        <v>Henry</v>
      </c>
      <c r="E269" t="str">
        <f>IFERROR(VLOOKUP(TTrainingSource[[#This Row],[Employee_ID]],THrList[],10,FALSE),"")</f>
        <v>Operations</v>
      </c>
      <c r="F269" t="str">
        <f>TRIM(PROPER(TTrainingSource[[#This Row],[Training_Status2]]))</f>
        <v>In Progress</v>
      </c>
      <c r="G269" t="s">
        <v>8</v>
      </c>
      <c r="H269" t="str">
        <f>TRIM(PROPER(TTrainingSource[[#This Row],[Training_Title2]]))</f>
        <v>Customer Data Analysis</v>
      </c>
      <c r="I269" t="s">
        <v>31</v>
      </c>
      <c r="J269" s="1">
        <v>45571</v>
      </c>
      <c r="K269" t="s">
        <v>29</v>
      </c>
      <c r="L269" s="7">
        <v>12</v>
      </c>
      <c r="M269">
        <f>ROUND(TTrainingSource[[#This Row],[Satisfaction_Score2]],0)</f>
        <v>3</v>
      </c>
      <c r="N269">
        <v>3.2</v>
      </c>
    </row>
    <row r="270" spans="1:14" x14ac:dyDescent="0.3">
      <c r="A270" t="s">
        <v>601</v>
      </c>
      <c r="B270" t="str">
        <f>TRIM(TTrainingSource[[#This Row],[EMPloyee_ID2]])</f>
        <v>EMP10129</v>
      </c>
      <c r="C270" t="str">
        <f>IFERROR(VLOOKUP(TTrainingSource[[#This Row],[Employee_ID]],THrList[],3,FALSE),"")</f>
        <v>MOORE</v>
      </c>
      <c r="D270" t="str">
        <f>IFERROR(VLOOKUP(TTrainingSource[[#This Row],[Employee_ID]],THrList[],4,FALSE),"")</f>
        <v>Liam</v>
      </c>
      <c r="E270" t="str">
        <f>IFERROR(VLOOKUP(TTrainingSource[[#This Row],[Employee_ID]],THrList[],10,FALSE),"")</f>
        <v>Human Resources</v>
      </c>
      <c r="F270" t="str">
        <f>TRIM(PROPER(TTrainingSource[[#This Row],[Training_Status2]]))</f>
        <v>Completed</v>
      </c>
      <c r="G270" t="s">
        <v>17</v>
      </c>
      <c r="H270" t="str">
        <f>TRIM(PROPER(TTrainingSource[[#This Row],[Training_Title2]]))</f>
        <v>Communication For Analysts</v>
      </c>
      <c r="I270" t="s">
        <v>28</v>
      </c>
      <c r="J270" s="1">
        <v>45577</v>
      </c>
      <c r="K270" t="s">
        <v>32</v>
      </c>
      <c r="L270" s="7">
        <v>12</v>
      </c>
      <c r="M270">
        <f>ROUND(TTrainingSource[[#This Row],[Satisfaction_Score2]],0)</f>
        <v>4</v>
      </c>
      <c r="N270">
        <v>4.0999999999999996</v>
      </c>
    </row>
    <row r="271" spans="1:14" x14ac:dyDescent="0.3">
      <c r="A271" t="s">
        <v>601</v>
      </c>
      <c r="B271" t="str">
        <f>TRIM(TTrainingSource[[#This Row],[EMPloyee_ID2]])</f>
        <v>EMP10129</v>
      </c>
      <c r="C271" t="str">
        <f>IFERROR(VLOOKUP(TTrainingSource[[#This Row],[Employee_ID]],THrList[],3,FALSE),"")</f>
        <v>MOORE</v>
      </c>
      <c r="D271" t="str">
        <f>IFERROR(VLOOKUP(TTrainingSource[[#This Row],[Employee_ID]],THrList[],4,FALSE),"")</f>
        <v>Liam</v>
      </c>
      <c r="E271" t="str">
        <f>IFERROR(VLOOKUP(TTrainingSource[[#This Row],[Employee_ID]],THrList[],10,FALSE),"")</f>
        <v>Human Resources</v>
      </c>
      <c r="F271" t="str">
        <f>TRIM(PROPER(TTrainingSource[[#This Row],[Training_Status2]]))</f>
        <v>Completed</v>
      </c>
      <c r="G271" t="s">
        <v>17</v>
      </c>
      <c r="H271" t="str">
        <f>TRIM(PROPER(TTrainingSource[[#This Row],[Training_Title2]]))</f>
        <v>Introduction To Python For Data</v>
      </c>
      <c r="I271" t="s">
        <v>62</v>
      </c>
      <c r="J271" s="1">
        <v>45393</v>
      </c>
      <c r="K271" t="s">
        <v>44</v>
      </c>
      <c r="L271" s="7">
        <v>12</v>
      </c>
      <c r="M271">
        <f>ROUND(TTrainingSource[[#This Row],[Satisfaction_Score2]],0)</f>
        <v>4</v>
      </c>
      <c r="N271">
        <v>3.9</v>
      </c>
    </row>
    <row r="272" spans="1:14" x14ac:dyDescent="0.3">
      <c r="A272" t="s">
        <v>601</v>
      </c>
      <c r="B272" t="str">
        <f>TRIM(TTrainingSource[[#This Row],[EMPloyee_ID2]])</f>
        <v>EMP10129</v>
      </c>
      <c r="C272" t="str">
        <f>IFERROR(VLOOKUP(TTrainingSource[[#This Row],[Employee_ID]],THrList[],3,FALSE),"")</f>
        <v>MOORE</v>
      </c>
      <c r="D272" t="str">
        <f>IFERROR(VLOOKUP(TTrainingSource[[#This Row],[Employee_ID]],THrList[],4,FALSE),"")</f>
        <v>Liam</v>
      </c>
      <c r="E272" t="str">
        <f>IFERROR(VLOOKUP(TTrainingSource[[#This Row],[Employee_ID]],THrList[],10,FALSE),"")</f>
        <v>Human Resources</v>
      </c>
      <c r="F272" t="str">
        <f>TRIM(PROPER(TTrainingSource[[#This Row],[Training_Status2]]))</f>
        <v>In Progress</v>
      </c>
      <c r="G272" t="s">
        <v>8</v>
      </c>
      <c r="H272" t="str">
        <f>TRIM(PROPER(TTrainingSource[[#This Row],[Training_Title2]]))</f>
        <v>Introduction To Python For Data</v>
      </c>
      <c r="I272" t="s">
        <v>62</v>
      </c>
      <c r="J272" s="1">
        <v>45556</v>
      </c>
      <c r="K272" t="s">
        <v>12</v>
      </c>
      <c r="L272" s="7">
        <v>24</v>
      </c>
      <c r="M272">
        <f>ROUND(TTrainingSource[[#This Row],[Satisfaction_Score2]],0)</f>
        <v>4</v>
      </c>
      <c r="N272">
        <v>4.0999999999999996</v>
      </c>
    </row>
    <row r="273" spans="1:14" x14ac:dyDescent="0.3">
      <c r="A273" t="s">
        <v>374</v>
      </c>
      <c r="B273" t="str">
        <f>TRIM(TTrainingSource[[#This Row],[EMPloyee_ID2]])</f>
        <v>EMP10130</v>
      </c>
      <c r="C273" t="str">
        <f>IFERROR(VLOOKUP(TTrainingSource[[#This Row],[Employee_ID]],THrList[],3,FALSE),"")</f>
        <v>PETIT</v>
      </c>
      <c r="D273" t="str">
        <f>IFERROR(VLOOKUP(TTrainingSource[[#This Row],[Employee_ID]],THrList[],4,FALSE),"")</f>
        <v>Ava</v>
      </c>
      <c r="E273" t="str">
        <f>IFERROR(VLOOKUP(TTrainingSource[[#This Row],[Employee_ID]],THrList[],10,FALSE),"")</f>
        <v>Operations</v>
      </c>
      <c r="F273" t="str">
        <f>TRIM(PROPER(TTrainingSource[[#This Row],[Training_Status2]]))</f>
        <v>In Progress</v>
      </c>
      <c r="G273" t="s">
        <v>8</v>
      </c>
      <c r="H273" t="str">
        <f>TRIM(PROPER(TTrainingSource[[#This Row],[Training_Title2]]))</f>
        <v>Data Visualization Best Practices</v>
      </c>
      <c r="I273" t="s">
        <v>20</v>
      </c>
      <c r="J273" s="1">
        <v>45888</v>
      </c>
      <c r="K273" t="s">
        <v>32</v>
      </c>
      <c r="L273" s="7">
        <v>12</v>
      </c>
      <c r="M273">
        <f>ROUND(TTrainingSource[[#This Row],[Satisfaction_Score2]],0)</f>
        <v>3</v>
      </c>
      <c r="N273">
        <v>2.7</v>
      </c>
    </row>
    <row r="274" spans="1:14" x14ac:dyDescent="0.3">
      <c r="A274" t="s">
        <v>623</v>
      </c>
      <c r="B274" t="str">
        <f>TRIM(TTrainingSource[[#This Row],[EMPloyee_ID2]])</f>
        <v>EMP10130</v>
      </c>
      <c r="C274" t="str">
        <f>IFERROR(VLOOKUP(TTrainingSource[[#This Row],[Employee_ID]],THrList[],3,FALSE),"")</f>
        <v>PETIT</v>
      </c>
      <c r="D274" t="str">
        <f>IFERROR(VLOOKUP(TTrainingSource[[#This Row],[Employee_ID]],THrList[],4,FALSE),"")</f>
        <v>Ava</v>
      </c>
      <c r="E274" t="str">
        <f>IFERROR(VLOOKUP(TTrainingSource[[#This Row],[Employee_ID]],THrList[],10,FALSE),"")</f>
        <v>Operations</v>
      </c>
      <c r="F274" t="str">
        <f>TRIM(PROPER(TTrainingSource[[#This Row],[Training_Status2]]))</f>
        <v>Completed</v>
      </c>
      <c r="G274" t="s">
        <v>17</v>
      </c>
      <c r="H274" t="str">
        <f>TRIM(PROPER(TTrainingSource[[#This Row],[Training_Title2]]))</f>
        <v>Sql For Data Analytics</v>
      </c>
      <c r="I274" t="s">
        <v>26</v>
      </c>
      <c r="J274" s="1">
        <v>45084</v>
      </c>
      <c r="K274" t="s">
        <v>71</v>
      </c>
      <c r="L274" s="7">
        <v>12</v>
      </c>
      <c r="M274">
        <f>ROUND(TTrainingSource[[#This Row],[Satisfaction_Score2]],0)</f>
        <v>5</v>
      </c>
      <c r="N274">
        <v>4.5999999999999996</v>
      </c>
    </row>
    <row r="275" spans="1:14" x14ac:dyDescent="0.3">
      <c r="A275" t="s">
        <v>374</v>
      </c>
      <c r="B275" t="str">
        <f>TRIM(TTrainingSource[[#This Row],[EMPloyee_ID2]])</f>
        <v>EMP10130</v>
      </c>
      <c r="C275" t="str">
        <f>IFERROR(VLOOKUP(TTrainingSource[[#This Row],[Employee_ID]],THrList[],3,FALSE),"")</f>
        <v>PETIT</v>
      </c>
      <c r="D275" t="str">
        <f>IFERROR(VLOOKUP(TTrainingSource[[#This Row],[Employee_ID]],THrList[],4,FALSE),"")</f>
        <v>Ava</v>
      </c>
      <c r="E275" t="str">
        <f>IFERROR(VLOOKUP(TTrainingSource[[#This Row],[Employee_ID]],THrList[],10,FALSE),"")</f>
        <v>Operations</v>
      </c>
      <c r="F275" t="str">
        <f>TRIM(PROPER(TTrainingSource[[#This Row],[Training_Status2]]))</f>
        <v>Completed</v>
      </c>
      <c r="G275" t="s">
        <v>17</v>
      </c>
      <c r="H275" t="str">
        <f>TRIM(PROPER(TTrainingSource[[#This Row],[Training_Title2]]))</f>
        <v>Advanced Excel For Business</v>
      </c>
      <c r="I275" t="s">
        <v>52</v>
      </c>
      <c r="J275" s="1">
        <v>45607</v>
      </c>
      <c r="K275" t="s">
        <v>42</v>
      </c>
      <c r="L275" s="7">
        <v>24</v>
      </c>
      <c r="M275">
        <f>ROUND(TTrainingSource[[#This Row],[Satisfaction_Score2]],0)</f>
        <v>4</v>
      </c>
      <c r="N275">
        <v>3.5</v>
      </c>
    </row>
    <row r="276" spans="1:14" x14ac:dyDescent="0.3">
      <c r="A276" t="s">
        <v>677</v>
      </c>
      <c r="B276" t="str">
        <f>TRIM(TTrainingSource[[#This Row],[EMPloyee_ID2]])</f>
        <v>EMP10131</v>
      </c>
      <c r="C276" t="str">
        <f>IFERROR(VLOOKUP(TTrainingSource[[#This Row],[Employee_ID]],THrList[],3,FALSE),"")</f>
        <v>KHAN</v>
      </c>
      <c r="D276" t="str">
        <f>IFERROR(VLOOKUP(TTrainingSource[[#This Row],[Employee_ID]],THrList[],4,FALSE),"")</f>
        <v>Henry</v>
      </c>
      <c r="E276" t="str">
        <f>IFERROR(VLOOKUP(TTrainingSource[[#This Row],[Employee_ID]],THrList[],10,FALSE),"")</f>
        <v>Operations</v>
      </c>
      <c r="F276" t="str">
        <f>TRIM(PROPER(TTrainingSource[[#This Row],[Training_Status2]]))</f>
        <v>Planned</v>
      </c>
      <c r="G276" t="s">
        <v>19</v>
      </c>
      <c r="H276" t="str">
        <f>TRIM(PROPER(TTrainingSource[[#This Row],[Training_Title2]]))</f>
        <v>Introduction To Python For Data</v>
      </c>
      <c r="I276" t="s">
        <v>62</v>
      </c>
      <c r="J276" s="1">
        <v>45218</v>
      </c>
      <c r="K276" t="s">
        <v>44</v>
      </c>
      <c r="L276" s="7">
        <v>32</v>
      </c>
      <c r="M276">
        <f>ROUND(TTrainingSource[[#This Row],[Satisfaction_Score2]],0)</f>
        <v>5</v>
      </c>
      <c r="N276">
        <v>4.5999999999999996</v>
      </c>
    </row>
    <row r="277" spans="1:14" x14ac:dyDescent="0.3">
      <c r="A277" t="s">
        <v>468</v>
      </c>
      <c r="B277" t="str">
        <f>TRIM(TTrainingSource[[#This Row],[EMPloyee_ID2]])</f>
        <v>EMP10132</v>
      </c>
      <c r="C277" t="str">
        <f>IFERROR(VLOOKUP(TTrainingSource[[#This Row],[Employee_ID]],THrList[],3,FALSE),"")</f>
        <v>DAVIS</v>
      </c>
      <c r="D277" t="str">
        <f>IFERROR(VLOOKUP(TTrainingSource[[#This Row],[Employee_ID]],THrList[],4,FALSE),"")</f>
        <v>Kwame</v>
      </c>
      <c r="E277" t="str">
        <f>IFERROR(VLOOKUP(TTrainingSource[[#This Row],[Employee_ID]],THrList[],10,FALSE),"")</f>
        <v>Marketing</v>
      </c>
      <c r="F277" t="str">
        <f>TRIM(PROPER(TTrainingSource[[#This Row],[Training_Status2]]))</f>
        <v>In Progress</v>
      </c>
      <c r="G277" t="s">
        <v>8</v>
      </c>
      <c r="H277" t="str">
        <f>TRIM(PROPER(TTrainingSource[[#This Row],[Training_Title2]]))</f>
        <v>Business Intelligence With Tableau</v>
      </c>
      <c r="I277" t="s">
        <v>22</v>
      </c>
      <c r="J277" s="1">
        <v>45052</v>
      </c>
      <c r="K277" t="s">
        <v>29</v>
      </c>
      <c r="L277" s="7">
        <v>16</v>
      </c>
      <c r="M277">
        <f>ROUND(TTrainingSource[[#This Row],[Satisfaction_Score2]],0)</f>
        <v>3</v>
      </c>
      <c r="N277">
        <v>3.1</v>
      </c>
    </row>
    <row r="278" spans="1:14" x14ac:dyDescent="0.3">
      <c r="A278" t="s">
        <v>490</v>
      </c>
      <c r="B278" t="str">
        <f>TRIM(TTrainingSource[[#This Row],[EMPloyee_ID2]])</f>
        <v>EMP10132</v>
      </c>
      <c r="C278" t="str">
        <f>IFERROR(VLOOKUP(TTrainingSource[[#This Row],[Employee_ID]],THrList[],3,FALSE),"")</f>
        <v>DAVIS</v>
      </c>
      <c r="D278" t="str">
        <f>IFERROR(VLOOKUP(TTrainingSource[[#This Row],[Employee_ID]],THrList[],4,FALSE),"")</f>
        <v>Kwame</v>
      </c>
      <c r="E278" t="str">
        <f>IFERROR(VLOOKUP(TTrainingSource[[#This Row],[Employee_ID]],THrList[],10,FALSE),"")</f>
        <v>Marketing</v>
      </c>
      <c r="F278" t="str">
        <f>TRIM(PROPER(TTrainingSource[[#This Row],[Training_Status2]]))</f>
        <v>Completed</v>
      </c>
      <c r="G278" t="s">
        <v>17</v>
      </c>
      <c r="H278" t="str">
        <f>TRIM(PROPER(TTrainingSource[[#This Row],[Training_Title2]]))</f>
        <v>Customer Data Analysis</v>
      </c>
      <c r="I278" t="s">
        <v>491</v>
      </c>
      <c r="J278" s="1">
        <v>45917</v>
      </c>
      <c r="K278" t="s">
        <v>98</v>
      </c>
      <c r="L278" s="7">
        <v>40</v>
      </c>
      <c r="M278">
        <f>ROUND(TTrainingSource[[#This Row],[Satisfaction_Score2]],0)</f>
        <v>4</v>
      </c>
      <c r="N278">
        <v>4.4000000000000004</v>
      </c>
    </row>
    <row r="279" spans="1:14" x14ac:dyDescent="0.3">
      <c r="A279" t="s">
        <v>490</v>
      </c>
      <c r="B279" t="str">
        <f>TRIM(TTrainingSource[[#This Row],[EMPloyee_ID2]])</f>
        <v>EMP10132</v>
      </c>
      <c r="C279" t="str">
        <f>IFERROR(VLOOKUP(TTrainingSource[[#This Row],[Employee_ID]],THrList[],3,FALSE),"")</f>
        <v>DAVIS</v>
      </c>
      <c r="D279" t="str">
        <f>IFERROR(VLOOKUP(TTrainingSource[[#This Row],[Employee_ID]],THrList[],4,FALSE),"")</f>
        <v>Kwame</v>
      </c>
      <c r="E279" t="str">
        <f>IFERROR(VLOOKUP(TTrainingSource[[#This Row],[Employee_ID]],THrList[],10,FALSE),"")</f>
        <v>Marketing</v>
      </c>
      <c r="F279" t="str">
        <f>TRIM(PROPER(TTrainingSource[[#This Row],[Training_Status2]]))</f>
        <v>In Progress</v>
      </c>
      <c r="G279" t="s">
        <v>156</v>
      </c>
      <c r="H279" t="str">
        <f>TRIM(PROPER(TTrainingSource[[#This Row],[Training_Title2]]))</f>
        <v>Communication For Analysts</v>
      </c>
      <c r="I279" t="s">
        <v>28</v>
      </c>
      <c r="J279" s="1">
        <v>45097</v>
      </c>
      <c r="K279" t="s">
        <v>32</v>
      </c>
      <c r="L279" s="7">
        <v>8</v>
      </c>
      <c r="M279">
        <f>ROUND(TTrainingSource[[#This Row],[Satisfaction_Score2]],0)</f>
        <v>5</v>
      </c>
      <c r="N279">
        <v>5</v>
      </c>
    </row>
    <row r="280" spans="1:14" x14ac:dyDescent="0.3">
      <c r="A280" t="s">
        <v>490</v>
      </c>
      <c r="B280" t="str">
        <f>TRIM(TTrainingSource[[#This Row],[EMPloyee_ID2]])</f>
        <v>EMP10132</v>
      </c>
      <c r="C280" t="str">
        <f>IFERROR(VLOOKUP(TTrainingSource[[#This Row],[Employee_ID]],THrList[],3,FALSE),"")</f>
        <v>DAVIS</v>
      </c>
      <c r="D280" t="str">
        <f>IFERROR(VLOOKUP(TTrainingSource[[#This Row],[Employee_ID]],THrList[],4,FALSE),"")</f>
        <v>Kwame</v>
      </c>
      <c r="E280" t="str">
        <f>IFERROR(VLOOKUP(TTrainingSource[[#This Row],[Employee_ID]],THrList[],10,FALSE),"")</f>
        <v>Marketing</v>
      </c>
      <c r="F280" t="str">
        <f>TRIM(PROPER(TTrainingSource[[#This Row],[Training_Status2]]))</f>
        <v>Completed</v>
      </c>
      <c r="G280" t="s">
        <v>17</v>
      </c>
      <c r="H280" t="str">
        <f>TRIM(PROPER(TTrainingSource[[#This Row],[Training_Title2]]))</f>
        <v>Data Visualization Best Practices</v>
      </c>
      <c r="I280" t="s">
        <v>113</v>
      </c>
      <c r="J280" s="1">
        <v>45926</v>
      </c>
      <c r="K280" t="s">
        <v>1072</v>
      </c>
      <c r="L280" s="7">
        <v>32</v>
      </c>
      <c r="M280">
        <f>ROUND(TTrainingSource[[#This Row],[Satisfaction_Score2]],0)</f>
        <v>4</v>
      </c>
      <c r="N280">
        <v>4.3</v>
      </c>
    </row>
    <row r="281" spans="1:14" x14ac:dyDescent="0.3">
      <c r="A281" t="s">
        <v>91</v>
      </c>
      <c r="B281" t="str">
        <f>TRIM(TTrainingSource[[#This Row],[EMPloyee_ID2]])</f>
        <v>EMP10133</v>
      </c>
      <c r="C281" t="str">
        <f>IFERROR(VLOOKUP(TTrainingSource[[#This Row],[Employee_ID]],THrList[],3,FALSE),"")</f>
        <v>DIOP</v>
      </c>
      <c r="D281" t="str">
        <f>IFERROR(VLOOKUP(TTrainingSource[[#This Row],[Employee_ID]],THrList[],4,FALSE),"")</f>
        <v>Ada</v>
      </c>
      <c r="E281" t="str">
        <f>IFERROR(VLOOKUP(TTrainingSource[[#This Row],[Employee_ID]],THrList[],10,FALSE),"")</f>
        <v>Operations</v>
      </c>
      <c r="F281" t="str">
        <f>TRIM(PROPER(TTrainingSource[[#This Row],[Training_Status2]]))</f>
        <v>Completed</v>
      </c>
      <c r="G281" t="s">
        <v>17</v>
      </c>
      <c r="H281" t="str">
        <f>TRIM(PROPER(TTrainingSource[[#This Row],[Training_Title2]]))</f>
        <v>Introduction To Python For Data</v>
      </c>
      <c r="I281" t="s">
        <v>62</v>
      </c>
      <c r="J281" s="1">
        <v>45221</v>
      </c>
      <c r="K281" t="s">
        <v>32</v>
      </c>
      <c r="L281" s="7">
        <v>40</v>
      </c>
      <c r="M281">
        <f>ROUND(TTrainingSource[[#This Row],[Satisfaction_Score2]],0)</f>
        <v>3</v>
      </c>
      <c r="N281">
        <v>3.3</v>
      </c>
    </row>
    <row r="282" spans="1:14" x14ac:dyDescent="0.3">
      <c r="A282" t="s">
        <v>91</v>
      </c>
      <c r="B282" t="str">
        <f>TRIM(TTrainingSource[[#This Row],[EMPloyee_ID2]])</f>
        <v>EMP10133</v>
      </c>
      <c r="C282" t="str">
        <f>IFERROR(VLOOKUP(TTrainingSource[[#This Row],[Employee_ID]],THrList[],3,FALSE),"")</f>
        <v>DIOP</v>
      </c>
      <c r="D282" t="str">
        <f>IFERROR(VLOOKUP(TTrainingSource[[#This Row],[Employee_ID]],THrList[],4,FALSE),"")</f>
        <v>Ada</v>
      </c>
      <c r="E282" t="str">
        <f>IFERROR(VLOOKUP(TTrainingSource[[#This Row],[Employee_ID]],THrList[],10,FALSE),"")</f>
        <v>Operations</v>
      </c>
      <c r="F282" t="str">
        <f>TRIM(PROPER(TTrainingSource[[#This Row],[Training_Status2]]))</f>
        <v>Completed</v>
      </c>
      <c r="G282" t="s">
        <v>17</v>
      </c>
      <c r="H282" t="str">
        <f>TRIM(PROPER(TTrainingSource[[#This Row],[Training_Title2]]))</f>
        <v>Data Visualization Best Practices</v>
      </c>
      <c r="I282" t="s">
        <v>20</v>
      </c>
      <c r="J282" s="1">
        <v>45733</v>
      </c>
      <c r="K282" t="s">
        <v>44</v>
      </c>
      <c r="L282" s="7">
        <v>20</v>
      </c>
      <c r="M282">
        <f>ROUND(TTrainingSource[[#This Row],[Satisfaction_Score2]],0)</f>
        <v>5</v>
      </c>
      <c r="N282">
        <v>5</v>
      </c>
    </row>
    <row r="283" spans="1:14" x14ac:dyDescent="0.3">
      <c r="A283" t="s">
        <v>91</v>
      </c>
      <c r="B283" t="str">
        <f>TRIM(TTrainingSource[[#This Row],[EMPloyee_ID2]])</f>
        <v>EMP10133</v>
      </c>
      <c r="C283" t="str">
        <f>IFERROR(VLOOKUP(TTrainingSource[[#This Row],[Employee_ID]],THrList[],3,FALSE),"")</f>
        <v>DIOP</v>
      </c>
      <c r="D283" t="str">
        <f>IFERROR(VLOOKUP(TTrainingSource[[#This Row],[Employee_ID]],THrList[],4,FALSE),"")</f>
        <v>Ada</v>
      </c>
      <c r="E283" t="str">
        <f>IFERROR(VLOOKUP(TTrainingSource[[#This Row],[Employee_ID]],THrList[],10,FALSE),"")</f>
        <v>Operations</v>
      </c>
      <c r="F283" t="str">
        <f>TRIM(PROPER(TTrainingSource[[#This Row],[Training_Status2]]))</f>
        <v>Planned</v>
      </c>
      <c r="G283" t="s">
        <v>19</v>
      </c>
      <c r="H283" t="str">
        <f>TRIM(PROPER(TTrainingSource[[#This Row],[Training_Title2]]))</f>
        <v>Digital Marketing Strategy</v>
      </c>
      <c r="I283" t="s">
        <v>43</v>
      </c>
      <c r="J283" s="1">
        <v>45350</v>
      </c>
      <c r="K283" t="s">
        <v>98</v>
      </c>
      <c r="L283" s="7">
        <v>6</v>
      </c>
      <c r="M283">
        <f>ROUND(TTrainingSource[[#This Row],[Satisfaction_Score2]],0)</f>
        <v>5</v>
      </c>
      <c r="N283">
        <v>4.8</v>
      </c>
    </row>
    <row r="284" spans="1:14" x14ac:dyDescent="0.3">
      <c r="A284" t="s">
        <v>647</v>
      </c>
      <c r="B284" t="str">
        <f>TRIM(TTrainingSource[[#This Row],[EMPloyee_ID2]])</f>
        <v>EMP10134</v>
      </c>
      <c r="C284" t="str">
        <f>IFERROR(VLOOKUP(TTrainingSource[[#This Row],[Employee_ID]],THrList[],3,FALSE),"")</f>
        <v>SMITH</v>
      </c>
      <c r="D284" t="str">
        <f>IFERROR(VLOOKUP(TTrainingSource[[#This Row],[Employee_ID]],THrList[],4,FALSE),"")</f>
        <v>Liam</v>
      </c>
      <c r="E284" t="str">
        <f>IFERROR(VLOOKUP(TTrainingSource[[#This Row],[Employee_ID]],THrList[],10,FALSE),"")</f>
        <v>Human Resources</v>
      </c>
      <c r="F284" t="str">
        <f>TRIM(PROPER(TTrainingSource[[#This Row],[Training_Status2]]))</f>
        <v>Completed</v>
      </c>
      <c r="G284" t="s">
        <v>69</v>
      </c>
      <c r="H284" t="str">
        <f>TRIM(PROPER(TTrainingSource[[#This Row],[Training_Title2]]))</f>
        <v>Advanced Excel For Business</v>
      </c>
      <c r="I284" t="s">
        <v>52</v>
      </c>
      <c r="J284" s="1">
        <v>45657</v>
      </c>
      <c r="K284" t="s">
        <v>29</v>
      </c>
      <c r="L284" s="7">
        <v>8</v>
      </c>
      <c r="M284">
        <f>ROUND(TTrainingSource[[#This Row],[Satisfaction_Score2]],0)</f>
        <v>4</v>
      </c>
      <c r="N284">
        <v>3.9</v>
      </c>
    </row>
    <row r="285" spans="1:14" x14ac:dyDescent="0.3">
      <c r="A285" t="s">
        <v>590</v>
      </c>
      <c r="B285" t="str">
        <f>TRIM(TTrainingSource[[#This Row],[EMPloyee_ID2]])</f>
        <v>EMP10135</v>
      </c>
      <c r="C285" t="str">
        <f>IFERROR(VLOOKUP(TTrainingSource[[#This Row],[Employee_ID]],THrList[],3,FALSE),"")</f>
        <v>DIALLO</v>
      </c>
      <c r="D285" t="str">
        <f>IFERROR(VLOOKUP(TTrainingSource[[#This Row],[Employee_ID]],THrList[],4,FALSE),"")</f>
        <v>Marie</v>
      </c>
      <c r="E285" t="str">
        <f>IFERROR(VLOOKUP(TTrainingSource[[#This Row],[Employee_ID]],THrList[],10,FALSE),"")</f>
        <v>Marketing</v>
      </c>
      <c r="F285" t="str">
        <f>TRIM(PROPER(TTrainingSource[[#This Row],[Training_Status2]]))</f>
        <v>Completed</v>
      </c>
      <c r="G285" t="s">
        <v>69</v>
      </c>
      <c r="H285" t="str">
        <f>TRIM(PROPER(TTrainingSource[[#This Row],[Training_Title2]]))</f>
        <v>Project Management Essentials</v>
      </c>
      <c r="I285" t="s">
        <v>14</v>
      </c>
      <c r="J285" s="1">
        <v>45281</v>
      </c>
      <c r="K285" t="s">
        <v>39</v>
      </c>
      <c r="L285" s="7">
        <v>8</v>
      </c>
      <c r="M285">
        <f>ROUND(TTrainingSource[[#This Row],[Satisfaction_Score2]],0)</f>
        <v>4</v>
      </c>
      <c r="N285">
        <v>4.3</v>
      </c>
    </row>
    <row r="286" spans="1:14" x14ac:dyDescent="0.3">
      <c r="A286" t="s">
        <v>590</v>
      </c>
      <c r="B286" t="str">
        <f>TRIM(TTrainingSource[[#This Row],[EMPloyee_ID2]])</f>
        <v>EMP10135</v>
      </c>
      <c r="C286" t="str">
        <f>IFERROR(VLOOKUP(TTrainingSource[[#This Row],[Employee_ID]],THrList[],3,FALSE),"")</f>
        <v>DIALLO</v>
      </c>
      <c r="D286" t="str">
        <f>IFERROR(VLOOKUP(TTrainingSource[[#This Row],[Employee_ID]],THrList[],4,FALSE),"")</f>
        <v>Marie</v>
      </c>
      <c r="E286" t="str">
        <f>IFERROR(VLOOKUP(TTrainingSource[[#This Row],[Employee_ID]],THrList[],10,FALSE),"")</f>
        <v>Marketing</v>
      </c>
      <c r="F286" t="str">
        <f>TRIM(PROPER(TTrainingSource[[#This Row],[Training_Status2]]))</f>
        <v>In Progress</v>
      </c>
      <c r="G286" t="s">
        <v>8</v>
      </c>
      <c r="H286" t="str">
        <f>TRIM(PROPER(TTrainingSource[[#This Row],[Training_Title2]]))</f>
        <v>Project Management Essentials</v>
      </c>
      <c r="I286" t="s">
        <v>14</v>
      </c>
      <c r="J286" s="1">
        <v>45455</v>
      </c>
      <c r="K286" t="s">
        <v>42</v>
      </c>
      <c r="L286" s="7">
        <v>12</v>
      </c>
      <c r="M286">
        <f>ROUND(TTrainingSource[[#This Row],[Satisfaction_Score2]],0)</f>
        <v>4</v>
      </c>
      <c r="N286">
        <v>3.9</v>
      </c>
    </row>
    <row r="287" spans="1:14" x14ac:dyDescent="0.3">
      <c r="A287" t="s">
        <v>662</v>
      </c>
      <c r="B287" t="str">
        <f>TRIM(TTrainingSource[[#This Row],[EMPloyee_ID2]])</f>
        <v>EMP10136</v>
      </c>
      <c r="C287" t="str">
        <f>IFERROR(VLOOKUP(TTrainingSource[[#This Row],[Employee_ID]],THrList[],3,FALSE),"")</f>
        <v>MENSAH</v>
      </c>
      <c r="D287" t="str">
        <f>IFERROR(VLOOKUP(TTrainingSource[[#This Row],[Employee_ID]],THrList[],4,FALSE),"")</f>
        <v xml:space="preserve">Ethan </v>
      </c>
      <c r="E287" t="str">
        <f>IFERROR(VLOOKUP(TTrainingSource[[#This Row],[Employee_ID]],THrList[],10,FALSE),"")</f>
        <v>Sales</v>
      </c>
      <c r="F287" t="str">
        <f>TRIM(PROPER(TTrainingSource[[#This Row],[Training_Status2]]))</f>
        <v>Completed</v>
      </c>
      <c r="G287" t="s">
        <v>17</v>
      </c>
      <c r="H287" t="str">
        <f>TRIM(PROPER(TTrainingSource[[#This Row],[Training_Title2]]))</f>
        <v>Power Bi Reporting</v>
      </c>
      <c r="I287" t="s">
        <v>24</v>
      </c>
      <c r="J287" s="1">
        <v>45925</v>
      </c>
      <c r="K287" t="s">
        <v>46</v>
      </c>
      <c r="L287" s="7">
        <v>0</v>
      </c>
      <c r="M287">
        <f>ROUND(TTrainingSource[[#This Row],[Satisfaction_Score2]],0)</f>
        <v>4</v>
      </c>
      <c r="N287">
        <v>3.8</v>
      </c>
    </row>
    <row r="288" spans="1:14" x14ac:dyDescent="0.3">
      <c r="A288" t="s">
        <v>662</v>
      </c>
      <c r="B288" t="str">
        <f>TRIM(TTrainingSource[[#This Row],[EMPloyee_ID2]])</f>
        <v>EMP10136</v>
      </c>
      <c r="C288" t="str">
        <f>IFERROR(VLOOKUP(TTrainingSource[[#This Row],[Employee_ID]],THrList[],3,FALSE),"")</f>
        <v>MENSAH</v>
      </c>
      <c r="D288" t="str">
        <f>IFERROR(VLOOKUP(TTrainingSource[[#This Row],[Employee_ID]],THrList[],4,FALSE),"")</f>
        <v xml:space="preserve">Ethan </v>
      </c>
      <c r="E288" t="str">
        <f>IFERROR(VLOOKUP(TTrainingSource[[#This Row],[Employee_ID]],THrList[],10,FALSE),"")</f>
        <v>Sales</v>
      </c>
      <c r="F288" t="str">
        <f>TRIM(PROPER(TTrainingSource[[#This Row],[Training_Status2]]))</f>
        <v>Completed</v>
      </c>
      <c r="G288" t="s">
        <v>17</v>
      </c>
      <c r="H288" t="str">
        <f>TRIM(PROPER(TTrainingSource[[#This Row],[Training_Title2]]))</f>
        <v>Communication For Analysts</v>
      </c>
      <c r="I288" t="s">
        <v>401</v>
      </c>
      <c r="J288" s="1">
        <v>45246</v>
      </c>
      <c r="K288" t="s">
        <v>98</v>
      </c>
      <c r="L288" s="7">
        <v>40</v>
      </c>
      <c r="M288">
        <f>ROUND(TTrainingSource[[#This Row],[Satisfaction_Score2]],0)</f>
        <v>3</v>
      </c>
      <c r="N288">
        <v>3</v>
      </c>
    </row>
    <row r="289" spans="1:14" x14ac:dyDescent="0.3">
      <c r="A289" t="s">
        <v>493</v>
      </c>
      <c r="B289" t="str">
        <f>TRIM(TTrainingSource[[#This Row],[EMPloyee_ID2]])</f>
        <v>EMP10137</v>
      </c>
      <c r="C289" t="str">
        <f>IFERROR(VLOOKUP(TTrainingSource[[#This Row],[Employee_ID]],THrList[],3,FALSE),"")</f>
        <v>NGUYEN</v>
      </c>
      <c r="D289" t="str">
        <f>IFERROR(VLOOKUP(TTrainingSource[[#This Row],[Employee_ID]],THrList[],4,FALSE),"")</f>
        <v>Nadia</v>
      </c>
      <c r="E289" t="str">
        <f>IFERROR(VLOOKUP(TTrainingSource[[#This Row],[Employee_ID]],THrList[],10,FALSE),"")</f>
        <v>IT</v>
      </c>
      <c r="F289" t="str">
        <f>TRIM(PROPER(TTrainingSource[[#This Row],[Training_Status2]]))</f>
        <v>In Progress</v>
      </c>
      <c r="G289" t="s">
        <v>8</v>
      </c>
      <c r="H289" t="str">
        <f>TRIM(PROPER(TTrainingSource[[#This Row],[Training_Title2]]))</f>
        <v>Introduction To Python For Data</v>
      </c>
      <c r="I289" t="s">
        <v>467</v>
      </c>
      <c r="J289" s="1">
        <v>45568</v>
      </c>
      <c r="K289" t="s">
        <v>29</v>
      </c>
      <c r="L289" s="7">
        <v>24</v>
      </c>
      <c r="M289">
        <f>ROUND(TTrainingSource[[#This Row],[Satisfaction_Score2]],0)</f>
        <v>5</v>
      </c>
      <c r="N289">
        <v>4.9000000000000004</v>
      </c>
    </row>
    <row r="290" spans="1:14" x14ac:dyDescent="0.3">
      <c r="A290" t="s">
        <v>251</v>
      </c>
      <c r="B290" t="str">
        <f>TRIM(TTrainingSource[[#This Row],[EMPloyee_ID2]])</f>
        <v>EMP10138</v>
      </c>
      <c r="C290" t="str">
        <f>IFERROR(VLOOKUP(TTrainingSource[[#This Row],[Employee_ID]],THrList[],3,FALSE),"")</f>
        <v>MARTINEZ</v>
      </c>
      <c r="D290" t="str">
        <f>IFERROR(VLOOKUP(TTrainingSource[[#This Row],[Employee_ID]],THrList[],4,FALSE),"")</f>
        <v>Ava</v>
      </c>
      <c r="E290" t="str">
        <f>IFERROR(VLOOKUP(TTrainingSource[[#This Row],[Employee_ID]],THrList[],10,FALSE),"")</f>
        <v>Customer Support</v>
      </c>
      <c r="F290" t="str">
        <f>TRIM(PROPER(TTrainingSource[[#This Row],[Training_Status2]]))</f>
        <v>In Progress</v>
      </c>
      <c r="G290" t="s">
        <v>8</v>
      </c>
      <c r="H290" t="str">
        <f>TRIM(PROPER(TTrainingSource[[#This Row],[Training_Title2]]))</f>
        <v>Financial Modeling Basics</v>
      </c>
      <c r="I290" t="s">
        <v>38</v>
      </c>
      <c r="J290" s="1">
        <v>45641</v>
      </c>
      <c r="K290" t="s">
        <v>32</v>
      </c>
      <c r="L290" s="7">
        <v>4</v>
      </c>
      <c r="M290">
        <f>ROUND(TTrainingSource[[#This Row],[Satisfaction_Score2]],0)</f>
        <v>4</v>
      </c>
      <c r="N290">
        <v>4.2</v>
      </c>
    </row>
    <row r="291" spans="1:14" x14ac:dyDescent="0.3">
      <c r="A291" t="s">
        <v>929</v>
      </c>
      <c r="B291" t="str">
        <f>TRIM(TTrainingSource[[#This Row],[EMPloyee_ID2]])</f>
        <v>EMP10139</v>
      </c>
      <c r="C291" t="str">
        <f>IFERROR(VLOOKUP(TTrainingSource[[#This Row],[Employee_ID]],THrList[],3,FALSE),"")</f>
        <v>TOURE</v>
      </c>
      <c r="D291" t="str">
        <f>IFERROR(VLOOKUP(TTrainingSource[[#This Row],[Employee_ID]],THrList[],4,FALSE),"")</f>
        <v>Julien</v>
      </c>
      <c r="E291" t="str">
        <f>IFERROR(VLOOKUP(TTrainingSource[[#This Row],[Employee_ID]],THrList[],10,FALSE),"")</f>
        <v>Customer Support</v>
      </c>
      <c r="F291" t="str">
        <f>TRIM(PROPER(TTrainingSource[[#This Row],[Training_Status2]]))</f>
        <v>Completed</v>
      </c>
      <c r="G291" t="s">
        <v>17</v>
      </c>
      <c r="H291" t="str">
        <f>TRIM(PROPER(TTrainingSource[[#This Row],[Training_Title2]]))</f>
        <v>Data Analysis Fundamentals</v>
      </c>
      <c r="I291" t="s">
        <v>200</v>
      </c>
      <c r="J291" s="1">
        <v>44897</v>
      </c>
      <c r="K291" t="s">
        <v>29</v>
      </c>
      <c r="L291" s="7">
        <v>12</v>
      </c>
      <c r="M291">
        <f>ROUND(TTrainingSource[[#This Row],[Satisfaction_Score2]],0)</f>
        <v>4</v>
      </c>
      <c r="N291">
        <v>4.0999999999999996</v>
      </c>
    </row>
    <row r="292" spans="1:14" x14ac:dyDescent="0.3">
      <c r="A292" t="s">
        <v>929</v>
      </c>
      <c r="B292" t="str">
        <f>TRIM(TTrainingSource[[#This Row],[EMPloyee_ID2]])</f>
        <v>EMP10139</v>
      </c>
      <c r="C292" t="str">
        <f>IFERROR(VLOOKUP(TTrainingSource[[#This Row],[Employee_ID]],THrList[],3,FALSE),"")</f>
        <v>TOURE</v>
      </c>
      <c r="D292" t="str">
        <f>IFERROR(VLOOKUP(TTrainingSource[[#This Row],[Employee_ID]],THrList[],4,FALSE),"")</f>
        <v>Julien</v>
      </c>
      <c r="E292" t="str">
        <f>IFERROR(VLOOKUP(TTrainingSource[[#This Row],[Employee_ID]],THrList[],10,FALSE),"")</f>
        <v>Customer Support</v>
      </c>
      <c r="F292" t="str">
        <f>TRIM(PROPER(TTrainingSource[[#This Row],[Training_Status2]]))</f>
        <v>Planned</v>
      </c>
      <c r="G292" t="s">
        <v>19</v>
      </c>
      <c r="H292" t="str">
        <f>TRIM(PROPER(TTrainingSource[[#This Row],[Training_Title2]]))</f>
        <v>Financial Modeling Basics</v>
      </c>
      <c r="I292" t="s">
        <v>38</v>
      </c>
      <c r="J292" s="1">
        <v>45561</v>
      </c>
      <c r="K292" t="s">
        <v>12</v>
      </c>
      <c r="L292" s="7">
        <v>32</v>
      </c>
      <c r="M292">
        <f>ROUND(TTrainingSource[[#This Row],[Satisfaction_Score2]],0)</f>
        <v>3</v>
      </c>
      <c r="N292">
        <v>3.2</v>
      </c>
    </row>
    <row r="293" spans="1:14" x14ac:dyDescent="0.3">
      <c r="A293" t="s">
        <v>193</v>
      </c>
      <c r="B293" t="str">
        <f>TRIM(TTrainingSource[[#This Row],[EMPloyee_ID2]])</f>
        <v>EMP10140</v>
      </c>
      <c r="C293" t="str">
        <f>IFERROR(VLOOKUP(TTrainingSource[[#This Row],[Employee_ID]],THrList[],3,FALSE),"")</f>
        <v xml:space="preserve"> CAMARA</v>
      </c>
      <c r="D293" t="str">
        <f>IFERROR(VLOOKUP(TTrainingSource[[#This Row],[Employee_ID]],THrList[],4,FALSE),"")</f>
        <v>Jean</v>
      </c>
      <c r="E293" t="str">
        <f>IFERROR(VLOOKUP(TTrainingSource[[#This Row],[Employee_ID]],THrList[],10,FALSE),"")</f>
        <v>Procurement</v>
      </c>
      <c r="F293" t="str">
        <f>TRIM(PROPER(TTrainingSource[[#This Row],[Training_Status2]]))</f>
        <v>Completed</v>
      </c>
      <c r="G293" t="s">
        <v>35</v>
      </c>
      <c r="H293" t="str">
        <f>TRIM(PROPER(TTrainingSource[[#This Row],[Training_Title2]]))</f>
        <v>Data Visualization Best Practices</v>
      </c>
      <c r="I293" t="s">
        <v>20</v>
      </c>
      <c r="J293" s="1">
        <v>45090</v>
      </c>
      <c r="K293" t="s">
        <v>42</v>
      </c>
      <c r="L293" s="7">
        <v>32</v>
      </c>
      <c r="M293">
        <f>ROUND(TTrainingSource[[#This Row],[Satisfaction_Score2]],0)</f>
        <v>3</v>
      </c>
      <c r="N293">
        <v>3.1</v>
      </c>
    </row>
    <row r="294" spans="1:14" x14ac:dyDescent="0.3">
      <c r="A294" t="s">
        <v>193</v>
      </c>
      <c r="B294" t="str">
        <f>TRIM(TTrainingSource[[#This Row],[EMPloyee_ID2]])</f>
        <v>EMP10140</v>
      </c>
      <c r="C294" t="str">
        <f>IFERROR(VLOOKUP(TTrainingSource[[#This Row],[Employee_ID]],THrList[],3,FALSE),"")</f>
        <v xml:space="preserve"> CAMARA</v>
      </c>
      <c r="D294" t="str">
        <f>IFERROR(VLOOKUP(TTrainingSource[[#This Row],[Employee_ID]],THrList[],4,FALSE),"")</f>
        <v>Jean</v>
      </c>
      <c r="E294" t="str">
        <f>IFERROR(VLOOKUP(TTrainingSource[[#This Row],[Employee_ID]],THrList[],10,FALSE),"")</f>
        <v>Procurement</v>
      </c>
      <c r="F294" t="str">
        <f>TRIM(PROPER(TTrainingSource[[#This Row],[Training_Status2]]))</f>
        <v>Completed</v>
      </c>
      <c r="G294" t="s">
        <v>17</v>
      </c>
      <c r="H294" t="str">
        <f>TRIM(PROPER(TTrainingSource[[#This Row],[Training_Title2]]))</f>
        <v>Digital Marketing Strategy</v>
      </c>
      <c r="I294" t="s">
        <v>43</v>
      </c>
      <c r="J294" s="1">
        <v>45563</v>
      </c>
      <c r="K294" t="s">
        <v>46</v>
      </c>
      <c r="L294" s="7">
        <v>0</v>
      </c>
      <c r="M294">
        <f>ROUND(TTrainingSource[[#This Row],[Satisfaction_Score2]],0)</f>
        <v>3</v>
      </c>
      <c r="N294">
        <v>3.2</v>
      </c>
    </row>
    <row r="295" spans="1:14" x14ac:dyDescent="0.3">
      <c r="A295" t="s">
        <v>193</v>
      </c>
      <c r="B295" t="str">
        <f>TRIM(TTrainingSource[[#This Row],[EMPloyee_ID2]])</f>
        <v>EMP10140</v>
      </c>
      <c r="C295" t="str">
        <f>IFERROR(VLOOKUP(TTrainingSource[[#This Row],[Employee_ID]],THrList[],3,FALSE),"")</f>
        <v xml:space="preserve"> CAMARA</v>
      </c>
      <c r="D295" t="str">
        <f>IFERROR(VLOOKUP(TTrainingSource[[#This Row],[Employee_ID]],THrList[],4,FALSE),"")</f>
        <v>Jean</v>
      </c>
      <c r="E295" t="str">
        <f>IFERROR(VLOOKUP(TTrainingSource[[#This Row],[Employee_ID]],THrList[],10,FALSE),"")</f>
        <v>Procurement</v>
      </c>
      <c r="F295" t="str">
        <f>TRIM(PROPER(TTrainingSource[[#This Row],[Training_Status2]]))</f>
        <v>In Progress</v>
      </c>
      <c r="G295" t="s">
        <v>67</v>
      </c>
      <c r="H295" t="str">
        <f>TRIM(PROPER(TTrainingSource[[#This Row],[Training_Title2]]))</f>
        <v>Financial Modeling Basics</v>
      </c>
      <c r="I295" t="s">
        <v>38</v>
      </c>
      <c r="J295" s="1">
        <v>45808</v>
      </c>
      <c r="K295" t="s">
        <v>15</v>
      </c>
      <c r="L295" s="7">
        <v>6</v>
      </c>
      <c r="M295">
        <f>ROUND(TTrainingSource[[#This Row],[Satisfaction_Score2]],0)</f>
        <v>3</v>
      </c>
      <c r="N295">
        <v>2.9</v>
      </c>
    </row>
    <row r="296" spans="1:14" x14ac:dyDescent="0.3">
      <c r="A296" t="s">
        <v>193</v>
      </c>
      <c r="B296" t="str">
        <f>TRIM(TTrainingSource[[#This Row],[EMPloyee_ID2]])</f>
        <v>EMP10140</v>
      </c>
      <c r="C296" t="str">
        <f>IFERROR(VLOOKUP(TTrainingSource[[#This Row],[Employee_ID]],THrList[],3,FALSE),"")</f>
        <v xml:space="preserve"> CAMARA</v>
      </c>
      <c r="D296" t="str">
        <f>IFERROR(VLOOKUP(TTrainingSource[[#This Row],[Employee_ID]],THrList[],4,FALSE),"")</f>
        <v>Jean</v>
      </c>
      <c r="E296" t="str">
        <f>IFERROR(VLOOKUP(TTrainingSource[[#This Row],[Employee_ID]],THrList[],10,FALSE),"")</f>
        <v>Procurement</v>
      </c>
      <c r="F296" t="str">
        <f>TRIM(PROPER(TTrainingSource[[#This Row],[Training_Status2]]))</f>
        <v>In Progress</v>
      </c>
      <c r="G296" t="s">
        <v>8</v>
      </c>
      <c r="H296" t="str">
        <f>TRIM(PROPER(TTrainingSource[[#This Row],[Training_Title2]]))</f>
        <v>Data Analysis Fundamentals</v>
      </c>
      <c r="I296" t="s">
        <v>9</v>
      </c>
      <c r="J296" s="1">
        <v>45278</v>
      </c>
      <c r="K296" t="s">
        <v>46</v>
      </c>
      <c r="L296" s="7">
        <v>24</v>
      </c>
      <c r="M296">
        <f>ROUND(TTrainingSource[[#This Row],[Satisfaction_Score2]],0)</f>
        <v>3</v>
      </c>
      <c r="N296">
        <v>3.3</v>
      </c>
    </row>
    <row r="297" spans="1:14" x14ac:dyDescent="0.3">
      <c r="A297" t="s">
        <v>115</v>
      </c>
      <c r="B297" t="str">
        <f>TRIM(TTrainingSource[[#This Row],[EMPloyee_ID2]])</f>
        <v>EMP10142</v>
      </c>
      <c r="C297" t="str">
        <f>IFERROR(VLOOKUP(TTrainingSource[[#This Row],[Employee_ID]],THrList[],3,FALSE),"")</f>
        <v>TAYLOR</v>
      </c>
      <c r="D297" t="str">
        <f>IFERROR(VLOOKUP(TTrainingSource[[#This Row],[Employee_ID]],THrList[],4,FALSE),"")</f>
        <v>Harper</v>
      </c>
      <c r="E297" t="str">
        <f>IFERROR(VLOOKUP(TTrainingSource[[#This Row],[Employee_ID]],THrList[],10,FALSE),"")</f>
        <v>Marketing</v>
      </c>
      <c r="F297" t="str">
        <f>TRIM(PROPER(TTrainingSource[[#This Row],[Training_Status2]]))</f>
        <v>Completed</v>
      </c>
      <c r="G297" t="s">
        <v>17</v>
      </c>
      <c r="H297" t="str">
        <f>TRIM(PROPER(TTrainingSource[[#This Row],[Training_Title2]]))</f>
        <v>Financial Modeling Basics</v>
      </c>
      <c r="I297" t="s">
        <v>38</v>
      </c>
      <c r="J297" s="1">
        <v>45289</v>
      </c>
      <c r="K297" t="s">
        <v>42</v>
      </c>
      <c r="L297" s="7">
        <v>24</v>
      </c>
      <c r="M297">
        <f>ROUND(TTrainingSource[[#This Row],[Satisfaction_Score2]],0)</f>
        <v>4</v>
      </c>
      <c r="N297">
        <v>4.0999999999999996</v>
      </c>
    </row>
    <row r="298" spans="1:14" x14ac:dyDescent="0.3">
      <c r="A298" t="s">
        <v>115</v>
      </c>
      <c r="B298" t="str">
        <f>TRIM(TTrainingSource[[#This Row],[EMPloyee_ID2]])</f>
        <v>EMP10142</v>
      </c>
      <c r="C298" t="str">
        <f>IFERROR(VLOOKUP(TTrainingSource[[#This Row],[Employee_ID]],THrList[],3,FALSE),"")</f>
        <v>TAYLOR</v>
      </c>
      <c r="D298" t="str">
        <f>IFERROR(VLOOKUP(TTrainingSource[[#This Row],[Employee_ID]],THrList[],4,FALSE),"")</f>
        <v>Harper</v>
      </c>
      <c r="E298" t="str">
        <f>IFERROR(VLOOKUP(TTrainingSource[[#This Row],[Employee_ID]],THrList[],10,FALSE),"")</f>
        <v>Marketing</v>
      </c>
      <c r="F298" t="str">
        <f>TRIM(PROPER(TTrainingSource[[#This Row],[Training_Status2]]))</f>
        <v>Completed</v>
      </c>
      <c r="G298" t="s">
        <v>17</v>
      </c>
      <c r="H298" t="str">
        <f>TRIM(PROPER(TTrainingSource[[#This Row],[Training_Title2]]))</f>
        <v>Sql For Data Analytics</v>
      </c>
      <c r="I298" t="s">
        <v>26</v>
      </c>
      <c r="J298" s="1">
        <v>45799</v>
      </c>
      <c r="K298" t="s">
        <v>39</v>
      </c>
      <c r="L298" s="7">
        <v>4</v>
      </c>
      <c r="M298">
        <f>ROUND(TTrainingSource[[#This Row],[Satisfaction_Score2]],0)</f>
        <v>4</v>
      </c>
      <c r="N298">
        <v>3.6</v>
      </c>
    </row>
    <row r="299" spans="1:14" x14ac:dyDescent="0.3">
      <c r="A299" t="s">
        <v>115</v>
      </c>
      <c r="B299" t="str">
        <f>TRIM(TTrainingSource[[#This Row],[EMPloyee_ID2]])</f>
        <v>EMP10142</v>
      </c>
      <c r="C299" t="str">
        <f>IFERROR(VLOOKUP(TTrainingSource[[#This Row],[Employee_ID]],THrList[],3,FALSE),"")</f>
        <v>TAYLOR</v>
      </c>
      <c r="D299" t="str">
        <f>IFERROR(VLOOKUP(TTrainingSource[[#This Row],[Employee_ID]],THrList[],4,FALSE),"")</f>
        <v>Harper</v>
      </c>
      <c r="E299" t="str">
        <f>IFERROR(VLOOKUP(TTrainingSource[[#This Row],[Employee_ID]],THrList[],10,FALSE),"")</f>
        <v>Marketing</v>
      </c>
      <c r="F299" t="str">
        <f>TRIM(PROPER(TTrainingSource[[#This Row],[Training_Status2]]))</f>
        <v>Completed</v>
      </c>
      <c r="G299" t="s">
        <v>17</v>
      </c>
      <c r="H299" t="str">
        <f>TRIM(PROPER(TTrainingSource[[#This Row],[Training_Title2]]))</f>
        <v>Introduction To Python For Data</v>
      </c>
      <c r="I299" t="s">
        <v>62</v>
      </c>
      <c r="J299" s="1">
        <v>45603</v>
      </c>
      <c r="K299" t="s">
        <v>39</v>
      </c>
      <c r="L299" s="7">
        <v>4</v>
      </c>
      <c r="M299">
        <f>ROUND(TTrainingSource[[#This Row],[Satisfaction_Score2]],0)</f>
        <v>4</v>
      </c>
      <c r="N299">
        <v>4.0999999999999996</v>
      </c>
    </row>
    <row r="300" spans="1:14" x14ac:dyDescent="0.3">
      <c r="A300" t="s">
        <v>115</v>
      </c>
      <c r="B300" t="str">
        <f>TRIM(TTrainingSource[[#This Row],[EMPloyee_ID2]])</f>
        <v>EMP10142</v>
      </c>
      <c r="C300" t="str">
        <f>IFERROR(VLOOKUP(TTrainingSource[[#This Row],[Employee_ID]],THrList[],3,FALSE),"")</f>
        <v>TAYLOR</v>
      </c>
      <c r="D300" t="str">
        <f>IFERROR(VLOOKUP(TTrainingSource[[#This Row],[Employee_ID]],THrList[],4,FALSE),"")</f>
        <v>Harper</v>
      </c>
      <c r="E300" t="str">
        <f>IFERROR(VLOOKUP(TTrainingSource[[#This Row],[Employee_ID]],THrList[],10,FALSE),"")</f>
        <v>Marketing</v>
      </c>
      <c r="F300" t="str">
        <f>TRIM(PROPER(TTrainingSource[[#This Row],[Training_Status2]]))</f>
        <v>Completed</v>
      </c>
      <c r="G300" t="s">
        <v>17</v>
      </c>
      <c r="H300" t="str">
        <f>TRIM(PROPER(TTrainingSource[[#This Row],[Training_Title2]]))</f>
        <v>Communication For Analysts</v>
      </c>
      <c r="I300" t="s">
        <v>28</v>
      </c>
      <c r="J300" s="1">
        <v>45184</v>
      </c>
      <c r="K300" t="s">
        <v>71</v>
      </c>
      <c r="L300" s="7">
        <v>20</v>
      </c>
      <c r="M300">
        <f>ROUND(TTrainingSource[[#This Row],[Satisfaction_Score2]],0)</f>
        <v>3</v>
      </c>
      <c r="N300">
        <v>3</v>
      </c>
    </row>
    <row r="301" spans="1:14" x14ac:dyDescent="0.3">
      <c r="A301" t="s">
        <v>248</v>
      </c>
      <c r="B301" t="str">
        <f>TRIM(TTrainingSource[[#This Row],[EMPloyee_ID2]])</f>
        <v>EMP10143</v>
      </c>
      <c r="C301" t="str">
        <f>IFERROR(VLOOKUP(TTrainingSource[[#This Row],[Employee_ID]],THrList[],3,FALSE),"")</f>
        <v>JONES</v>
      </c>
      <c r="D301" t="str">
        <f>IFERROR(VLOOKUP(TTrainingSource[[#This Row],[Employee_ID]],THrList[],4,FALSE),"")</f>
        <v>Charlotte</v>
      </c>
      <c r="E301" t="str">
        <f>IFERROR(VLOOKUP(TTrainingSource[[#This Row],[Employee_ID]],THrList[],10,FALSE),"")</f>
        <v xml:space="preserve">Marketing </v>
      </c>
      <c r="F301" t="str">
        <f>TRIM(PROPER(TTrainingSource[[#This Row],[Training_Status2]]))</f>
        <v>Completed</v>
      </c>
      <c r="G301" t="s">
        <v>17</v>
      </c>
      <c r="H301" t="str">
        <f>TRIM(PROPER(TTrainingSource[[#This Row],[Training_Title2]]))</f>
        <v>Data Analysis Fundamentals</v>
      </c>
      <c r="I301" t="s">
        <v>9</v>
      </c>
      <c r="J301" s="1">
        <v>45074</v>
      </c>
      <c r="K301" t="s">
        <v>98</v>
      </c>
      <c r="L301" s="7">
        <v>40</v>
      </c>
      <c r="M301">
        <f>ROUND(TTrainingSource[[#This Row],[Satisfaction_Score2]],0)</f>
        <v>5</v>
      </c>
      <c r="N301">
        <v>4.7</v>
      </c>
    </row>
    <row r="302" spans="1:14" x14ac:dyDescent="0.3">
      <c r="A302" t="s">
        <v>414</v>
      </c>
      <c r="B302" t="str">
        <f>TRIM(TTrainingSource[[#This Row],[EMPloyee_ID2]])</f>
        <v>EMP10144</v>
      </c>
      <c r="C302" t="str">
        <f>IFERROR(VLOOKUP(TTrainingSource[[#This Row],[Employee_ID]],THrList[],3,FALSE),"")</f>
        <v>LOPEZ</v>
      </c>
      <c r="D302" t="str">
        <f>IFERROR(VLOOKUP(TTrainingSource[[#This Row],[Employee_ID]],THrList[],4,FALSE),"")</f>
        <v>Ibrahim</v>
      </c>
      <c r="E302" t="str">
        <f>IFERROR(VLOOKUP(TTrainingSource[[#This Row],[Employee_ID]],THrList[],10,FALSE),"")</f>
        <v>Marketing</v>
      </c>
      <c r="F302" t="str">
        <f>TRIM(PROPER(TTrainingSource[[#This Row],[Training_Status2]]))</f>
        <v>In Progress</v>
      </c>
      <c r="G302" t="s">
        <v>8</v>
      </c>
      <c r="H302" t="str">
        <f>TRIM(PROPER(TTrainingSource[[#This Row],[Training_Title2]]))</f>
        <v>Business Intelligence With Tableau</v>
      </c>
      <c r="I302" t="s">
        <v>220</v>
      </c>
      <c r="J302" s="1">
        <v>45791</v>
      </c>
      <c r="K302" t="s">
        <v>42</v>
      </c>
      <c r="L302" s="7">
        <v>24</v>
      </c>
      <c r="M302">
        <f>ROUND(TTrainingSource[[#This Row],[Satisfaction_Score2]],0)</f>
        <v>4</v>
      </c>
      <c r="N302">
        <v>4.4000000000000004</v>
      </c>
    </row>
    <row r="303" spans="1:14" x14ac:dyDescent="0.3">
      <c r="A303" t="s">
        <v>414</v>
      </c>
      <c r="B303" t="str">
        <f>TRIM(TTrainingSource[[#This Row],[EMPloyee_ID2]])</f>
        <v>EMP10144</v>
      </c>
      <c r="C303" t="str">
        <f>IFERROR(VLOOKUP(TTrainingSource[[#This Row],[Employee_ID]],THrList[],3,FALSE),"")</f>
        <v>LOPEZ</v>
      </c>
      <c r="D303" t="str">
        <f>IFERROR(VLOOKUP(TTrainingSource[[#This Row],[Employee_ID]],THrList[],4,FALSE),"")</f>
        <v>Ibrahim</v>
      </c>
      <c r="E303" t="str">
        <f>IFERROR(VLOOKUP(TTrainingSource[[#This Row],[Employee_ID]],THrList[],10,FALSE),"")</f>
        <v>Marketing</v>
      </c>
      <c r="F303" t="str">
        <f>TRIM(PROPER(TTrainingSource[[#This Row],[Training_Status2]]))</f>
        <v>In Progress</v>
      </c>
      <c r="G303" t="s">
        <v>8</v>
      </c>
      <c r="H303" t="str">
        <f>TRIM(PROPER(TTrainingSource[[#This Row],[Training_Title2]]))</f>
        <v>Project Management Essentials</v>
      </c>
      <c r="I303" t="s">
        <v>14</v>
      </c>
      <c r="J303" s="1">
        <v>44789</v>
      </c>
      <c r="K303" t="s">
        <v>39</v>
      </c>
      <c r="L303" s="7">
        <v>0</v>
      </c>
      <c r="M303">
        <f>ROUND(TTrainingSource[[#This Row],[Satisfaction_Score2]],0)</f>
        <v>4</v>
      </c>
      <c r="N303">
        <v>3.9</v>
      </c>
    </row>
    <row r="304" spans="1:14" x14ac:dyDescent="0.3">
      <c r="A304" t="s">
        <v>414</v>
      </c>
      <c r="B304" t="str">
        <f>TRIM(TTrainingSource[[#This Row],[EMPloyee_ID2]])</f>
        <v>EMP10144</v>
      </c>
      <c r="C304" t="str">
        <f>IFERROR(VLOOKUP(TTrainingSource[[#This Row],[Employee_ID]],THrList[],3,FALSE),"")</f>
        <v>LOPEZ</v>
      </c>
      <c r="D304" t="str">
        <f>IFERROR(VLOOKUP(TTrainingSource[[#This Row],[Employee_ID]],THrList[],4,FALSE),"")</f>
        <v>Ibrahim</v>
      </c>
      <c r="E304" t="str">
        <f>IFERROR(VLOOKUP(TTrainingSource[[#This Row],[Employee_ID]],THrList[],10,FALSE),"")</f>
        <v>Marketing</v>
      </c>
      <c r="F304" t="str">
        <f>TRIM(PROPER(TTrainingSource[[#This Row],[Training_Status2]]))</f>
        <v>Planned</v>
      </c>
      <c r="G304" t="s">
        <v>19</v>
      </c>
      <c r="H304" t="str">
        <f>TRIM(PROPER(TTrainingSource[[#This Row],[Training_Title2]]))</f>
        <v>Introduction To Python For Data</v>
      </c>
      <c r="I304" t="s">
        <v>62</v>
      </c>
      <c r="J304" s="1">
        <v>45592</v>
      </c>
      <c r="K304" t="s">
        <v>29</v>
      </c>
      <c r="L304" s="7">
        <v>8</v>
      </c>
      <c r="M304">
        <f>ROUND(TTrainingSource[[#This Row],[Satisfaction_Score2]],0)</f>
        <v>4</v>
      </c>
      <c r="N304">
        <v>3.7</v>
      </c>
    </row>
    <row r="305" spans="1:14" x14ac:dyDescent="0.3">
      <c r="A305" t="s">
        <v>626</v>
      </c>
      <c r="B305" t="str">
        <f>TRIM(TTrainingSource[[#This Row],[EMPloyee_ID2]])</f>
        <v>EMP10145</v>
      </c>
      <c r="C305" t="str">
        <f>IFERROR(VLOOKUP(TTrainingSource[[#This Row],[Employee_ID]],THrList[],3,FALSE),"")</f>
        <v>TOURE</v>
      </c>
      <c r="D305" t="str">
        <f>IFERROR(VLOOKUP(TTrainingSource[[#This Row],[Employee_ID]],THrList[],4,FALSE),"")</f>
        <v>Mariama</v>
      </c>
      <c r="E305" t="str">
        <f>IFERROR(VLOOKUP(TTrainingSource[[#This Row],[Employee_ID]],THrList[],10,FALSE),"")</f>
        <v>Procurement</v>
      </c>
      <c r="F305" t="str">
        <f>TRIM(PROPER(TTrainingSource[[#This Row],[Training_Status2]]))</f>
        <v>In Progress</v>
      </c>
      <c r="G305" t="s">
        <v>8</v>
      </c>
      <c r="H305" t="str">
        <f>TRIM(PROPER(TTrainingSource[[#This Row],[Training_Title2]]))</f>
        <v>Sql For Data Analytics</v>
      </c>
      <c r="I305" t="s">
        <v>26</v>
      </c>
      <c r="J305" s="1">
        <v>45940</v>
      </c>
      <c r="K305" t="s">
        <v>71</v>
      </c>
      <c r="L305" s="7">
        <v>12</v>
      </c>
      <c r="M305">
        <f>ROUND(TTrainingSource[[#This Row],[Satisfaction_Score2]],0)</f>
        <v>3</v>
      </c>
      <c r="N305">
        <v>3.4</v>
      </c>
    </row>
    <row r="306" spans="1:14" x14ac:dyDescent="0.3">
      <c r="A306" t="s">
        <v>626</v>
      </c>
      <c r="B306" t="str">
        <f>TRIM(TTrainingSource[[#This Row],[EMPloyee_ID2]])</f>
        <v>EMP10145</v>
      </c>
      <c r="C306" t="str">
        <f>IFERROR(VLOOKUP(TTrainingSource[[#This Row],[Employee_ID]],THrList[],3,FALSE),"")</f>
        <v>TOURE</v>
      </c>
      <c r="D306" t="str">
        <f>IFERROR(VLOOKUP(TTrainingSource[[#This Row],[Employee_ID]],THrList[],4,FALSE),"")</f>
        <v>Mariama</v>
      </c>
      <c r="E306" t="str">
        <f>IFERROR(VLOOKUP(TTrainingSource[[#This Row],[Employee_ID]],THrList[],10,FALSE),"")</f>
        <v>Procurement</v>
      </c>
      <c r="F306" t="str">
        <f>TRIM(PROPER(TTrainingSource[[#This Row],[Training_Status2]]))</f>
        <v>Completed</v>
      </c>
      <c r="G306" t="s">
        <v>17</v>
      </c>
      <c r="H306" t="str">
        <f>TRIM(PROPER(TTrainingSource[[#This Row],[Training_Title2]]))</f>
        <v>Data Analysis Fundamentals</v>
      </c>
      <c r="I306" t="s">
        <v>9</v>
      </c>
      <c r="J306" s="1">
        <v>44913</v>
      </c>
      <c r="K306" t="s">
        <v>29</v>
      </c>
      <c r="L306" s="7">
        <v>12</v>
      </c>
      <c r="M306">
        <f>ROUND(TTrainingSource[[#This Row],[Satisfaction_Score2]],0)</f>
        <v>4</v>
      </c>
      <c r="N306">
        <v>3.8</v>
      </c>
    </row>
    <row r="307" spans="1:14" x14ac:dyDescent="0.3">
      <c r="A307" t="s">
        <v>602</v>
      </c>
      <c r="B307" t="str">
        <f>TRIM(TTrainingSource[[#This Row],[EMPloyee_ID2]])</f>
        <v>EMP10146</v>
      </c>
      <c r="C307" t="str">
        <f>IFERROR(VLOOKUP(TTrainingSource[[#This Row],[Employee_ID]],THrList[],3,FALSE),"")</f>
        <v>SMITH</v>
      </c>
      <c r="D307" t="str">
        <f>IFERROR(VLOOKUP(TTrainingSource[[#This Row],[Employee_ID]],THrList[],4,FALSE),"")</f>
        <v>Omar</v>
      </c>
      <c r="E307" t="str">
        <f>IFERROR(VLOOKUP(TTrainingSource[[#This Row],[Employee_ID]],THrList[],10,FALSE),"")</f>
        <v>Sales</v>
      </c>
      <c r="F307" t="str">
        <f>TRIM(PROPER(TTrainingSource[[#This Row],[Training_Status2]]))</f>
        <v>Completed</v>
      </c>
      <c r="G307" t="s">
        <v>17</v>
      </c>
      <c r="H307" t="str">
        <f>TRIM(PROPER(TTrainingSource[[#This Row],[Training_Title2]]))</f>
        <v>Advanced Excel For Business</v>
      </c>
      <c r="I307" t="s">
        <v>52</v>
      </c>
      <c r="J307" s="1">
        <v>44932</v>
      </c>
      <c r="K307" t="s">
        <v>71</v>
      </c>
      <c r="L307" s="7">
        <v>8</v>
      </c>
      <c r="M307">
        <f>ROUND(TTrainingSource[[#This Row],[Satisfaction_Score2]],0)</f>
        <v>4</v>
      </c>
      <c r="N307">
        <v>3.6</v>
      </c>
    </row>
    <row r="308" spans="1:14" x14ac:dyDescent="0.3">
      <c r="A308" t="s">
        <v>602</v>
      </c>
      <c r="B308" t="str">
        <f>TRIM(TTrainingSource[[#This Row],[EMPloyee_ID2]])</f>
        <v>EMP10146</v>
      </c>
      <c r="C308" t="str">
        <f>IFERROR(VLOOKUP(TTrainingSource[[#This Row],[Employee_ID]],THrList[],3,FALSE),"")</f>
        <v>SMITH</v>
      </c>
      <c r="D308" t="str">
        <f>IFERROR(VLOOKUP(TTrainingSource[[#This Row],[Employee_ID]],THrList[],4,FALSE),"")</f>
        <v>Omar</v>
      </c>
      <c r="E308" t="str">
        <f>IFERROR(VLOOKUP(TTrainingSource[[#This Row],[Employee_ID]],THrList[],10,FALSE),"")</f>
        <v>Sales</v>
      </c>
      <c r="F308" t="str">
        <f>TRIM(PROPER(TTrainingSource[[#This Row],[Training_Status2]]))</f>
        <v>Completed</v>
      </c>
      <c r="G308" t="s">
        <v>17</v>
      </c>
      <c r="H308" t="str">
        <f>TRIM(PROPER(TTrainingSource[[#This Row],[Training_Title2]]))</f>
        <v>Digital Marketing Strategy</v>
      </c>
      <c r="I308" t="s">
        <v>755</v>
      </c>
      <c r="J308" s="1">
        <v>45718</v>
      </c>
      <c r="K308" t="s">
        <v>98</v>
      </c>
      <c r="L308" s="7">
        <v>20</v>
      </c>
      <c r="M308">
        <f>ROUND(TTrainingSource[[#This Row],[Satisfaction_Score2]],0)</f>
        <v>5</v>
      </c>
      <c r="N308">
        <v>4.7</v>
      </c>
    </row>
    <row r="309" spans="1:14" x14ac:dyDescent="0.3">
      <c r="A309" t="s">
        <v>715</v>
      </c>
      <c r="B309" t="str">
        <f>TRIM(TTrainingSource[[#This Row],[EMPloyee_ID2]])</f>
        <v>EMP10148</v>
      </c>
      <c r="C309" t="str">
        <f>IFERROR(VLOOKUP(TTrainingSource[[#This Row],[Employee_ID]],THrList[],3,FALSE),"")</f>
        <v>MARTIN</v>
      </c>
      <c r="D309" t="str">
        <f>IFERROR(VLOOKUP(TTrainingSource[[#This Row],[Employee_ID]],THrList[],4,FALSE),"")</f>
        <v>Ibrahim</v>
      </c>
      <c r="E309" t="str">
        <f>IFERROR(VLOOKUP(TTrainingSource[[#This Row],[Employee_ID]],THrList[],10,FALSE),"")</f>
        <v>Customer Support</v>
      </c>
      <c r="F309" t="str">
        <f>TRIM(PROPER(TTrainingSource[[#This Row],[Training_Status2]]))</f>
        <v>Completed</v>
      </c>
      <c r="G309" t="s">
        <v>17</v>
      </c>
      <c r="H309" t="str">
        <f>TRIM(PROPER(TTrainingSource[[#This Row],[Training_Title2]]))</f>
        <v>Advanced Excel For Business</v>
      </c>
      <c r="I309" t="s">
        <v>52</v>
      </c>
      <c r="J309" s="1">
        <v>44897</v>
      </c>
      <c r="K309" t="s">
        <v>44</v>
      </c>
      <c r="L309" s="7">
        <v>32</v>
      </c>
      <c r="M309">
        <f>ROUND(TTrainingSource[[#This Row],[Satisfaction_Score2]],0)</f>
        <v>4</v>
      </c>
      <c r="N309">
        <v>3.6</v>
      </c>
    </row>
    <row r="310" spans="1:14" x14ac:dyDescent="0.3">
      <c r="A310" t="s">
        <v>614</v>
      </c>
      <c r="B310" t="str">
        <f>TRIM(TTrainingSource[[#This Row],[EMPloyee_ID2]])</f>
        <v>EMP10149</v>
      </c>
      <c r="C310" t="str">
        <f>IFERROR(VLOOKUP(TTrainingSource[[#This Row],[Employee_ID]],THrList[],3,FALSE),"")</f>
        <v>THOMAS</v>
      </c>
      <c r="D310" t="str">
        <f>IFERROR(VLOOKUP(TTrainingSource[[#This Row],[Employee_ID]],THrList[],4,FALSE),"")</f>
        <v>Layla</v>
      </c>
      <c r="E310" t="str">
        <f>IFERROR(VLOOKUP(TTrainingSource[[#This Row],[Employee_ID]],THrList[],10,FALSE),"")</f>
        <v>Procurement</v>
      </c>
      <c r="F310" t="str">
        <f>TRIM(PROPER(TTrainingSource[[#This Row],[Training_Status2]]))</f>
        <v>Completed</v>
      </c>
      <c r="G310" t="s">
        <v>17</v>
      </c>
      <c r="H310" t="str">
        <f>TRIM(PROPER(TTrainingSource[[#This Row],[Training_Title2]]))</f>
        <v>Financial Modeling Basics</v>
      </c>
      <c r="I310" t="s">
        <v>38</v>
      </c>
      <c r="J310" s="1">
        <v>45179</v>
      </c>
      <c r="K310" t="s">
        <v>71</v>
      </c>
      <c r="L310" s="7">
        <v>20</v>
      </c>
      <c r="M310">
        <f>ROUND(TTrainingSource[[#This Row],[Satisfaction_Score2]],0)</f>
        <v>3</v>
      </c>
      <c r="N310">
        <v>3.4</v>
      </c>
    </row>
    <row r="311" spans="1:14" x14ac:dyDescent="0.3">
      <c r="A311" t="s">
        <v>750</v>
      </c>
      <c r="B311" t="str">
        <f>TRIM(TTrainingSource[[#This Row],[EMPloyee_ID2]])</f>
        <v>EMP10149</v>
      </c>
      <c r="C311" t="str">
        <f>IFERROR(VLOOKUP(TTrainingSource[[#This Row],[Employee_ID]],THrList[],3,FALSE),"")</f>
        <v>THOMAS</v>
      </c>
      <c r="D311" t="str">
        <f>IFERROR(VLOOKUP(TTrainingSource[[#This Row],[Employee_ID]],THrList[],4,FALSE),"")</f>
        <v>Layla</v>
      </c>
      <c r="E311" t="str">
        <f>IFERROR(VLOOKUP(TTrainingSource[[#This Row],[Employee_ID]],THrList[],10,FALSE),"")</f>
        <v>Procurement</v>
      </c>
      <c r="F311" t="str">
        <f>TRIM(PROPER(TTrainingSource[[#This Row],[Training_Status2]]))</f>
        <v>Completed</v>
      </c>
      <c r="G311" t="s">
        <v>17</v>
      </c>
      <c r="H311" t="str">
        <f>TRIM(PROPER(TTrainingSource[[#This Row],[Training_Title2]]))</f>
        <v>Financial Modeling Basics</v>
      </c>
      <c r="I311" t="s">
        <v>38</v>
      </c>
      <c r="J311" s="1">
        <v>45166</v>
      </c>
      <c r="K311" t="s">
        <v>42</v>
      </c>
      <c r="L311" s="7">
        <v>24</v>
      </c>
      <c r="M311">
        <f>ROUND(TTrainingSource[[#This Row],[Satisfaction_Score2]],0)</f>
        <v>4</v>
      </c>
      <c r="N311">
        <v>4.0999999999999996</v>
      </c>
    </row>
    <row r="312" spans="1:14" x14ac:dyDescent="0.3">
      <c r="A312" t="s">
        <v>596</v>
      </c>
      <c r="B312" t="str">
        <f>TRIM(TTrainingSource[[#This Row],[EMPloyee_ID2]])</f>
        <v>EMP10150</v>
      </c>
      <c r="C312" t="str">
        <f>IFERROR(VLOOKUP(TTrainingSource[[#This Row],[Employee_ID]],THrList[],3,FALSE),"")</f>
        <v>IBRAHIM</v>
      </c>
      <c r="D312" t="str">
        <f>IFERROR(VLOOKUP(TTrainingSource[[#This Row],[Employee_ID]],THrList[],4,FALSE),"")</f>
        <v>Layla</v>
      </c>
      <c r="E312" t="str">
        <f>IFERROR(VLOOKUP(TTrainingSource[[#This Row],[Employee_ID]],THrList[],10,FALSE),"")</f>
        <v>IT</v>
      </c>
      <c r="F312" t="str">
        <f>TRIM(PROPER(TTrainingSource[[#This Row],[Training_Status2]]))</f>
        <v>Completed</v>
      </c>
      <c r="G312" t="s">
        <v>17</v>
      </c>
      <c r="H312" t="str">
        <f>TRIM(PROPER(TTrainingSource[[#This Row],[Training_Title2]]))</f>
        <v>Advanced Excel For Business</v>
      </c>
      <c r="I312" t="s">
        <v>52</v>
      </c>
      <c r="J312" s="1">
        <v>45129</v>
      </c>
      <c r="K312" t="s">
        <v>32</v>
      </c>
      <c r="L312" s="7">
        <v>4</v>
      </c>
      <c r="M312">
        <f>ROUND(TTrainingSource[[#This Row],[Satisfaction_Score2]],0)</f>
        <v>3</v>
      </c>
      <c r="N312">
        <v>2.7</v>
      </c>
    </row>
    <row r="313" spans="1:14" x14ac:dyDescent="0.3">
      <c r="A313" t="s">
        <v>596</v>
      </c>
      <c r="B313" t="str">
        <f>TRIM(TTrainingSource[[#This Row],[EMPloyee_ID2]])</f>
        <v>EMP10150</v>
      </c>
      <c r="C313" t="str">
        <f>IFERROR(VLOOKUP(TTrainingSource[[#This Row],[Employee_ID]],THrList[],3,FALSE),"")</f>
        <v>IBRAHIM</v>
      </c>
      <c r="D313" t="str">
        <f>IFERROR(VLOOKUP(TTrainingSource[[#This Row],[Employee_ID]],THrList[],4,FALSE),"")</f>
        <v>Layla</v>
      </c>
      <c r="E313" t="str">
        <f>IFERROR(VLOOKUP(TTrainingSource[[#This Row],[Employee_ID]],THrList[],10,FALSE),"")</f>
        <v>IT</v>
      </c>
      <c r="F313" t="str">
        <f>TRIM(PROPER(TTrainingSource[[#This Row],[Training_Status2]]))</f>
        <v>Planned</v>
      </c>
      <c r="G313" t="s">
        <v>19</v>
      </c>
      <c r="H313" t="str">
        <f>TRIM(PROPER(TTrainingSource[[#This Row],[Training_Title2]]))</f>
        <v>Advanced Excel For Business</v>
      </c>
      <c r="I313" t="s">
        <v>52</v>
      </c>
      <c r="J313" s="1">
        <v>45594</v>
      </c>
      <c r="K313" t="s">
        <v>44</v>
      </c>
      <c r="L313" s="7">
        <v>24</v>
      </c>
      <c r="M313">
        <f>ROUND(TTrainingSource[[#This Row],[Satisfaction_Score2]],0)</f>
        <v>3</v>
      </c>
      <c r="N313">
        <v>3</v>
      </c>
    </row>
    <row r="314" spans="1:14" x14ac:dyDescent="0.3">
      <c r="A314" t="s">
        <v>391</v>
      </c>
      <c r="B314" t="str">
        <f>TRIM(TTrainingSource[[#This Row],[EMPloyee_ID2]])</f>
        <v>EMP10151</v>
      </c>
      <c r="C314" t="str">
        <f>IFERROR(VLOOKUP(TTrainingSource[[#This Row],[Employee_ID]],THrList[],3,FALSE),"")</f>
        <v>MENSAH</v>
      </c>
      <c r="D314" t="str">
        <f>IFERROR(VLOOKUP(TTrainingSource[[#This Row],[Employee_ID]],THrList[],4,FALSE),"")</f>
        <v>Layla</v>
      </c>
      <c r="E314" t="str">
        <f>IFERROR(VLOOKUP(TTrainingSource[[#This Row],[Employee_ID]],THrList[],10,FALSE),"")</f>
        <v>Human Resources</v>
      </c>
      <c r="F314" t="str">
        <f>TRIM(PROPER(TTrainingSource[[#This Row],[Training_Status2]]))</f>
        <v>Completed</v>
      </c>
      <c r="G314" t="s">
        <v>17</v>
      </c>
      <c r="H314" t="str">
        <f>TRIM(PROPER(TTrainingSource[[#This Row],[Training_Title2]]))</f>
        <v>Digital Marketing Strategy</v>
      </c>
      <c r="I314" t="s">
        <v>43</v>
      </c>
      <c r="J314" s="1">
        <v>45175</v>
      </c>
      <c r="K314" t="s">
        <v>44</v>
      </c>
      <c r="L314" s="7">
        <v>6</v>
      </c>
      <c r="M314">
        <f>ROUND(TTrainingSource[[#This Row],[Satisfaction_Score2]],0)</f>
        <v>3</v>
      </c>
      <c r="N314">
        <v>3</v>
      </c>
    </row>
    <row r="315" spans="1:14" x14ac:dyDescent="0.3">
      <c r="A315" t="s">
        <v>708</v>
      </c>
      <c r="B315" t="str">
        <f>TRIM(TTrainingSource[[#This Row],[EMPloyee_ID2]])</f>
        <v>EMP10152</v>
      </c>
      <c r="C315" t="str">
        <f>IFERROR(VLOOKUP(TTrainingSource[[#This Row],[Employee_ID]],THrList[],3,FALSE),"")</f>
        <v>GARCIA</v>
      </c>
      <c r="D315" t="str">
        <f>IFERROR(VLOOKUP(TTrainingSource[[#This Row],[Employee_ID]],THrList[],4,FALSE),"")</f>
        <v>Henry</v>
      </c>
      <c r="E315" t="str">
        <f>IFERROR(VLOOKUP(TTrainingSource[[#This Row],[Employee_ID]],THrList[],10,FALSE),"")</f>
        <v>N/A</v>
      </c>
      <c r="F315" t="str">
        <f>TRIM(PROPER(TTrainingSource[[#This Row],[Training_Status2]]))</f>
        <v>Completed</v>
      </c>
      <c r="G315" t="s">
        <v>17</v>
      </c>
      <c r="H315" t="str">
        <f>TRIM(PROPER(TTrainingSource[[#This Row],[Training_Title2]]))</f>
        <v>Data Visualization Best Practices</v>
      </c>
      <c r="I315" t="s">
        <v>20</v>
      </c>
      <c r="J315" s="1">
        <v>45547</v>
      </c>
      <c r="K315" t="s">
        <v>44</v>
      </c>
      <c r="L315" s="7">
        <v>6</v>
      </c>
      <c r="M315">
        <f>ROUND(TTrainingSource[[#This Row],[Satisfaction_Score2]],0)</f>
        <v>4</v>
      </c>
      <c r="N315">
        <v>3.7</v>
      </c>
    </row>
    <row r="316" spans="1:14" x14ac:dyDescent="0.3">
      <c r="A316" t="s">
        <v>708</v>
      </c>
      <c r="B316" t="str">
        <f>TRIM(TTrainingSource[[#This Row],[EMPloyee_ID2]])</f>
        <v>EMP10152</v>
      </c>
      <c r="C316" t="str">
        <f>IFERROR(VLOOKUP(TTrainingSource[[#This Row],[Employee_ID]],THrList[],3,FALSE),"")</f>
        <v>GARCIA</v>
      </c>
      <c r="D316" t="str">
        <f>IFERROR(VLOOKUP(TTrainingSource[[#This Row],[Employee_ID]],THrList[],4,FALSE),"")</f>
        <v>Henry</v>
      </c>
      <c r="E316" t="str">
        <f>IFERROR(VLOOKUP(TTrainingSource[[#This Row],[Employee_ID]],THrList[],10,FALSE),"")</f>
        <v>N/A</v>
      </c>
      <c r="F316" t="str">
        <f>TRIM(PROPER(TTrainingSource[[#This Row],[Training_Status2]]))</f>
        <v>In Progress</v>
      </c>
      <c r="G316" t="s">
        <v>8</v>
      </c>
      <c r="H316" t="str">
        <f>TRIM(PROPER(TTrainingSource[[#This Row],[Training_Title2]]))</f>
        <v>Sql For Data Analytics</v>
      </c>
      <c r="I316" t="s">
        <v>26</v>
      </c>
      <c r="J316" s="1">
        <v>45292</v>
      </c>
      <c r="K316" t="s">
        <v>29</v>
      </c>
      <c r="L316" s="7">
        <v>24</v>
      </c>
      <c r="M316">
        <f>ROUND(TTrainingSource[[#This Row],[Satisfaction_Score2]],0)</f>
        <v>4</v>
      </c>
      <c r="N316">
        <v>3.6</v>
      </c>
    </row>
    <row r="317" spans="1:14" x14ac:dyDescent="0.3">
      <c r="A317" t="s">
        <v>708</v>
      </c>
      <c r="B317" t="str">
        <f>TRIM(TTrainingSource[[#This Row],[EMPloyee_ID2]])</f>
        <v>EMP10152</v>
      </c>
      <c r="C317" t="str">
        <f>IFERROR(VLOOKUP(TTrainingSource[[#This Row],[Employee_ID]],THrList[],3,FALSE),"")</f>
        <v>GARCIA</v>
      </c>
      <c r="D317" t="str">
        <f>IFERROR(VLOOKUP(TTrainingSource[[#This Row],[Employee_ID]],THrList[],4,FALSE),"")</f>
        <v>Henry</v>
      </c>
      <c r="E317" t="str">
        <f>IFERROR(VLOOKUP(TTrainingSource[[#This Row],[Employee_ID]],THrList[],10,FALSE),"")</f>
        <v>N/A</v>
      </c>
      <c r="F317" t="str">
        <f>TRIM(PROPER(TTrainingSource[[#This Row],[Training_Status2]]))</f>
        <v>Completed</v>
      </c>
      <c r="G317" t="s">
        <v>17</v>
      </c>
      <c r="H317" t="str">
        <f>TRIM(PROPER(TTrainingSource[[#This Row],[Training_Title2]]))</f>
        <v>Communication For Analysts</v>
      </c>
      <c r="I317" t="s">
        <v>119</v>
      </c>
      <c r="J317" s="1">
        <v>45003</v>
      </c>
      <c r="K317" t="s">
        <v>98</v>
      </c>
      <c r="L317" s="7">
        <v>24</v>
      </c>
      <c r="M317">
        <f>ROUND(TTrainingSource[[#This Row],[Satisfaction_Score2]],0)</f>
        <v>4</v>
      </c>
      <c r="N317">
        <v>4.3</v>
      </c>
    </row>
    <row r="318" spans="1:14" x14ac:dyDescent="0.3">
      <c r="A318" t="s">
        <v>702</v>
      </c>
      <c r="B318" t="str">
        <f>TRIM(TTrainingSource[[#This Row],[EMPloyee_ID2]])</f>
        <v>EMP10154</v>
      </c>
      <c r="C318" t="str">
        <f>IFERROR(VLOOKUP(TTrainingSource[[#This Row],[Employee_ID]],THrList[],3,FALSE),"")</f>
        <v>DIOP</v>
      </c>
      <c r="D318" t="str">
        <f>IFERROR(VLOOKUP(TTrainingSource[[#This Row],[Employee_ID]],THrList[],4,FALSE),"")</f>
        <v>Marie</v>
      </c>
      <c r="E318" t="str">
        <f>IFERROR(VLOOKUP(TTrainingSource[[#This Row],[Employee_ID]],THrList[],10,FALSE),"")</f>
        <v>IT</v>
      </c>
      <c r="F318" t="str">
        <f>TRIM(PROPER(TTrainingSource[[#This Row],[Training_Status2]]))</f>
        <v>Planned</v>
      </c>
      <c r="G318" t="s">
        <v>19</v>
      </c>
      <c r="H318" t="str">
        <f>TRIM(PROPER(TTrainingSource[[#This Row],[Training_Title2]]))</f>
        <v>Customer Data Analysis</v>
      </c>
      <c r="I318" t="s">
        <v>50</v>
      </c>
      <c r="J318" s="1">
        <v>45878</v>
      </c>
      <c r="K318" t="s">
        <v>98</v>
      </c>
      <c r="L318" s="7">
        <v>32</v>
      </c>
      <c r="M318">
        <f>ROUND(TTrainingSource[[#This Row],[Satisfaction_Score2]],0)</f>
        <v>5</v>
      </c>
      <c r="N318">
        <v>4.9000000000000004</v>
      </c>
    </row>
    <row r="319" spans="1:14" x14ac:dyDescent="0.3">
      <c r="A319" t="s">
        <v>114</v>
      </c>
      <c r="B319" t="str">
        <f>TRIM(TTrainingSource[[#This Row],[EMPloyee_ID2]])</f>
        <v>EMP10155</v>
      </c>
      <c r="C319" t="str">
        <f>IFERROR(VLOOKUP(TTrainingSource[[#This Row],[Employee_ID]],THrList[],3,FALSE),"")</f>
        <v>ABDULLAH</v>
      </c>
      <c r="D319" t="str">
        <f>IFERROR(VLOOKUP(TTrainingSource[[#This Row],[Employee_ID]],THrList[],4,FALSE),"")</f>
        <v>Sophie</v>
      </c>
      <c r="E319" t="str">
        <f>IFERROR(VLOOKUP(TTrainingSource[[#This Row],[Employee_ID]],THrList[],10,FALSE),"")</f>
        <v>Operations</v>
      </c>
      <c r="F319" t="str">
        <f>TRIM(PROPER(TTrainingSource[[#This Row],[Training_Status2]]))</f>
        <v>In Progress</v>
      </c>
      <c r="G319" t="s">
        <v>8</v>
      </c>
      <c r="H319" t="str">
        <f>TRIM(PROPER(TTrainingSource[[#This Row],[Training_Title2]]))</f>
        <v>Data Visualization Best Practices</v>
      </c>
      <c r="I319" t="s">
        <v>20</v>
      </c>
      <c r="J319" s="1">
        <v>44602</v>
      </c>
      <c r="K319" t="s">
        <v>46</v>
      </c>
      <c r="L319" s="7">
        <v>40</v>
      </c>
      <c r="M319">
        <f>ROUND(TTrainingSource[[#This Row],[Satisfaction_Score2]],0)</f>
        <v>3</v>
      </c>
      <c r="N319">
        <v>2.8</v>
      </c>
    </row>
    <row r="320" spans="1:14" x14ac:dyDescent="0.3">
      <c r="A320" t="s">
        <v>114</v>
      </c>
      <c r="B320" t="str">
        <f>TRIM(TTrainingSource[[#This Row],[EMPloyee_ID2]])</f>
        <v>EMP10155</v>
      </c>
      <c r="C320" t="str">
        <f>IFERROR(VLOOKUP(TTrainingSource[[#This Row],[Employee_ID]],THrList[],3,FALSE),"")</f>
        <v>ABDULLAH</v>
      </c>
      <c r="D320" t="str">
        <f>IFERROR(VLOOKUP(TTrainingSource[[#This Row],[Employee_ID]],THrList[],4,FALSE),"")</f>
        <v>Sophie</v>
      </c>
      <c r="E320" t="str">
        <f>IFERROR(VLOOKUP(TTrainingSource[[#This Row],[Employee_ID]],THrList[],10,FALSE),"")</f>
        <v>Operations</v>
      </c>
      <c r="F320" t="str">
        <f>TRIM(PROPER(TTrainingSource[[#This Row],[Training_Status2]]))</f>
        <v>Completed</v>
      </c>
      <c r="G320" t="s">
        <v>17</v>
      </c>
      <c r="H320" t="str">
        <f>TRIM(PROPER(TTrainingSource[[#This Row],[Training_Title2]]))</f>
        <v>Financial Modeling Basics</v>
      </c>
      <c r="I320" t="s">
        <v>38</v>
      </c>
      <c r="J320" s="1">
        <v>44583</v>
      </c>
      <c r="K320" t="s">
        <v>71</v>
      </c>
      <c r="L320" s="7">
        <v>12</v>
      </c>
      <c r="M320">
        <f>ROUND(TTrainingSource[[#This Row],[Satisfaction_Score2]],0)</f>
        <v>4</v>
      </c>
      <c r="N320">
        <v>3.9</v>
      </c>
    </row>
    <row r="321" spans="1:14" x14ac:dyDescent="0.3">
      <c r="A321" t="s">
        <v>114</v>
      </c>
      <c r="B321" t="str">
        <f>TRIM(TTrainingSource[[#This Row],[EMPloyee_ID2]])</f>
        <v>EMP10155</v>
      </c>
      <c r="C321" t="str">
        <f>IFERROR(VLOOKUP(TTrainingSource[[#This Row],[Employee_ID]],THrList[],3,FALSE),"")</f>
        <v>ABDULLAH</v>
      </c>
      <c r="D321" t="str">
        <f>IFERROR(VLOOKUP(TTrainingSource[[#This Row],[Employee_ID]],THrList[],4,FALSE),"")</f>
        <v>Sophie</v>
      </c>
      <c r="E321" t="str">
        <f>IFERROR(VLOOKUP(TTrainingSource[[#This Row],[Employee_ID]],THrList[],10,FALSE),"")</f>
        <v>Operations</v>
      </c>
      <c r="F321" t="str">
        <f>TRIM(PROPER(TTrainingSource[[#This Row],[Training_Status2]]))</f>
        <v>Completed</v>
      </c>
      <c r="G321" t="s">
        <v>17</v>
      </c>
      <c r="H321" t="str">
        <f>TRIM(PROPER(TTrainingSource[[#This Row],[Training_Title2]]))</f>
        <v>Business Intelligence With Tableau</v>
      </c>
      <c r="I321" t="s">
        <v>162</v>
      </c>
      <c r="J321" s="1">
        <v>45949</v>
      </c>
      <c r="K321" t="s">
        <v>46</v>
      </c>
      <c r="L321" s="7">
        <v>0</v>
      </c>
      <c r="M321">
        <f>ROUND(TTrainingSource[[#This Row],[Satisfaction_Score2]],0)</f>
        <v>4</v>
      </c>
      <c r="N321">
        <v>3.9</v>
      </c>
    </row>
    <row r="322" spans="1:14" x14ac:dyDescent="0.3">
      <c r="A322" t="s">
        <v>114</v>
      </c>
      <c r="B322" t="str">
        <f>TRIM(TTrainingSource[[#This Row],[EMPloyee_ID2]])</f>
        <v>EMP10155</v>
      </c>
      <c r="C322" t="str">
        <f>IFERROR(VLOOKUP(TTrainingSource[[#This Row],[Employee_ID]],THrList[],3,FALSE),"")</f>
        <v>ABDULLAH</v>
      </c>
      <c r="D322" t="str">
        <f>IFERROR(VLOOKUP(TTrainingSource[[#This Row],[Employee_ID]],THrList[],4,FALSE),"")</f>
        <v>Sophie</v>
      </c>
      <c r="E322" t="str">
        <f>IFERROR(VLOOKUP(TTrainingSource[[#This Row],[Employee_ID]],THrList[],10,FALSE),"")</f>
        <v>Operations</v>
      </c>
      <c r="F322" t="str">
        <f>TRIM(PROPER(TTrainingSource[[#This Row],[Training_Status2]]))</f>
        <v>Completed</v>
      </c>
      <c r="G322" t="s">
        <v>17</v>
      </c>
      <c r="H322" t="str">
        <f>TRIM(PROPER(TTrainingSource[[#This Row],[Training_Title2]]))</f>
        <v>Digital Marketing Strategy</v>
      </c>
      <c r="I322" t="s">
        <v>79</v>
      </c>
      <c r="J322" s="1">
        <v>44792</v>
      </c>
      <c r="K322" t="s">
        <v>15</v>
      </c>
      <c r="L322" s="7">
        <v>40</v>
      </c>
      <c r="M322">
        <f>ROUND(TTrainingSource[[#This Row],[Satisfaction_Score2]],0)</f>
        <v>3</v>
      </c>
      <c r="N322">
        <v>2.9</v>
      </c>
    </row>
    <row r="323" spans="1:14" x14ac:dyDescent="0.3">
      <c r="A323" t="s">
        <v>114</v>
      </c>
      <c r="B323" t="str">
        <f>TRIM(TTrainingSource[[#This Row],[EMPloyee_ID2]])</f>
        <v>EMP10155</v>
      </c>
      <c r="C323" t="str">
        <f>IFERROR(VLOOKUP(TTrainingSource[[#This Row],[Employee_ID]],THrList[],3,FALSE),"")</f>
        <v>ABDULLAH</v>
      </c>
      <c r="D323" t="str">
        <f>IFERROR(VLOOKUP(TTrainingSource[[#This Row],[Employee_ID]],THrList[],4,FALSE),"")</f>
        <v>Sophie</v>
      </c>
      <c r="E323" t="str">
        <f>IFERROR(VLOOKUP(TTrainingSource[[#This Row],[Employee_ID]],THrList[],10,FALSE),"")</f>
        <v>Operations</v>
      </c>
      <c r="F323" t="str">
        <f>TRIM(PROPER(TTrainingSource[[#This Row],[Training_Status2]]))</f>
        <v>Completed</v>
      </c>
      <c r="G323" t="s">
        <v>17</v>
      </c>
      <c r="H323" t="str">
        <f>TRIM(PROPER(TTrainingSource[[#This Row],[Training_Title2]]))</f>
        <v>Advanced Excel For Business</v>
      </c>
      <c r="I323" t="s">
        <v>52</v>
      </c>
      <c r="J323" s="1">
        <v>45650</v>
      </c>
      <c r="K323" t="s">
        <v>42</v>
      </c>
      <c r="L323" s="7">
        <v>16</v>
      </c>
      <c r="M323">
        <f>ROUND(TTrainingSource[[#This Row],[Satisfaction_Score2]],0)</f>
        <v>3</v>
      </c>
      <c r="N323">
        <v>2.8</v>
      </c>
    </row>
    <row r="324" spans="1:14" x14ac:dyDescent="0.3">
      <c r="A324" t="s">
        <v>114</v>
      </c>
      <c r="B324" t="str">
        <f>TRIM(TTrainingSource[[#This Row],[EMPloyee_ID2]])</f>
        <v>EMP10155</v>
      </c>
      <c r="C324" t="str">
        <f>IFERROR(VLOOKUP(TTrainingSource[[#This Row],[Employee_ID]],THrList[],3,FALSE),"")</f>
        <v>ABDULLAH</v>
      </c>
      <c r="D324" t="str">
        <f>IFERROR(VLOOKUP(TTrainingSource[[#This Row],[Employee_ID]],THrList[],4,FALSE),"")</f>
        <v>Sophie</v>
      </c>
      <c r="E324" t="str">
        <f>IFERROR(VLOOKUP(TTrainingSource[[#This Row],[Employee_ID]],THrList[],10,FALSE),"")</f>
        <v>Operations</v>
      </c>
      <c r="F324" t="str">
        <f>TRIM(PROPER(TTrainingSource[[#This Row],[Training_Status2]]))</f>
        <v>Planned</v>
      </c>
      <c r="G324" t="s">
        <v>19</v>
      </c>
      <c r="H324" t="str">
        <f>TRIM(PROPER(TTrainingSource[[#This Row],[Training_Title2]]))</f>
        <v>Business Intelligence With Tableau</v>
      </c>
      <c r="I324" t="s">
        <v>162</v>
      </c>
      <c r="J324" s="1">
        <v>45849</v>
      </c>
      <c r="K324" t="s">
        <v>32</v>
      </c>
      <c r="L324" s="7">
        <v>40</v>
      </c>
      <c r="M324">
        <f>ROUND(TTrainingSource[[#This Row],[Satisfaction_Score2]],0)</f>
        <v>5</v>
      </c>
      <c r="N324">
        <v>4.7</v>
      </c>
    </row>
    <row r="325" spans="1:14" x14ac:dyDescent="0.3">
      <c r="A325" t="s">
        <v>114</v>
      </c>
      <c r="B325" t="str">
        <f>TRIM(TTrainingSource[[#This Row],[EMPloyee_ID2]])</f>
        <v>EMP10155</v>
      </c>
      <c r="C325" t="str">
        <f>IFERROR(VLOOKUP(TTrainingSource[[#This Row],[Employee_ID]],THrList[],3,FALSE),"")</f>
        <v>ABDULLAH</v>
      </c>
      <c r="D325" t="str">
        <f>IFERROR(VLOOKUP(TTrainingSource[[#This Row],[Employee_ID]],THrList[],4,FALSE),"")</f>
        <v>Sophie</v>
      </c>
      <c r="E325" t="str">
        <f>IFERROR(VLOOKUP(TTrainingSource[[#This Row],[Employee_ID]],THrList[],10,FALSE),"")</f>
        <v>Operations</v>
      </c>
      <c r="F325" t="str">
        <f>TRIM(PROPER(TTrainingSource[[#This Row],[Training_Status2]]))</f>
        <v>Completed</v>
      </c>
      <c r="G325" t="s">
        <v>17</v>
      </c>
      <c r="H325" t="str">
        <f>TRIM(PROPER(TTrainingSource[[#This Row],[Training_Title2]]))</f>
        <v>Communication For Analysts</v>
      </c>
      <c r="I325" t="s">
        <v>28</v>
      </c>
      <c r="J325" s="1">
        <v>44879</v>
      </c>
      <c r="K325" t="s">
        <v>42</v>
      </c>
      <c r="L325" s="7">
        <v>40</v>
      </c>
      <c r="M325">
        <f>ROUND(TTrainingSource[[#This Row],[Satisfaction_Score2]],0)</f>
        <v>3</v>
      </c>
      <c r="N325">
        <v>2.7</v>
      </c>
    </row>
    <row r="326" spans="1:14" x14ac:dyDescent="0.3">
      <c r="A326" t="s">
        <v>622</v>
      </c>
      <c r="B326" t="str">
        <f>TRIM(TTrainingSource[[#This Row],[EMPloyee_ID2]])</f>
        <v>EMP10156</v>
      </c>
      <c r="C326" t="str">
        <f>IFERROR(VLOOKUP(TTrainingSource[[#This Row],[Employee_ID]],THrList[],3,FALSE),"")</f>
        <v>KOUASSI</v>
      </c>
      <c r="D326" t="str">
        <f>IFERROR(VLOOKUP(TTrainingSource[[#This Row],[Employee_ID]],THrList[],4,FALSE),"")</f>
        <v>Sophia</v>
      </c>
      <c r="E326" t="str">
        <f>IFERROR(VLOOKUP(TTrainingSource[[#This Row],[Employee_ID]],THrList[],10,FALSE),"")</f>
        <v>Customer Support</v>
      </c>
      <c r="F326" t="str">
        <f>TRIM(PROPER(TTrainingSource[[#This Row],[Training_Status2]]))</f>
        <v>Completed</v>
      </c>
      <c r="G326" t="s">
        <v>17</v>
      </c>
      <c r="H326" t="str">
        <f>TRIM(PROPER(TTrainingSource[[#This Row],[Training_Title2]]))</f>
        <v>Data Analysis Fundamentals</v>
      </c>
      <c r="I326" t="s">
        <v>9</v>
      </c>
      <c r="J326" s="1">
        <v>45901</v>
      </c>
      <c r="K326" t="s">
        <v>44</v>
      </c>
      <c r="L326" s="7">
        <v>32</v>
      </c>
      <c r="M326">
        <f>ROUND(TTrainingSource[[#This Row],[Satisfaction_Score2]],0)</f>
        <v>4</v>
      </c>
      <c r="N326">
        <v>3.7</v>
      </c>
    </row>
    <row r="327" spans="1:14" x14ac:dyDescent="0.3">
      <c r="A327" t="s">
        <v>699</v>
      </c>
      <c r="B327" t="str">
        <f>TRIM(TTrainingSource[[#This Row],[EMPloyee_ID2]])</f>
        <v>EMP10158</v>
      </c>
      <c r="C327" t="str">
        <f>IFERROR(VLOOKUP(TTrainingSource[[#This Row],[Employee_ID]],THrList[],3,FALSE),"")</f>
        <v>TOURE</v>
      </c>
      <c r="D327" t="str">
        <f>IFERROR(VLOOKUP(TTrainingSource[[#This Row],[Employee_ID]],THrList[],4,FALSE),"")</f>
        <v>Sophia</v>
      </c>
      <c r="E327" t="str">
        <f>IFERROR(VLOOKUP(TTrainingSource[[#This Row],[Employee_ID]],THrList[],10,FALSE),"")</f>
        <v>Human Resources</v>
      </c>
      <c r="F327" t="str">
        <f>TRIM(PROPER(TTrainingSource[[#This Row],[Training_Status2]]))</f>
        <v>In Progress</v>
      </c>
      <c r="G327" t="s">
        <v>8</v>
      </c>
      <c r="H327" t="str">
        <f>TRIM(PROPER(TTrainingSource[[#This Row],[Training_Title2]]))</f>
        <v>Power Bi Reporting</v>
      </c>
      <c r="I327" t="s">
        <v>24</v>
      </c>
      <c r="J327" s="1">
        <v>45696</v>
      </c>
      <c r="K327" t="s">
        <v>12</v>
      </c>
      <c r="L327" s="7">
        <v>6</v>
      </c>
      <c r="M327">
        <f>ROUND(TTrainingSource[[#This Row],[Satisfaction_Score2]],0)</f>
        <v>3</v>
      </c>
      <c r="N327">
        <v>2.7</v>
      </c>
    </row>
    <row r="328" spans="1:14" x14ac:dyDescent="0.3">
      <c r="A328" t="s">
        <v>563</v>
      </c>
      <c r="B328" t="str">
        <f>TRIM(TTrainingSource[[#This Row],[EMPloyee_ID2]])</f>
        <v>EMP10159</v>
      </c>
      <c r="C328" t="str">
        <f>IFERROR(VLOOKUP(TTrainingSource[[#This Row],[Employee_ID]],THrList[],3,FALSE),"")</f>
        <v>SOW</v>
      </c>
      <c r="D328" t="str">
        <f>IFERROR(VLOOKUP(TTrainingSource[[#This Row],[Employee_ID]],THrList[],4,FALSE),"")</f>
        <v>Amelia</v>
      </c>
      <c r="E328" t="str">
        <f>IFERROR(VLOOKUP(TTrainingSource[[#This Row],[Employee_ID]],THrList[],10,FALSE),"")</f>
        <v>Finance</v>
      </c>
      <c r="F328" t="str">
        <f>TRIM(PROPER(TTrainingSource[[#This Row],[Training_Status2]]))</f>
        <v>Completed</v>
      </c>
      <c r="G328" t="s">
        <v>17</v>
      </c>
      <c r="H328" t="str">
        <f>TRIM(PROPER(TTrainingSource[[#This Row],[Training_Title2]]))</f>
        <v>Business Intelligence With Tableau</v>
      </c>
      <c r="I328" t="s">
        <v>564</v>
      </c>
      <c r="J328" s="1">
        <v>44997</v>
      </c>
      <c r="K328" t="s">
        <v>39</v>
      </c>
      <c r="L328" s="7">
        <v>16</v>
      </c>
      <c r="M328">
        <f>ROUND(TTrainingSource[[#This Row],[Satisfaction_Score2]],0)</f>
        <v>4</v>
      </c>
      <c r="N328">
        <v>4</v>
      </c>
    </row>
    <row r="329" spans="1:14" x14ac:dyDescent="0.3">
      <c r="A329" t="s">
        <v>563</v>
      </c>
      <c r="B329" t="str">
        <f>TRIM(TTrainingSource[[#This Row],[EMPloyee_ID2]])</f>
        <v>EMP10159</v>
      </c>
      <c r="C329" t="str">
        <f>IFERROR(VLOOKUP(TTrainingSource[[#This Row],[Employee_ID]],THrList[],3,FALSE),"")</f>
        <v>SOW</v>
      </c>
      <c r="D329" t="str">
        <f>IFERROR(VLOOKUP(TTrainingSource[[#This Row],[Employee_ID]],THrList[],4,FALSE),"")</f>
        <v>Amelia</v>
      </c>
      <c r="E329" t="str">
        <f>IFERROR(VLOOKUP(TTrainingSource[[#This Row],[Employee_ID]],THrList[],10,FALSE),"")</f>
        <v>Finance</v>
      </c>
      <c r="F329" t="str">
        <f>TRIM(PROPER(TTrainingSource[[#This Row],[Training_Status2]]))</f>
        <v>In Progress</v>
      </c>
      <c r="G329" t="s">
        <v>8</v>
      </c>
      <c r="H329" t="str">
        <f>TRIM(PROPER(TTrainingSource[[#This Row],[Training_Title2]]))</f>
        <v>Data Visualization Best Practices</v>
      </c>
      <c r="I329" t="s">
        <v>20</v>
      </c>
      <c r="J329" s="1">
        <v>44994</v>
      </c>
      <c r="K329" t="s">
        <v>46</v>
      </c>
      <c r="L329" s="7">
        <v>8</v>
      </c>
      <c r="M329">
        <f>ROUND(TTrainingSource[[#This Row],[Satisfaction_Score2]],0)</f>
        <v>4</v>
      </c>
      <c r="N329">
        <v>4.0999999999999996</v>
      </c>
    </row>
    <row r="330" spans="1:14" x14ac:dyDescent="0.3">
      <c r="A330" t="s">
        <v>563</v>
      </c>
      <c r="B330" t="str">
        <f>TRIM(TTrainingSource[[#This Row],[EMPloyee_ID2]])</f>
        <v>EMP10159</v>
      </c>
      <c r="C330" t="str">
        <f>IFERROR(VLOOKUP(TTrainingSource[[#This Row],[Employee_ID]],THrList[],3,FALSE),"")</f>
        <v>SOW</v>
      </c>
      <c r="D330" t="str">
        <f>IFERROR(VLOOKUP(TTrainingSource[[#This Row],[Employee_ID]],THrList[],4,FALSE),"")</f>
        <v>Amelia</v>
      </c>
      <c r="E330" t="str">
        <f>IFERROR(VLOOKUP(TTrainingSource[[#This Row],[Employee_ID]],THrList[],10,FALSE),"")</f>
        <v>Finance</v>
      </c>
      <c r="F330" t="str">
        <f>TRIM(PROPER(TTrainingSource[[#This Row],[Training_Status2]]))</f>
        <v>In Progress</v>
      </c>
      <c r="G330" t="s">
        <v>8</v>
      </c>
      <c r="H330" t="str">
        <f>TRIM(PROPER(TTrainingSource[[#This Row],[Training_Title2]]))</f>
        <v>Business Intelligence With Tableau</v>
      </c>
      <c r="I330" t="s">
        <v>22</v>
      </c>
      <c r="J330" s="1">
        <v>45404</v>
      </c>
      <c r="K330" t="s">
        <v>42</v>
      </c>
      <c r="L330" s="7">
        <v>8</v>
      </c>
      <c r="M330">
        <f>ROUND(TTrainingSource[[#This Row],[Satisfaction_Score2]],0)</f>
        <v>4</v>
      </c>
      <c r="N330">
        <v>3.7</v>
      </c>
    </row>
    <row r="331" spans="1:14" x14ac:dyDescent="0.3">
      <c r="A331" t="s">
        <v>509</v>
      </c>
      <c r="B331" t="str">
        <f>TRIM(TTrainingSource[[#This Row],[EMPloyee_ID2]])</f>
        <v>EMP10160</v>
      </c>
      <c r="C331" t="str">
        <f>IFERROR(VLOOKUP(TTrainingSource[[#This Row],[Employee_ID]],THrList[],3,FALSE),"")</f>
        <v>MOREAU</v>
      </c>
      <c r="D331" t="str">
        <f>IFERROR(VLOOKUP(TTrainingSource[[#This Row],[Employee_ID]],THrList[],4,FALSE),"")</f>
        <v>Kwame</v>
      </c>
      <c r="E331" t="str">
        <f>IFERROR(VLOOKUP(TTrainingSource[[#This Row],[Employee_ID]],THrList[],10,FALSE),"")</f>
        <v>Finance</v>
      </c>
      <c r="F331" t="str">
        <f>TRIM(PROPER(TTrainingSource[[#This Row],[Training_Status2]]))</f>
        <v>Completed</v>
      </c>
      <c r="G331" t="s">
        <v>17</v>
      </c>
      <c r="H331" t="str">
        <f>TRIM(PROPER(TTrainingSource[[#This Row],[Training_Title2]]))</f>
        <v>Data Analysis Fundamentals</v>
      </c>
      <c r="I331" t="s">
        <v>9</v>
      </c>
      <c r="J331" s="1">
        <v>45511</v>
      </c>
      <c r="K331" t="s">
        <v>46</v>
      </c>
      <c r="L331" s="7">
        <v>0</v>
      </c>
      <c r="M331">
        <f>ROUND(TTrainingSource[[#This Row],[Satisfaction_Score2]],0)</f>
        <v>3</v>
      </c>
      <c r="N331">
        <v>3.1</v>
      </c>
    </row>
    <row r="332" spans="1:14" x14ac:dyDescent="0.3">
      <c r="A332" t="s">
        <v>509</v>
      </c>
      <c r="B332" t="str">
        <f>TRIM(TTrainingSource[[#This Row],[EMPloyee_ID2]])</f>
        <v>EMP10160</v>
      </c>
      <c r="C332" t="str">
        <f>IFERROR(VLOOKUP(TTrainingSource[[#This Row],[Employee_ID]],THrList[],3,FALSE),"")</f>
        <v>MOREAU</v>
      </c>
      <c r="D332" t="str">
        <f>IFERROR(VLOOKUP(TTrainingSource[[#This Row],[Employee_ID]],THrList[],4,FALSE),"")</f>
        <v>Kwame</v>
      </c>
      <c r="E332" t="str">
        <f>IFERROR(VLOOKUP(TTrainingSource[[#This Row],[Employee_ID]],THrList[],10,FALSE),"")</f>
        <v>Finance</v>
      </c>
      <c r="F332" t="str">
        <f>TRIM(PROPER(TTrainingSource[[#This Row],[Training_Status2]]))</f>
        <v>In Progress</v>
      </c>
      <c r="G332" t="s">
        <v>8</v>
      </c>
      <c r="H332" t="str">
        <f>TRIM(PROPER(TTrainingSource[[#This Row],[Training_Title2]]))</f>
        <v>Project Management Essentials</v>
      </c>
      <c r="I332" t="s">
        <v>14</v>
      </c>
      <c r="J332" s="1">
        <v>45255</v>
      </c>
      <c r="K332" t="s">
        <v>42</v>
      </c>
      <c r="L332" s="7">
        <v>8</v>
      </c>
      <c r="M332">
        <f>ROUND(TTrainingSource[[#This Row],[Satisfaction_Score2]],0)</f>
        <v>4</v>
      </c>
      <c r="N332">
        <v>3.7</v>
      </c>
    </row>
    <row r="333" spans="1:14" x14ac:dyDescent="0.3">
      <c r="A333" t="s">
        <v>582</v>
      </c>
      <c r="B333" t="str">
        <f>TRIM(TTrainingSource[[#This Row],[EMPloyee_ID2]])</f>
        <v>EMP10161</v>
      </c>
      <c r="C333" t="str">
        <f>IFERROR(VLOOKUP(TTrainingSource[[#This Row],[Employee_ID]],THrList[],3,FALSE),"")</f>
        <v>ALI</v>
      </c>
      <c r="D333" t="str">
        <f>IFERROR(VLOOKUP(TTrainingSource[[#This Row],[Employee_ID]],THrList[],4,FALSE),"")</f>
        <v>Isabella</v>
      </c>
      <c r="E333" t="str">
        <f>IFERROR(VLOOKUP(TTrainingSource[[#This Row],[Employee_ID]],THrList[],10,FALSE),"")</f>
        <v>Compliance</v>
      </c>
      <c r="F333" t="str">
        <f>TRIM(PROPER(TTrainingSource[[#This Row],[Training_Status2]]))</f>
        <v>Completed</v>
      </c>
      <c r="G333" t="s">
        <v>69</v>
      </c>
      <c r="H333" t="str">
        <f>TRIM(PROPER(TTrainingSource[[#This Row],[Training_Title2]]))</f>
        <v>Communication For Analysts</v>
      </c>
      <c r="I333" t="s">
        <v>28</v>
      </c>
      <c r="J333" s="1">
        <v>44830</v>
      </c>
      <c r="K333" t="s">
        <v>1072</v>
      </c>
      <c r="L333" s="7">
        <v>24</v>
      </c>
      <c r="M333">
        <f>ROUND(TTrainingSource[[#This Row],[Satisfaction_Score2]],0)</f>
        <v>3</v>
      </c>
      <c r="N333">
        <v>2.6</v>
      </c>
    </row>
    <row r="334" spans="1:14" x14ac:dyDescent="0.3">
      <c r="A334" t="s">
        <v>51</v>
      </c>
      <c r="B334" t="str">
        <f>TRIM(TTrainingSource[[#This Row],[EMPloyee_ID2]])</f>
        <v>EMP10162</v>
      </c>
      <c r="C334" t="str">
        <f>IFERROR(VLOOKUP(TTrainingSource[[#This Row],[Employee_ID]],THrList[],3,FALSE),"")</f>
        <v>CAMARA</v>
      </c>
      <c r="D334" t="str">
        <f>IFERROR(VLOOKUP(TTrainingSource[[#This Row],[Employee_ID]],THrList[],4,FALSE),"")</f>
        <v>Amina</v>
      </c>
      <c r="E334" t="str">
        <f>IFERROR(VLOOKUP(TTrainingSource[[#This Row],[Employee_ID]],THrList[],10,FALSE),"")</f>
        <v>Marketing</v>
      </c>
      <c r="F334" t="str">
        <f>TRIM(PROPER(TTrainingSource[[#This Row],[Training_Status2]]))</f>
        <v>In Progress</v>
      </c>
      <c r="G334" t="s">
        <v>8</v>
      </c>
      <c r="H334" t="str">
        <f>TRIM(PROPER(TTrainingSource[[#This Row],[Training_Title2]]))</f>
        <v>Advanced Excel For Business</v>
      </c>
      <c r="I334" t="s">
        <v>52</v>
      </c>
      <c r="J334" s="1">
        <v>44771</v>
      </c>
      <c r="K334" t="s">
        <v>42</v>
      </c>
      <c r="L334" s="7">
        <v>40</v>
      </c>
      <c r="M334">
        <f>ROUND(TTrainingSource[[#This Row],[Satisfaction_Score2]],0)</f>
        <v>3</v>
      </c>
      <c r="N334">
        <v>3.3</v>
      </c>
    </row>
    <row r="335" spans="1:14" x14ac:dyDescent="0.3">
      <c r="A335" t="s">
        <v>51</v>
      </c>
      <c r="B335" t="str">
        <f>TRIM(TTrainingSource[[#This Row],[EMPloyee_ID2]])</f>
        <v>EMP10162</v>
      </c>
      <c r="C335" t="str">
        <f>IFERROR(VLOOKUP(TTrainingSource[[#This Row],[Employee_ID]],THrList[],3,FALSE),"")</f>
        <v>CAMARA</v>
      </c>
      <c r="D335" t="str">
        <f>IFERROR(VLOOKUP(TTrainingSource[[#This Row],[Employee_ID]],THrList[],4,FALSE),"")</f>
        <v>Amina</v>
      </c>
      <c r="E335" t="str">
        <f>IFERROR(VLOOKUP(TTrainingSource[[#This Row],[Employee_ID]],THrList[],10,FALSE),"")</f>
        <v>Marketing</v>
      </c>
      <c r="F335" t="str">
        <f>TRIM(PROPER(TTrainingSource[[#This Row],[Training_Status2]]))</f>
        <v>Completed</v>
      </c>
      <c r="G335" t="s">
        <v>17</v>
      </c>
      <c r="H335" t="str">
        <f>TRIM(PROPER(TTrainingSource[[#This Row],[Training_Title2]]))</f>
        <v>Customer Data Analysis</v>
      </c>
      <c r="I335" t="s">
        <v>31</v>
      </c>
      <c r="J335" s="1">
        <v>45798</v>
      </c>
      <c r="K335" t="s">
        <v>42</v>
      </c>
      <c r="L335" s="7">
        <v>20</v>
      </c>
      <c r="M335">
        <f>ROUND(TTrainingSource[[#This Row],[Satisfaction_Score2]],0)</f>
        <v>3</v>
      </c>
      <c r="N335">
        <v>3</v>
      </c>
    </row>
    <row r="336" spans="1:14" x14ac:dyDescent="0.3">
      <c r="A336" t="s">
        <v>380</v>
      </c>
      <c r="B336" t="str">
        <f>TRIM(TTrainingSource[[#This Row],[EMPloyee_ID2]])</f>
        <v>EMP10162</v>
      </c>
      <c r="C336" t="str">
        <f>IFERROR(VLOOKUP(TTrainingSource[[#This Row],[Employee_ID]],THrList[],3,FALSE),"")</f>
        <v>CAMARA</v>
      </c>
      <c r="D336" t="str">
        <f>IFERROR(VLOOKUP(TTrainingSource[[#This Row],[Employee_ID]],THrList[],4,FALSE),"")</f>
        <v>Amina</v>
      </c>
      <c r="E336" t="str">
        <f>IFERROR(VLOOKUP(TTrainingSource[[#This Row],[Employee_ID]],THrList[],10,FALSE),"")</f>
        <v>Marketing</v>
      </c>
      <c r="F336" t="str">
        <f>TRIM(PROPER(TTrainingSource[[#This Row],[Training_Status2]]))</f>
        <v>Completed</v>
      </c>
      <c r="G336" t="s">
        <v>17</v>
      </c>
      <c r="H336" t="str">
        <f>TRIM(PROPER(TTrainingSource[[#This Row],[Training_Title2]]))</f>
        <v>Financial Modeling Basics</v>
      </c>
      <c r="I336" t="s">
        <v>38</v>
      </c>
      <c r="J336" s="1">
        <v>44878</v>
      </c>
      <c r="K336" t="s">
        <v>29</v>
      </c>
      <c r="L336" s="7">
        <v>12</v>
      </c>
      <c r="M336">
        <f>ROUND(TTrainingSource[[#This Row],[Satisfaction_Score2]],0)</f>
        <v>3</v>
      </c>
      <c r="N336">
        <v>2.9</v>
      </c>
    </row>
    <row r="337" spans="1:14" x14ac:dyDescent="0.3">
      <c r="A337" t="s">
        <v>51</v>
      </c>
      <c r="B337" t="str">
        <f>TRIM(TTrainingSource[[#This Row],[EMPloyee_ID2]])</f>
        <v>EMP10162</v>
      </c>
      <c r="C337" t="str">
        <f>IFERROR(VLOOKUP(TTrainingSource[[#This Row],[Employee_ID]],THrList[],3,FALSE),"")</f>
        <v>CAMARA</v>
      </c>
      <c r="D337" t="str">
        <f>IFERROR(VLOOKUP(TTrainingSource[[#This Row],[Employee_ID]],THrList[],4,FALSE),"")</f>
        <v>Amina</v>
      </c>
      <c r="E337" t="str">
        <f>IFERROR(VLOOKUP(TTrainingSource[[#This Row],[Employee_ID]],THrList[],10,FALSE),"")</f>
        <v>Marketing</v>
      </c>
      <c r="F337" t="str">
        <f>TRIM(PROPER(TTrainingSource[[#This Row],[Training_Status2]]))</f>
        <v>Completed</v>
      </c>
      <c r="G337" t="s">
        <v>17</v>
      </c>
      <c r="H337" t="str">
        <f>TRIM(PROPER(TTrainingSource[[#This Row],[Training_Title2]]))</f>
        <v>Customer Data Analysis</v>
      </c>
      <c r="I337" t="s">
        <v>31</v>
      </c>
      <c r="J337" s="1">
        <v>45139</v>
      </c>
      <c r="K337" t="s">
        <v>46</v>
      </c>
      <c r="L337" s="7">
        <v>16</v>
      </c>
      <c r="M337">
        <f>ROUND(TTrainingSource[[#This Row],[Satisfaction_Score2]],0)</f>
        <v>5</v>
      </c>
      <c r="N337">
        <v>4.9000000000000004</v>
      </c>
    </row>
    <row r="338" spans="1:14" x14ac:dyDescent="0.3">
      <c r="A338" t="s">
        <v>941</v>
      </c>
      <c r="B338" t="str">
        <f>TRIM(TTrainingSource[[#This Row],[EMPloyee_ID2]])</f>
        <v>EMP10164</v>
      </c>
      <c r="C338" t="str">
        <f>IFERROR(VLOOKUP(TTrainingSource[[#This Row],[Employee_ID]],THrList[],3,FALSE),"")</f>
        <v>IBRAHIM</v>
      </c>
      <c r="D338" t="str">
        <f>IFERROR(VLOOKUP(TTrainingSource[[#This Row],[Employee_ID]],THrList[],4,FALSE),"")</f>
        <v>Ibrahim</v>
      </c>
      <c r="E338" t="str">
        <f>IFERROR(VLOOKUP(TTrainingSource[[#This Row],[Employee_ID]],THrList[],10,FALSE),"")</f>
        <v>Sales</v>
      </c>
      <c r="F338" t="str">
        <f>TRIM(PROPER(TTrainingSource[[#This Row],[Training_Status2]]))</f>
        <v>Completed</v>
      </c>
      <c r="G338" t="s">
        <v>17</v>
      </c>
      <c r="H338" t="str">
        <f>TRIM(PROPER(TTrainingSource[[#This Row],[Training_Title2]]))</f>
        <v>Customer Data Analysis</v>
      </c>
      <c r="I338" t="s">
        <v>31</v>
      </c>
      <c r="J338" s="1">
        <v>44863</v>
      </c>
      <c r="K338" t="s">
        <v>98</v>
      </c>
      <c r="L338" s="7">
        <v>12</v>
      </c>
      <c r="M338">
        <f>ROUND(TTrainingSource[[#This Row],[Satisfaction_Score2]],0)</f>
        <v>3</v>
      </c>
      <c r="N338">
        <v>2.6</v>
      </c>
    </row>
    <row r="339" spans="1:14" x14ac:dyDescent="0.3">
      <c r="A339" t="s">
        <v>551</v>
      </c>
      <c r="B339" t="str">
        <f>TRIM(TTrainingSource[[#This Row],[EMPloyee_ID2]])</f>
        <v>EMP10165</v>
      </c>
      <c r="C339" t="str">
        <f>IFERROR(VLOOKUP(TTrainingSource[[#This Row],[Employee_ID]],THrList[],3,FALSE),"")</f>
        <v>HASSAN</v>
      </c>
      <c r="D339" t="str">
        <f>IFERROR(VLOOKUP(TTrainingSource[[#This Row],[Employee_ID]],THrList[],4,FALSE),"")</f>
        <v>Harper</v>
      </c>
      <c r="E339" t="str">
        <f>IFERROR(VLOOKUP(TTrainingSource[[#This Row],[Employee_ID]],THrList[],10,FALSE),"")</f>
        <v>Operations</v>
      </c>
      <c r="F339" t="str">
        <f>TRIM(PROPER(TTrainingSource[[#This Row],[Training_Status2]]))</f>
        <v>Completed</v>
      </c>
      <c r="G339" t="s">
        <v>17</v>
      </c>
      <c r="H339" t="str">
        <f>TRIM(PROPER(TTrainingSource[[#This Row],[Training_Title2]]))</f>
        <v>Customer Data Analysis</v>
      </c>
      <c r="I339" t="s">
        <v>31</v>
      </c>
      <c r="J339" s="1">
        <v>45135</v>
      </c>
      <c r="K339" t="s">
        <v>46</v>
      </c>
      <c r="L339" s="7">
        <v>16</v>
      </c>
      <c r="M339">
        <f>ROUND(TTrainingSource[[#This Row],[Satisfaction_Score2]],0)</f>
        <v>3</v>
      </c>
      <c r="N339">
        <v>2.8</v>
      </c>
    </row>
    <row r="340" spans="1:14" x14ac:dyDescent="0.3">
      <c r="A340" t="s">
        <v>551</v>
      </c>
      <c r="B340" t="str">
        <f>TRIM(TTrainingSource[[#This Row],[EMPloyee_ID2]])</f>
        <v>EMP10165</v>
      </c>
      <c r="C340" t="str">
        <f>IFERROR(VLOOKUP(TTrainingSource[[#This Row],[Employee_ID]],THrList[],3,FALSE),"")</f>
        <v>HASSAN</v>
      </c>
      <c r="D340" t="str">
        <f>IFERROR(VLOOKUP(TTrainingSource[[#This Row],[Employee_ID]],THrList[],4,FALSE),"")</f>
        <v>Harper</v>
      </c>
      <c r="E340" t="str">
        <f>IFERROR(VLOOKUP(TTrainingSource[[#This Row],[Employee_ID]],THrList[],10,FALSE),"")</f>
        <v>Operations</v>
      </c>
      <c r="F340" t="str">
        <f>TRIM(PROPER(TTrainingSource[[#This Row],[Training_Status2]]))</f>
        <v>Completed</v>
      </c>
      <c r="G340" t="s">
        <v>17</v>
      </c>
      <c r="H340" t="str">
        <f>TRIM(PROPER(TTrainingSource[[#This Row],[Training_Title2]]))</f>
        <v>Business Intelligence With Tableau</v>
      </c>
      <c r="I340" t="s">
        <v>517</v>
      </c>
      <c r="J340" s="1">
        <v>45859</v>
      </c>
      <c r="K340" t="s">
        <v>1072</v>
      </c>
      <c r="L340" s="7">
        <v>4</v>
      </c>
      <c r="M340">
        <f>ROUND(TTrainingSource[[#This Row],[Satisfaction_Score2]],0)</f>
        <v>4</v>
      </c>
      <c r="N340">
        <v>3.9</v>
      </c>
    </row>
    <row r="341" spans="1:14" x14ac:dyDescent="0.3">
      <c r="A341" t="s">
        <v>551</v>
      </c>
      <c r="B341" t="str">
        <f>TRIM(TTrainingSource[[#This Row],[EMPloyee_ID2]])</f>
        <v>EMP10165</v>
      </c>
      <c r="C341" t="str">
        <f>IFERROR(VLOOKUP(TTrainingSource[[#This Row],[Employee_ID]],THrList[],3,FALSE),"")</f>
        <v>HASSAN</v>
      </c>
      <c r="D341" t="str">
        <f>IFERROR(VLOOKUP(TTrainingSource[[#This Row],[Employee_ID]],THrList[],4,FALSE),"")</f>
        <v>Harper</v>
      </c>
      <c r="E341" t="str">
        <f>IFERROR(VLOOKUP(TTrainingSource[[#This Row],[Employee_ID]],THrList[],10,FALSE),"")</f>
        <v>Operations</v>
      </c>
      <c r="F341" t="str">
        <f>TRIM(PROPER(TTrainingSource[[#This Row],[Training_Status2]]))</f>
        <v>Completed</v>
      </c>
      <c r="G341" t="s">
        <v>35</v>
      </c>
      <c r="H341" t="str">
        <f>TRIM(PROPER(TTrainingSource[[#This Row],[Training_Title2]]))</f>
        <v>Customer Data Analysis</v>
      </c>
      <c r="I341" t="s">
        <v>31</v>
      </c>
      <c r="J341" s="1">
        <v>45570</v>
      </c>
      <c r="K341" t="s">
        <v>132</v>
      </c>
      <c r="L341" s="7">
        <v>40</v>
      </c>
      <c r="M341">
        <f>ROUND(TTrainingSource[[#This Row],[Satisfaction_Score2]],0)</f>
        <v>3</v>
      </c>
      <c r="N341">
        <v>3.2</v>
      </c>
    </row>
    <row r="342" spans="1:14" x14ac:dyDescent="0.3">
      <c r="A342" t="s">
        <v>484</v>
      </c>
      <c r="B342" t="str">
        <f>TRIM(TTrainingSource[[#This Row],[EMPloyee_ID2]])</f>
        <v>EMP10166</v>
      </c>
      <c r="C342" t="str">
        <f>IFERROR(VLOOKUP(TTrainingSource[[#This Row],[Employee_ID]],THrList[],3,FALSE),"")</f>
        <v>TRAORE</v>
      </c>
      <c r="D342" t="str">
        <f>IFERROR(VLOOKUP(TTrainingSource[[#This Row],[Employee_ID]],THrList[],4,FALSE),"")</f>
        <v>Harper</v>
      </c>
      <c r="E342" t="str">
        <f>IFERROR(VLOOKUP(TTrainingSource[[#This Row],[Employee_ID]],THrList[],10,FALSE),"")</f>
        <v>Finance</v>
      </c>
      <c r="F342" t="str">
        <f>TRIM(PROPER(TTrainingSource[[#This Row],[Training_Status2]]))</f>
        <v>Completed</v>
      </c>
      <c r="G342" t="s">
        <v>17</v>
      </c>
      <c r="H342" t="str">
        <f>TRIM(PROPER(TTrainingSource[[#This Row],[Training_Title2]]))</f>
        <v>Data Analysis Fundamentals</v>
      </c>
      <c r="I342" t="s">
        <v>9</v>
      </c>
      <c r="J342" s="1">
        <v>45459</v>
      </c>
      <c r="K342" t="s">
        <v>32</v>
      </c>
      <c r="L342" s="7">
        <v>4</v>
      </c>
      <c r="M342">
        <f>ROUND(TTrainingSource[[#This Row],[Satisfaction_Score2]],0)</f>
        <v>5</v>
      </c>
      <c r="N342">
        <v>4.8</v>
      </c>
    </row>
    <row r="343" spans="1:14" x14ac:dyDescent="0.3">
      <c r="A343" t="s">
        <v>484</v>
      </c>
      <c r="B343" t="str">
        <f>TRIM(TTrainingSource[[#This Row],[EMPloyee_ID2]])</f>
        <v>EMP10166</v>
      </c>
      <c r="C343" t="str">
        <f>IFERROR(VLOOKUP(TTrainingSource[[#This Row],[Employee_ID]],THrList[],3,FALSE),"")</f>
        <v>TRAORE</v>
      </c>
      <c r="D343" t="str">
        <f>IFERROR(VLOOKUP(TTrainingSource[[#This Row],[Employee_ID]],THrList[],4,FALSE),"")</f>
        <v>Harper</v>
      </c>
      <c r="E343" t="str">
        <f>IFERROR(VLOOKUP(TTrainingSource[[#This Row],[Employee_ID]],THrList[],10,FALSE),"")</f>
        <v>Finance</v>
      </c>
      <c r="F343" t="str">
        <f>TRIM(PROPER(TTrainingSource[[#This Row],[Training_Status2]]))</f>
        <v>In Progress</v>
      </c>
      <c r="G343" t="s">
        <v>8</v>
      </c>
      <c r="H343" t="str">
        <f>TRIM(PROPER(TTrainingSource[[#This Row],[Training_Title2]]))</f>
        <v>Advanced Excel For Business</v>
      </c>
      <c r="I343" t="s">
        <v>52</v>
      </c>
      <c r="J343" s="1">
        <v>44601</v>
      </c>
      <c r="K343" t="s">
        <v>98</v>
      </c>
      <c r="L343" s="7">
        <v>4</v>
      </c>
      <c r="M343">
        <f>ROUND(TTrainingSource[[#This Row],[Satisfaction_Score2]],0)</f>
        <v>4</v>
      </c>
      <c r="N343">
        <v>3.5</v>
      </c>
    </row>
    <row r="344" spans="1:14" x14ac:dyDescent="0.3">
      <c r="A344" t="s">
        <v>198</v>
      </c>
      <c r="B344" t="str">
        <f>TRIM(TTrainingSource[[#This Row],[EMPloyee_ID2]])</f>
        <v>EMP10167</v>
      </c>
      <c r="C344" t="str">
        <f>IFERROR(VLOOKUP(TTrainingSource[[#This Row],[Employee_ID]],THrList[],3,FALSE),"")</f>
        <v>TRAORE</v>
      </c>
      <c r="D344" t="str">
        <f>IFERROR(VLOOKUP(TTrainingSource[[#This Row],[Employee_ID]],THrList[],4,FALSE),"")</f>
        <v>Isabella</v>
      </c>
      <c r="E344" t="str">
        <f>IFERROR(VLOOKUP(TTrainingSource[[#This Row],[Employee_ID]],THrList[],10,FALSE),"")</f>
        <v>Finance</v>
      </c>
      <c r="F344" t="str">
        <f>TRIM(PROPER(TTrainingSource[[#This Row],[Training_Status2]]))</f>
        <v>In Progress</v>
      </c>
      <c r="G344" t="s">
        <v>8</v>
      </c>
      <c r="H344" t="str">
        <f>TRIM(PROPER(TTrainingSource[[#This Row],[Training_Title2]]))</f>
        <v>Communication For Analysts</v>
      </c>
      <c r="I344" t="s">
        <v>28</v>
      </c>
      <c r="J344" s="1">
        <v>45535</v>
      </c>
      <c r="K344" t="s">
        <v>98</v>
      </c>
      <c r="L344" s="7">
        <v>6</v>
      </c>
      <c r="M344">
        <f>ROUND(TTrainingSource[[#This Row],[Satisfaction_Score2]],0)</f>
        <v>3</v>
      </c>
      <c r="N344">
        <v>3.2</v>
      </c>
    </row>
    <row r="345" spans="1:14" x14ac:dyDescent="0.3">
      <c r="A345" t="s">
        <v>592</v>
      </c>
      <c r="B345" t="str">
        <f>TRIM(TTrainingSource[[#This Row],[EMPloyee_ID2]])</f>
        <v>EMP10167</v>
      </c>
      <c r="C345" t="str">
        <f>IFERROR(VLOOKUP(TTrainingSource[[#This Row],[Employee_ID]],THrList[],3,FALSE),"")</f>
        <v>TRAORE</v>
      </c>
      <c r="D345" t="str">
        <f>IFERROR(VLOOKUP(TTrainingSource[[#This Row],[Employee_ID]],THrList[],4,FALSE),"")</f>
        <v>Isabella</v>
      </c>
      <c r="E345" t="str">
        <f>IFERROR(VLOOKUP(TTrainingSource[[#This Row],[Employee_ID]],THrList[],10,FALSE),"")</f>
        <v>Finance</v>
      </c>
      <c r="F345" t="str">
        <f>TRIM(PROPER(TTrainingSource[[#This Row],[Training_Status2]]))</f>
        <v>Planned</v>
      </c>
      <c r="G345" t="s">
        <v>19</v>
      </c>
      <c r="H345" t="str">
        <f>TRIM(PROPER(TTrainingSource[[#This Row],[Training_Title2]]))</f>
        <v>Customer Data Analysis</v>
      </c>
      <c r="I345" t="s">
        <v>31</v>
      </c>
      <c r="J345" s="1">
        <v>44853</v>
      </c>
      <c r="K345" t="s">
        <v>71</v>
      </c>
      <c r="L345" s="7">
        <v>16</v>
      </c>
      <c r="M345">
        <f>ROUND(TTrainingSource[[#This Row],[Satisfaction_Score2]],0)</f>
        <v>5</v>
      </c>
      <c r="N345">
        <v>4.5999999999999996</v>
      </c>
    </row>
    <row r="346" spans="1:14" x14ac:dyDescent="0.3">
      <c r="A346" t="s">
        <v>592</v>
      </c>
      <c r="B346" t="str">
        <f>TRIM(TTrainingSource[[#This Row],[EMPloyee_ID2]])</f>
        <v>EMP10167</v>
      </c>
      <c r="C346" t="str">
        <f>IFERROR(VLOOKUP(TTrainingSource[[#This Row],[Employee_ID]],THrList[],3,FALSE),"")</f>
        <v>TRAORE</v>
      </c>
      <c r="D346" t="str">
        <f>IFERROR(VLOOKUP(TTrainingSource[[#This Row],[Employee_ID]],THrList[],4,FALSE),"")</f>
        <v>Isabella</v>
      </c>
      <c r="E346" t="str">
        <f>IFERROR(VLOOKUP(TTrainingSource[[#This Row],[Employee_ID]],THrList[],10,FALSE),"")</f>
        <v>Finance</v>
      </c>
      <c r="F346" t="str">
        <f>TRIM(PROPER(TTrainingSource[[#This Row],[Training_Status2]]))</f>
        <v>Completed</v>
      </c>
      <c r="G346" t="s">
        <v>17</v>
      </c>
      <c r="H346" t="str">
        <f>TRIM(PROPER(TTrainingSource[[#This Row],[Training_Title2]]))</f>
        <v>Digital Marketing Strategy</v>
      </c>
      <c r="I346" t="s">
        <v>43</v>
      </c>
      <c r="J346" s="1">
        <v>44693</v>
      </c>
      <c r="K346" t="s">
        <v>29</v>
      </c>
      <c r="L346" s="7">
        <v>12</v>
      </c>
      <c r="M346">
        <f>ROUND(TTrainingSource[[#This Row],[Satisfaction_Score2]],0)</f>
        <v>4</v>
      </c>
      <c r="N346">
        <v>3.6</v>
      </c>
    </row>
    <row r="347" spans="1:14" x14ac:dyDescent="0.3">
      <c r="A347" t="s">
        <v>592</v>
      </c>
      <c r="B347" t="str">
        <f>TRIM(TTrainingSource[[#This Row],[EMPloyee_ID2]])</f>
        <v>EMP10167</v>
      </c>
      <c r="C347" t="str">
        <f>IFERROR(VLOOKUP(TTrainingSource[[#This Row],[Employee_ID]],THrList[],3,FALSE),"")</f>
        <v>TRAORE</v>
      </c>
      <c r="D347" t="str">
        <f>IFERROR(VLOOKUP(TTrainingSource[[#This Row],[Employee_ID]],THrList[],4,FALSE),"")</f>
        <v>Isabella</v>
      </c>
      <c r="E347" t="str">
        <f>IFERROR(VLOOKUP(TTrainingSource[[#This Row],[Employee_ID]],THrList[],10,FALSE),"")</f>
        <v>Finance</v>
      </c>
      <c r="F347" t="str">
        <f>TRIM(PROPER(TTrainingSource[[#This Row],[Training_Status2]]))</f>
        <v>In Progress</v>
      </c>
      <c r="G347" t="s">
        <v>8</v>
      </c>
      <c r="H347" t="str">
        <f>TRIM(PROPER(TTrainingSource[[#This Row],[Training_Title2]]))</f>
        <v>Sql For Data Analytics</v>
      </c>
      <c r="I347" t="s">
        <v>26</v>
      </c>
      <c r="J347" s="1">
        <v>44642</v>
      </c>
      <c r="K347" t="s">
        <v>12</v>
      </c>
      <c r="L347" s="7">
        <v>16</v>
      </c>
      <c r="M347">
        <f>ROUND(TTrainingSource[[#This Row],[Satisfaction_Score2]],0)</f>
        <v>3</v>
      </c>
      <c r="N347">
        <v>2.6</v>
      </c>
    </row>
    <row r="348" spans="1:14" x14ac:dyDescent="0.3">
      <c r="A348" t="s">
        <v>592</v>
      </c>
      <c r="B348" t="str">
        <f>TRIM(TTrainingSource[[#This Row],[EMPloyee_ID2]])</f>
        <v>EMP10167</v>
      </c>
      <c r="C348" t="str">
        <f>IFERROR(VLOOKUP(TTrainingSource[[#This Row],[Employee_ID]],THrList[],3,FALSE),"")</f>
        <v>TRAORE</v>
      </c>
      <c r="D348" t="str">
        <f>IFERROR(VLOOKUP(TTrainingSource[[#This Row],[Employee_ID]],THrList[],4,FALSE),"")</f>
        <v>Isabella</v>
      </c>
      <c r="E348" t="str">
        <f>IFERROR(VLOOKUP(TTrainingSource[[#This Row],[Employee_ID]],THrList[],10,FALSE),"")</f>
        <v>Finance</v>
      </c>
      <c r="F348" t="str">
        <f>TRIM(PROPER(TTrainingSource[[#This Row],[Training_Status2]]))</f>
        <v>Completed</v>
      </c>
      <c r="G348" t="s">
        <v>17</v>
      </c>
      <c r="H348" t="str">
        <f>TRIM(PROPER(TTrainingSource[[#This Row],[Training_Title2]]))</f>
        <v>Data Visualization Best Practices</v>
      </c>
      <c r="I348" t="s">
        <v>20</v>
      </c>
      <c r="J348" s="1">
        <v>45846</v>
      </c>
      <c r="K348" t="s">
        <v>44</v>
      </c>
      <c r="L348" s="7">
        <v>40</v>
      </c>
      <c r="M348">
        <f>ROUND(TTrainingSource[[#This Row],[Satisfaction_Score2]],0)</f>
        <v>3</v>
      </c>
      <c r="N348">
        <v>2.6</v>
      </c>
    </row>
    <row r="349" spans="1:14" x14ac:dyDescent="0.3">
      <c r="A349" t="s">
        <v>560</v>
      </c>
      <c r="B349" t="str">
        <f>TRIM(TTrainingSource[[#This Row],[EMPloyee_ID2]])</f>
        <v>EMP10168</v>
      </c>
      <c r="C349" t="str">
        <f>IFERROR(VLOOKUP(TTrainingSource[[#This Row],[Employee_ID]],THrList[],3,FALSE),"")</f>
        <v>LOPEZ</v>
      </c>
      <c r="D349" t="str">
        <f>IFERROR(VLOOKUP(TTrainingSource[[#This Row],[Employee_ID]],THrList[],4,FALSE),"")</f>
        <v>Olivia</v>
      </c>
      <c r="E349" t="str">
        <f>IFERROR(VLOOKUP(TTrainingSource[[#This Row],[Employee_ID]],THrList[],10,FALSE),"")</f>
        <v>Marketing</v>
      </c>
      <c r="F349" t="str">
        <f>TRIM(PROPER(TTrainingSource[[#This Row],[Training_Status2]]))</f>
        <v>Completed</v>
      </c>
      <c r="G349" t="s">
        <v>17</v>
      </c>
      <c r="H349" t="str">
        <f>TRIM(PROPER(TTrainingSource[[#This Row],[Training_Title2]]))</f>
        <v>Financial Modeling Basics</v>
      </c>
      <c r="I349" t="s">
        <v>38</v>
      </c>
      <c r="J349" s="1">
        <v>45224</v>
      </c>
      <c r="K349" t="s">
        <v>44</v>
      </c>
      <c r="L349" s="7">
        <v>32</v>
      </c>
      <c r="M349">
        <f>ROUND(TTrainingSource[[#This Row],[Satisfaction_Score2]],0)</f>
        <v>3</v>
      </c>
      <c r="N349">
        <v>2.7</v>
      </c>
    </row>
    <row r="350" spans="1:14" x14ac:dyDescent="0.3">
      <c r="A350" t="s">
        <v>516</v>
      </c>
      <c r="B350" t="str">
        <f>TRIM(TTrainingSource[[#This Row],[EMPloyee_ID2]])</f>
        <v>EMP10170</v>
      </c>
      <c r="C350" t="str">
        <f>IFERROR(VLOOKUP(TTrainingSource[[#This Row],[Employee_ID]],THrList[],3,FALSE),"")</f>
        <v>RODRIGUEZ</v>
      </c>
      <c r="D350" t="str">
        <f>IFERROR(VLOOKUP(TTrainingSource[[#This Row],[Employee_ID]],THrList[],4,FALSE),"")</f>
        <v>Kwame</v>
      </c>
      <c r="E350" t="str">
        <f>IFERROR(VLOOKUP(TTrainingSource[[#This Row],[Employee_ID]],THrList[],10,FALSE),"")</f>
        <v>Marketing</v>
      </c>
      <c r="F350" t="str">
        <f>TRIM(PROPER(TTrainingSource[[#This Row],[Training_Status2]]))</f>
        <v>Completed</v>
      </c>
      <c r="G350" t="s">
        <v>17</v>
      </c>
      <c r="H350" t="str">
        <f>TRIM(PROPER(TTrainingSource[[#This Row],[Training_Title2]]))</f>
        <v>Data Analysis Fundamentals</v>
      </c>
      <c r="I350" t="s">
        <v>9</v>
      </c>
      <c r="J350" s="1">
        <v>45816</v>
      </c>
      <c r="K350" t="s">
        <v>42</v>
      </c>
      <c r="L350" s="7">
        <v>40</v>
      </c>
      <c r="M350">
        <f>ROUND(TTrainingSource[[#This Row],[Satisfaction_Score2]],0)</f>
        <v>3</v>
      </c>
      <c r="N350">
        <v>2.5</v>
      </c>
    </row>
    <row r="351" spans="1:14" x14ac:dyDescent="0.3">
      <c r="A351" t="s">
        <v>516</v>
      </c>
      <c r="B351" t="str">
        <f>TRIM(TTrainingSource[[#This Row],[EMPloyee_ID2]])</f>
        <v>EMP10170</v>
      </c>
      <c r="C351" t="str">
        <f>IFERROR(VLOOKUP(TTrainingSource[[#This Row],[Employee_ID]],THrList[],3,FALSE),"")</f>
        <v>RODRIGUEZ</v>
      </c>
      <c r="D351" t="str">
        <f>IFERROR(VLOOKUP(TTrainingSource[[#This Row],[Employee_ID]],THrList[],4,FALSE),"")</f>
        <v>Kwame</v>
      </c>
      <c r="E351" t="str">
        <f>IFERROR(VLOOKUP(TTrainingSource[[#This Row],[Employee_ID]],THrList[],10,FALSE),"")</f>
        <v>Marketing</v>
      </c>
      <c r="F351" t="str">
        <f>TRIM(PROPER(TTrainingSource[[#This Row],[Training_Status2]]))</f>
        <v>Planned</v>
      </c>
      <c r="G351" t="s">
        <v>19</v>
      </c>
      <c r="H351" t="str">
        <f>TRIM(PROPER(TTrainingSource[[#This Row],[Training_Title2]]))</f>
        <v>Financial Modeling Basics</v>
      </c>
      <c r="I351" t="s">
        <v>38</v>
      </c>
      <c r="J351" s="1">
        <v>45661</v>
      </c>
      <c r="K351" t="s">
        <v>29</v>
      </c>
      <c r="L351" s="7">
        <v>20</v>
      </c>
      <c r="M351">
        <f>ROUND(TTrainingSource[[#This Row],[Satisfaction_Score2]],0)</f>
        <v>4</v>
      </c>
      <c r="N351">
        <v>4.4000000000000004</v>
      </c>
    </row>
    <row r="352" spans="1:14" x14ac:dyDescent="0.3">
      <c r="A352" t="s">
        <v>30</v>
      </c>
      <c r="B352" t="str">
        <f>TRIM(TTrainingSource[[#This Row],[EMPloyee_ID2]])</f>
        <v>EMP10171</v>
      </c>
      <c r="C352" t="str">
        <f>IFERROR(VLOOKUP(TTrainingSource[[#This Row],[Employee_ID]],THrList[],3,FALSE),"")</f>
        <v>KIM</v>
      </c>
      <c r="D352" t="str">
        <f>IFERROR(VLOOKUP(TTrainingSource[[#This Row],[Employee_ID]],THrList[],4,FALSE),"")</f>
        <v>Omar</v>
      </c>
      <c r="E352" t="str">
        <f>IFERROR(VLOOKUP(TTrainingSource[[#This Row],[Employee_ID]],THrList[],10,FALSE),"")</f>
        <v>Procurement</v>
      </c>
      <c r="F352" t="str">
        <f>TRIM(PROPER(TTrainingSource[[#This Row],[Training_Status2]]))</f>
        <v>Completed</v>
      </c>
      <c r="G352" t="s">
        <v>17</v>
      </c>
      <c r="H352" t="str">
        <f>TRIM(PROPER(TTrainingSource[[#This Row],[Training_Title2]]))</f>
        <v>Customer Data Analysis</v>
      </c>
      <c r="I352" t="s">
        <v>31</v>
      </c>
      <c r="J352" s="1">
        <v>45285</v>
      </c>
      <c r="K352" t="s">
        <v>32</v>
      </c>
      <c r="L352" s="7">
        <v>16</v>
      </c>
      <c r="M352">
        <f>ROUND(TTrainingSource[[#This Row],[Satisfaction_Score2]],0)</f>
        <v>4</v>
      </c>
      <c r="N352">
        <v>3.5</v>
      </c>
    </row>
    <row r="353" spans="1:14" x14ac:dyDescent="0.3">
      <c r="A353" t="s">
        <v>944</v>
      </c>
      <c r="B353" t="str">
        <f>TRIM(TTrainingSource[[#This Row],[EMPloyee_ID2]])</f>
        <v>EMP10172</v>
      </c>
      <c r="C353" t="str">
        <f>IFERROR(VLOOKUP(TTrainingSource[[#This Row],[Employee_ID]],THrList[],3,FALSE),"")</f>
        <v>LAURENT</v>
      </c>
      <c r="D353" t="str">
        <f>IFERROR(VLOOKUP(TTrainingSource[[#This Row],[Employee_ID]],THrList[],4,FALSE),"")</f>
        <v>Kofi</v>
      </c>
      <c r="E353" t="str">
        <f>IFERROR(VLOOKUP(TTrainingSource[[#This Row],[Employee_ID]],THrList[],10,FALSE),"")</f>
        <v>Customer Support</v>
      </c>
      <c r="F353" t="str">
        <f>TRIM(PROPER(TTrainingSource[[#This Row],[Training_Status2]]))</f>
        <v>In Progress</v>
      </c>
      <c r="G353" t="s">
        <v>8</v>
      </c>
      <c r="H353" t="str">
        <f>TRIM(PROPER(TTrainingSource[[#This Row],[Training_Title2]]))</f>
        <v>Advanced Excel For Business</v>
      </c>
      <c r="I353" t="s">
        <v>544</v>
      </c>
      <c r="J353" s="1">
        <v>44883</v>
      </c>
      <c r="K353" t="s">
        <v>44</v>
      </c>
      <c r="L353" s="7">
        <v>12</v>
      </c>
      <c r="M353">
        <f>ROUND(TTrainingSource[[#This Row],[Satisfaction_Score2]],0)</f>
        <v>4</v>
      </c>
      <c r="N353">
        <v>3.7</v>
      </c>
    </row>
    <row r="354" spans="1:14" x14ac:dyDescent="0.3">
      <c r="A354" t="s">
        <v>83</v>
      </c>
      <c r="B354" t="str">
        <f>TRIM(TTrainingSource[[#This Row],[EMPloyee_ID2]])</f>
        <v>EMP10173</v>
      </c>
      <c r="C354" t="str">
        <f>IFERROR(VLOOKUP(TTrainingSource[[#This Row],[Employee_ID]],THrList[],3,FALSE),"")</f>
        <v>TAYLOR</v>
      </c>
      <c r="D354" t="str">
        <f>IFERROR(VLOOKUP(TTrainingSource[[#This Row],[Employee_ID]],THrList[],4,FALSE),"")</f>
        <v>Jean</v>
      </c>
      <c r="E354" t="str">
        <f>IFERROR(VLOOKUP(TTrainingSource[[#This Row],[Employee_ID]],THrList[],10,FALSE),"")</f>
        <v>Sales</v>
      </c>
      <c r="F354" t="str">
        <f>TRIM(PROPER(TTrainingSource[[#This Row],[Training_Status2]]))</f>
        <v>Completed</v>
      </c>
      <c r="G354" t="s">
        <v>17</v>
      </c>
      <c r="H354" t="str">
        <f>TRIM(PROPER(TTrainingSource[[#This Row],[Training_Title2]]))</f>
        <v>Power Bi Reporting</v>
      </c>
      <c r="I354" t="s">
        <v>24</v>
      </c>
      <c r="J354" s="1">
        <v>45460</v>
      </c>
      <c r="K354" t="s">
        <v>71</v>
      </c>
      <c r="L354" s="7">
        <v>8</v>
      </c>
      <c r="M354">
        <f>ROUND(TTrainingSource[[#This Row],[Satisfaction_Score2]],0)</f>
        <v>5</v>
      </c>
      <c r="N354">
        <v>5</v>
      </c>
    </row>
    <row r="355" spans="1:14" x14ac:dyDescent="0.3">
      <c r="A355" t="s">
        <v>83</v>
      </c>
      <c r="B355" t="str">
        <f>TRIM(TTrainingSource[[#This Row],[EMPloyee_ID2]])</f>
        <v>EMP10173</v>
      </c>
      <c r="C355" t="str">
        <f>IFERROR(VLOOKUP(TTrainingSource[[#This Row],[Employee_ID]],THrList[],3,FALSE),"")</f>
        <v>TAYLOR</v>
      </c>
      <c r="D355" t="str">
        <f>IFERROR(VLOOKUP(TTrainingSource[[#This Row],[Employee_ID]],THrList[],4,FALSE),"")</f>
        <v>Jean</v>
      </c>
      <c r="E355" t="str">
        <f>IFERROR(VLOOKUP(TTrainingSource[[#This Row],[Employee_ID]],THrList[],10,FALSE),"")</f>
        <v>Sales</v>
      </c>
      <c r="F355" t="str">
        <f>TRIM(PROPER(TTrainingSource[[#This Row],[Training_Status2]]))</f>
        <v>Completed</v>
      </c>
      <c r="G355" t="s">
        <v>17</v>
      </c>
      <c r="H355" t="str">
        <f>TRIM(PROPER(TTrainingSource[[#This Row],[Training_Title2]]))</f>
        <v>Advanced Excel For Business</v>
      </c>
      <c r="I355" t="s">
        <v>52</v>
      </c>
      <c r="J355" s="1">
        <v>45621</v>
      </c>
      <c r="K355" t="s">
        <v>44</v>
      </c>
      <c r="L355" s="7">
        <v>6</v>
      </c>
      <c r="M355">
        <f>ROUND(TTrainingSource[[#This Row],[Satisfaction_Score2]],0)</f>
        <v>3</v>
      </c>
      <c r="N355">
        <v>2.8</v>
      </c>
    </row>
    <row r="356" spans="1:14" x14ac:dyDescent="0.3">
      <c r="A356" t="s">
        <v>683</v>
      </c>
      <c r="B356" t="str">
        <f>TRIM(TTrainingSource[[#This Row],[EMPloyee_ID2]])</f>
        <v>EMP10174</v>
      </c>
      <c r="C356" t="str">
        <f>IFERROR(VLOOKUP(TTrainingSource[[#This Row],[Employee_ID]],THrList[],3,FALSE),"")</f>
        <v>KHAN</v>
      </c>
      <c r="D356" t="str">
        <f>IFERROR(VLOOKUP(TTrainingSource[[#This Row],[Employee_ID]],THrList[],4,FALSE),"")</f>
        <v>Olivia</v>
      </c>
      <c r="E356" t="str">
        <f>IFERROR(VLOOKUP(TTrainingSource[[#This Row],[Employee_ID]],THrList[],10,FALSE),"")</f>
        <v>Human Resources</v>
      </c>
      <c r="F356" t="str">
        <f>TRIM(PROPER(TTrainingSource[[#This Row],[Training_Status2]]))</f>
        <v>Planned</v>
      </c>
      <c r="G356" t="s">
        <v>19</v>
      </c>
      <c r="H356" t="str">
        <f>TRIM(PROPER(TTrainingSource[[#This Row],[Training_Title2]]))</f>
        <v>Financial Modeling Basics</v>
      </c>
      <c r="I356" t="s">
        <v>331</v>
      </c>
      <c r="J356" s="1">
        <v>45594</v>
      </c>
      <c r="K356" t="s">
        <v>39</v>
      </c>
      <c r="L356" s="7">
        <v>4</v>
      </c>
      <c r="M356">
        <f>ROUND(TTrainingSource[[#This Row],[Satisfaction_Score2]],0)</f>
        <v>4</v>
      </c>
      <c r="N356">
        <v>4</v>
      </c>
    </row>
    <row r="357" spans="1:14" x14ac:dyDescent="0.3">
      <c r="A357" t="s">
        <v>683</v>
      </c>
      <c r="B357" t="str">
        <f>TRIM(TTrainingSource[[#This Row],[EMPloyee_ID2]])</f>
        <v>EMP10174</v>
      </c>
      <c r="C357" t="str">
        <f>IFERROR(VLOOKUP(TTrainingSource[[#This Row],[Employee_ID]],THrList[],3,FALSE),"")</f>
        <v>KHAN</v>
      </c>
      <c r="D357" t="str">
        <f>IFERROR(VLOOKUP(TTrainingSource[[#This Row],[Employee_ID]],THrList[],4,FALSE),"")</f>
        <v>Olivia</v>
      </c>
      <c r="E357" t="str">
        <f>IFERROR(VLOOKUP(TTrainingSource[[#This Row],[Employee_ID]],THrList[],10,FALSE),"")</f>
        <v>Human Resources</v>
      </c>
      <c r="F357" t="str">
        <f>TRIM(PROPER(TTrainingSource[[#This Row],[Training_Status2]]))</f>
        <v>In Progress</v>
      </c>
      <c r="G357" t="s">
        <v>8</v>
      </c>
      <c r="H357" t="str">
        <f>TRIM(PROPER(TTrainingSource[[#This Row],[Training_Title2]]))</f>
        <v>Customer Data Analysis</v>
      </c>
      <c r="I357" t="s">
        <v>31</v>
      </c>
      <c r="J357" s="1">
        <v>45566</v>
      </c>
      <c r="K357" t="s">
        <v>15</v>
      </c>
      <c r="L357" s="7">
        <v>0</v>
      </c>
      <c r="M357">
        <f>ROUND(TTrainingSource[[#This Row],[Satisfaction_Score2]],0)</f>
        <v>3</v>
      </c>
      <c r="N357">
        <v>2.6</v>
      </c>
    </row>
    <row r="358" spans="1:14" x14ac:dyDescent="0.3">
      <c r="A358" t="s">
        <v>777</v>
      </c>
      <c r="B358" t="str">
        <f>TRIM(TTrainingSource[[#This Row],[EMPloyee_ID2]])</f>
        <v>EMP10175</v>
      </c>
      <c r="C358" t="str">
        <f>IFERROR(VLOOKUP(TTrainingSource[[#This Row],[Employee_ID]],THrList[],3,FALSE),"")</f>
        <v>GIRARD</v>
      </c>
      <c r="D358" t="str">
        <f>IFERROR(VLOOKUP(TTrainingSource[[#This Row],[Employee_ID]],THrList[],4,FALSE),"")</f>
        <v>Noah</v>
      </c>
      <c r="E358" t="str">
        <f>IFERROR(VLOOKUP(TTrainingSource[[#This Row],[Employee_ID]],THrList[],10,FALSE),"")</f>
        <v>Sales</v>
      </c>
      <c r="F358" t="str">
        <f>TRIM(PROPER(TTrainingSource[[#This Row],[Training_Status2]]))</f>
        <v>Completed</v>
      </c>
      <c r="G358" t="s">
        <v>17</v>
      </c>
      <c r="H358" t="str">
        <f>TRIM(PROPER(TTrainingSource[[#This Row],[Training_Title2]]))</f>
        <v>Advanced Excel For Business</v>
      </c>
      <c r="I358" t="s">
        <v>52</v>
      </c>
      <c r="J358" s="1">
        <v>45513</v>
      </c>
      <c r="K358" t="s">
        <v>132</v>
      </c>
      <c r="L358" s="7">
        <v>4</v>
      </c>
      <c r="M358">
        <f>ROUND(TTrainingSource[[#This Row],[Satisfaction_Score2]],0)</f>
        <v>3</v>
      </c>
      <c r="N358">
        <v>2.9</v>
      </c>
    </row>
    <row r="359" spans="1:14" x14ac:dyDescent="0.3">
      <c r="A359" t="s">
        <v>948</v>
      </c>
      <c r="B359" t="str">
        <f>TRIM(TTrainingSource[[#This Row],[EMPloyee_ID2]])</f>
        <v>EMP10177</v>
      </c>
      <c r="C359" t="str">
        <f>IFERROR(VLOOKUP(TTrainingSource[[#This Row],[Employee_ID]],THrList[],3,FALSE),"")</f>
        <v>JACKSON</v>
      </c>
      <c r="D359" t="str">
        <f>IFERROR(VLOOKUP(TTrainingSource[[#This Row],[Employee_ID]],THrList[],4,FALSE),"")</f>
        <v>Antoine</v>
      </c>
      <c r="E359" t="str">
        <f>IFERROR(VLOOKUP(TTrainingSource[[#This Row],[Employee_ID]],THrList[],10,FALSE),"")</f>
        <v>Operations</v>
      </c>
      <c r="F359" t="str">
        <f>TRIM(PROPER(TTrainingSource[[#This Row],[Training_Status2]]))</f>
        <v>Completed</v>
      </c>
      <c r="G359" t="s">
        <v>17</v>
      </c>
      <c r="H359" t="str">
        <f>TRIM(PROPER(TTrainingSource[[#This Row],[Training_Title2]]))</f>
        <v>Data Visualization Best Practices</v>
      </c>
      <c r="I359" t="s">
        <v>20</v>
      </c>
      <c r="J359" s="1">
        <v>45580</v>
      </c>
      <c r="K359" t="s">
        <v>42</v>
      </c>
      <c r="L359" s="7">
        <v>8</v>
      </c>
      <c r="M359">
        <f>ROUND(TTrainingSource[[#This Row],[Satisfaction_Score2]],0)</f>
        <v>3</v>
      </c>
      <c r="N359">
        <v>2.6</v>
      </c>
    </row>
    <row r="360" spans="1:14" x14ac:dyDescent="0.3">
      <c r="A360" t="s">
        <v>557</v>
      </c>
      <c r="B360" t="str">
        <f>TRIM(TTrainingSource[[#This Row],[EMPloyee_ID2]])</f>
        <v>EMP10178</v>
      </c>
      <c r="C360" t="str">
        <f>IFERROR(VLOOKUP(TTrainingSource[[#This Row],[Employee_ID]],THrList[],3,FALSE),"")</f>
        <v>JACKSON</v>
      </c>
      <c r="D360" t="str">
        <f>IFERROR(VLOOKUP(TTrainingSource[[#This Row],[Employee_ID]],THrList[],4,FALSE),"")</f>
        <v>Liam</v>
      </c>
      <c r="E360" t="str">
        <f>IFERROR(VLOOKUP(TTrainingSource[[#This Row],[Employee_ID]],THrList[],10,FALSE),"")</f>
        <v>Operations</v>
      </c>
      <c r="F360" t="str">
        <f>TRIM(PROPER(TTrainingSource[[#This Row],[Training_Status2]]))</f>
        <v>Completed</v>
      </c>
      <c r="G360" t="s">
        <v>17</v>
      </c>
      <c r="H360" t="str">
        <f>TRIM(PROPER(TTrainingSource[[#This Row],[Training_Title2]]))</f>
        <v>Data Visualization Best Practices</v>
      </c>
      <c r="I360" t="s">
        <v>20</v>
      </c>
      <c r="J360" s="1">
        <v>44950</v>
      </c>
      <c r="K360" t="s">
        <v>98</v>
      </c>
      <c r="L360" s="7">
        <v>40</v>
      </c>
      <c r="M360">
        <f>ROUND(TTrainingSource[[#This Row],[Satisfaction_Score2]],0)</f>
        <v>4</v>
      </c>
      <c r="N360">
        <v>3.7</v>
      </c>
    </row>
    <row r="361" spans="1:14" x14ac:dyDescent="0.3">
      <c r="A361" t="s">
        <v>949</v>
      </c>
      <c r="B361" t="str">
        <f>TRIM(TTrainingSource[[#This Row],[EMPloyee_ID2]])</f>
        <v>EMP10179</v>
      </c>
      <c r="C361" t="str">
        <f>IFERROR(VLOOKUP(TTrainingSource[[#This Row],[Employee_ID]],THrList[],3,FALSE),"")</f>
        <v>LEROY</v>
      </c>
      <c r="D361" t="str">
        <f>IFERROR(VLOOKUP(TTrainingSource[[#This Row],[Employee_ID]],THrList[],4,FALSE),"")</f>
        <v>Akosua</v>
      </c>
      <c r="E361" t="str">
        <f>IFERROR(VLOOKUP(TTrainingSource[[#This Row],[Employee_ID]],THrList[],10,FALSE),"")</f>
        <v>Operations</v>
      </c>
      <c r="F361" t="str">
        <f>TRIM(PROPER(TTrainingSource[[#This Row],[Training_Status2]]))</f>
        <v>Planned</v>
      </c>
      <c r="G361" t="s">
        <v>19</v>
      </c>
      <c r="H361" t="str">
        <f>TRIM(PROPER(TTrainingSource[[#This Row],[Training_Title2]]))</f>
        <v>Customer Data Analysis</v>
      </c>
      <c r="I361" t="s">
        <v>31</v>
      </c>
      <c r="J361" s="1">
        <v>45149</v>
      </c>
      <c r="K361" t="s">
        <v>32</v>
      </c>
      <c r="L361" s="7">
        <v>4</v>
      </c>
      <c r="M361">
        <f>ROUND(TTrainingSource[[#This Row],[Satisfaction_Score2]],0)</f>
        <v>5</v>
      </c>
      <c r="N361">
        <v>5</v>
      </c>
    </row>
    <row r="362" spans="1:14" x14ac:dyDescent="0.3">
      <c r="A362" t="s">
        <v>407</v>
      </c>
      <c r="B362" t="str">
        <f>TRIM(TTrainingSource[[#This Row],[EMPloyee_ID2]])</f>
        <v>EMP10180</v>
      </c>
      <c r="C362" t="str">
        <f>IFERROR(VLOOKUP(TTrainingSource[[#This Row],[Employee_ID]],THrList[],3,FALSE),"")</f>
        <v>MOORE</v>
      </c>
      <c r="D362" t="str">
        <f>IFERROR(VLOOKUP(TTrainingSource[[#This Row],[Employee_ID]],THrList[],4,FALSE),"")</f>
        <v>Ngozi</v>
      </c>
      <c r="E362" t="str">
        <f>IFERROR(VLOOKUP(TTrainingSource[[#This Row],[Employee_ID]],THrList[],10,FALSE),"")</f>
        <v>Sales</v>
      </c>
      <c r="F362" t="str">
        <f>TRIM(PROPER(TTrainingSource[[#This Row],[Training_Status2]]))</f>
        <v>Completed</v>
      </c>
      <c r="G362" t="s">
        <v>17</v>
      </c>
      <c r="H362" t="str">
        <f>TRIM(PROPER(TTrainingSource[[#This Row],[Training_Title2]]))</f>
        <v>Data Analysis Fundamentals</v>
      </c>
      <c r="I362" t="s">
        <v>9</v>
      </c>
      <c r="J362" s="1">
        <v>44843</v>
      </c>
      <c r="K362" t="s">
        <v>39</v>
      </c>
      <c r="L362" s="7">
        <v>8</v>
      </c>
      <c r="M362">
        <f>ROUND(TTrainingSource[[#This Row],[Satisfaction_Score2]],0)</f>
        <v>3</v>
      </c>
      <c r="N362">
        <v>2.6</v>
      </c>
    </row>
    <row r="363" spans="1:14" x14ac:dyDescent="0.3">
      <c r="A363" t="s">
        <v>407</v>
      </c>
      <c r="B363" t="str">
        <f>TRIM(TTrainingSource[[#This Row],[EMPloyee_ID2]])</f>
        <v>EMP10180</v>
      </c>
      <c r="C363" t="str">
        <f>IFERROR(VLOOKUP(TTrainingSource[[#This Row],[Employee_ID]],THrList[],3,FALSE),"")</f>
        <v>MOORE</v>
      </c>
      <c r="D363" t="str">
        <f>IFERROR(VLOOKUP(TTrainingSource[[#This Row],[Employee_ID]],THrList[],4,FALSE),"")</f>
        <v>Ngozi</v>
      </c>
      <c r="E363" t="str">
        <f>IFERROR(VLOOKUP(TTrainingSource[[#This Row],[Employee_ID]],THrList[],10,FALSE),"")</f>
        <v>Sales</v>
      </c>
      <c r="F363" t="str">
        <f>TRIM(PROPER(TTrainingSource[[#This Row],[Training_Status2]]))</f>
        <v>Completed</v>
      </c>
      <c r="G363" t="s">
        <v>17</v>
      </c>
      <c r="H363" t="str">
        <f>TRIM(PROPER(TTrainingSource[[#This Row],[Training_Title2]]))</f>
        <v>Customer Data Analysis</v>
      </c>
      <c r="I363" t="s">
        <v>31</v>
      </c>
      <c r="J363" s="1">
        <v>45447</v>
      </c>
      <c r="K363" t="s">
        <v>42</v>
      </c>
      <c r="L363" s="7">
        <v>40</v>
      </c>
      <c r="M363">
        <f>ROUND(TTrainingSource[[#This Row],[Satisfaction_Score2]],0)</f>
        <v>3</v>
      </c>
      <c r="N363">
        <v>3.2</v>
      </c>
    </row>
    <row r="364" spans="1:14" x14ac:dyDescent="0.3">
      <c r="A364" t="s">
        <v>685</v>
      </c>
      <c r="B364" t="str">
        <f>TRIM(TTrainingSource[[#This Row],[EMPloyee_ID2]])</f>
        <v>EMP10180</v>
      </c>
      <c r="C364" t="str">
        <f>IFERROR(VLOOKUP(TTrainingSource[[#This Row],[Employee_ID]],THrList[],3,FALSE),"")</f>
        <v>MOORE</v>
      </c>
      <c r="D364" t="str">
        <f>IFERROR(VLOOKUP(TTrainingSource[[#This Row],[Employee_ID]],THrList[],4,FALSE),"")</f>
        <v>Ngozi</v>
      </c>
      <c r="E364" t="str">
        <f>IFERROR(VLOOKUP(TTrainingSource[[#This Row],[Employee_ID]],THrList[],10,FALSE),"")</f>
        <v>Sales</v>
      </c>
      <c r="F364" t="str">
        <f>TRIM(PROPER(TTrainingSource[[#This Row],[Training_Status2]]))</f>
        <v>Completed</v>
      </c>
      <c r="G364" t="s">
        <v>17</v>
      </c>
      <c r="H364" t="str">
        <f>TRIM(PROPER(TTrainingSource[[#This Row],[Training_Title2]]))</f>
        <v>Communication For Analysts</v>
      </c>
      <c r="I364" t="s">
        <v>119</v>
      </c>
      <c r="J364" s="1">
        <v>45106</v>
      </c>
      <c r="K364" t="s">
        <v>42</v>
      </c>
      <c r="L364" s="7">
        <v>40</v>
      </c>
      <c r="M364">
        <f>ROUND(TTrainingSource[[#This Row],[Satisfaction_Score2]],0)</f>
        <v>5</v>
      </c>
      <c r="N364">
        <v>4.5999999999999996</v>
      </c>
    </row>
    <row r="365" spans="1:14" x14ac:dyDescent="0.3">
      <c r="A365" t="s">
        <v>407</v>
      </c>
      <c r="B365" t="str">
        <f>TRIM(TTrainingSource[[#This Row],[EMPloyee_ID2]])</f>
        <v>EMP10180</v>
      </c>
      <c r="C365" t="str">
        <f>IFERROR(VLOOKUP(TTrainingSource[[#This Row],[Employee_ID]],THrList[],3,FALSE),"")</f>
        <v>MOORE</v>
      </c>
      <c r="D365" t="str">
        <f>IFERROR(VLOOKUP(TTrainingSource[[#This Row],[Employee_ID]],THrList[],4,FALSE),"")</f>
        <v>Ngozi</v>
      </c>
      <c r="E365" t="str">
        <f>IFERROR(VLOOKUP(TTrainingSource[[#This Row],[Employee_ID]],THrList[],10,FALSE),"")</f>
        <v>Sales</v>
      </c>
      <c r="F365" t="str">
        <f>TRIM(PROPER(TTrainingSource[[#This Row],[Training_Status2]]))</f>
        <v>Completed</v>
      </c>
      <c r="G365" t="s">
        <v>17</v>
      </c>
      <c r="H365" t="str">
        <f>TRIM(PROPER(TTrainingSource[[#This Row],[Training_Title2]]))</f>
        <v>Power Bi Reporting</v>
      </c>
      <c r="I365" t="s">
        <v>24</v>
      </c>
      <c r="J365" s="1">
        <v>45815</v>
      </c>
      <c r="K365" t="s">
        <v>42</v>
      </c>
      <c r="L365" s="7">
        <v>6</v>
      </c>
      <c r="M365">
        <f>ROUND(TTrainingSource[[#This Row],[Satisfaction_Score2]],0)</f>
        <v>4</v>
      </c>
      <c r="N365">
        <v>3.9</v>
      </c>
    </row>
    <row r="366" spans="1:14" x14ac:dyDescent="0.3">
      <c r="A366" t="s">
        <v>444</v>
      </c>
      <c r="B366" t="str">
        <f>TRIM(TTrainingSource[[#This Row],[EMPloyee_ID2]])</f>
        <v>EMP10181</v>
      </c>
      <c r="C366" t="str">
        <f>IFERROR(VLOOKUP(TTrainingSource[[#This Row],[Employee_ID]],THrList[],3,FALSE),"")</f>
        <v>LEFEVRE</v>
      </c>
      <c r="D366" t="str">
        <f>IFERROR(VLOOKUP(TTrainingSource[[#This Row],[Employee_ID]],THrList[],4,FALSE),"")</f>
        <v>Emma</v>
      </c>
      <c r="E366" t="str">
        <f>IFERROR(VLOOKUP(TTrainingSource[[#This Row],[Employee_ID]],THrList[],10,FALSE),"")</f>
        <v>Marketing</v>
      </c>
      <c r="F366" t="str">
        <f>TRIM(PROPER(TTrainingSource[[#This Row],[Training_Status2]]))</f>
        <v>In Progress</v>
      </c>
      <c r="G366" t="s">
        <v>67</v>
      </c>
      <c r="H366" t="str">
        <f>TRIM(PROPER(TTrainingSource[[#This Row],[Training_Title2]]))</f>
        <v>Project Management Essentials</v>
      </c>
      <c r="I366" t="s">
        <v>14</v>
      </c>
      <c r="J366" s="1">
        <v>44853</v>
      </c>
      <c r="K366" t="s">
        <v>132</v>
      </c>
      <c r="L366" s="7">
        <v>0</v>
      </c>
      <c r="M366">
        <f>ROUND(TTrainingSource[[#This Row],[Satisfaction_Score2]],0)</f>
        <v>5</v>
      </c>
      <c r="N366">
        <v>4.8</v>
      </c>
    </row>
    <row r="367" spans="1:14" x14ac:dyDescent="0.3">
      <c r="A367" t="s">
        <v>350</v>
      </c>
      <c r="B367" t="str">
        <f>TRIM(TTrainingSource[[#This Row],[EMPloyee_ID2]])</f>
        <v>EMP10182</v>
      </c>
      <c r="C367" t="str">
        <f>IFERROR(VLOOKUP(TTrainingSource[[#This Row],[Employee_ID]],THrList[],3,FALSE),"")</f>
        <v>GONZALEZ</v>
      </c>
      <c r="D367" t="str">
        <f>IFERROR(VLOOKUP(TTrainingSource[[#This Row],[Employee_ID]],THrList[],4,FALSE),"")</f>
        <v>Ada</v>
      </c>
      <c r="E367" t="str">
        <f>IFERROR(VLOOKUP(TTrainingSource[[#This Row],[Employee_ID]],THrList[],10,FALSE),"")</f>
        <v>Marketing</v>
      </c>
      <c r="F367" t="str">
        <f>TRIM(PROPER(TTrainingSource[[#This Row],[Training_Status2]]))</f>
        <v>Completed</v>
      </c>
      <c r="G367" t="s">
        <v>17</v>
      </c>
      <c r="H367" t="str">
        <f>TRIM(PROPER(TTrainingSource[[#This Row],[Training_Title2]]))</f>
        <v>Introduction To Python For Data</v>
      </c>
      <c r="I367" t="s">
        <v>62</v>
      </c>
      <c r="J367" s="1">
        <v>44604</v>
      </c>
      <c r="K367" t="s">
        <v>42</v>
      </c>
      <c r="L367" s="7">
        <v>0</v>
      </c>
      <c r="M367">
        <f>ROUND(TTrainingSource[[#This Row],[Satisfaction_Score2]],0)</f>
        <v>4</v>
      </c>
      <c r="N367">
        <v>3.6</v>
      </c>
    </row>
    <row r="368" spans="1:14" x14ac:dyDescent="0.3">
      <c r="A368" t="s">
        <v>350</v>
      </c>
      <c r="B368" t="str">
        <f>TRIM(TTrainingSource[[#This Row],[EMPloyee_ID2]])</f>
        <v>EMP10182</v>
      </c>
      <c r="C368" t="str">
        <f>IFERROR(VLOOKUP(TTrainingSource[[#This Row],[Employee_ID]],THrList[],3,FALSE),"")</f>
        <v>GONZALEZ</v>
      </c>
      <c r="D368" t="str">
        <f>IFERROR(VLOOKUP(TTrainingSource[[#This Row],[Employee_ID]],THrList[],4,FALSE),"")</f>
        <v>Ada</v>
      </c>
      <c r="E368" t="str">
        <f>IFERROR(VLOOKUP(TTrainingSource[[#This Row],[Employee_ID]],THrList[],10,FALSE),"")</f>
        <v>Marketing</v>
      </c>
      <c r="F368" t="str">
        <f>TRIM(PROPER(TTrainingSource[[#This Row],[Training_Status2]]))</f>
        <v>Completed</v>
      </c>
      <c r="G368" t="s">
        <v>17</v>
      </c>
      <c r="H368" t="str">
        <f>TRIM(PROPER(TTrainingSource[[#This Row],[Training_Title2]]))</f>
        <v>Power Bi Reporting</v>
      </c>
      <c r="I368" t="s">
        <v>24</v>
      </c>
      <c r="J368" s="1">
        <v>45142</v>
      </c>
      <c r="K368" t="s">
        <v>32</v>
      </c>
      <c r="L368" s="7">
        <v>6</v>
      </c>
      <c r="M368">
        <f>ROUND(TTrainingSource[[#This Row],[Satisfaction_Score2]],0)</f>
        <v>5</v>
      </c>
      <c r="N368">
        <v>4.7</v>
      </c>
    </row>
    <row r="369" spans="1:14" x14ac:dyDescent="0.3">
      <c r="A369" t="s">
        <v>350</v>
      </c>
      <c r="B369" t="str">
        <f>TRIM(TTrainingSource[[#This Row],[EMPloyee_ID2]])</f>
        <v>EMP10182</v>
      </c>
      <c r="C369" t="str">
        <f>IFERROR(VLOOKUP(TTrainingSource[[#This Row],[Employee_ID]],THrList[],3,FALSE),"")</f>
        <v>GONZALEZ</v>
      </c>
      <c r="D369" t="str">
        <f>IFERROR(VLOOKUP(TTrainingSource[[#This Row],[Employee_ID]],THrList[],4,FALSE),"")</f>
        <v>Ada</v>
      </c>
      <c r="E369" t="str">
        <f>IFERROR(VLOOKUP(TTrainingSource[[#This Row],[Employee_ID]],THrList[],10,FALSE),"")</f>
        <v>Marketing</v>
      </c>
      <c r="F369" t="str">
        <f>TRIM(PROPER(TTrainingSource[[#This Row],[Training_Status2]]))</f>
        <v>Completed</v>
      </c>
      <c r="G369" t="s">
        <v>17</v>
      </c>
      <c r="H369" t="str">
        <f>TRIM(PROPER(TTrainingSource[[#This Row],[Training_Title2]]))</f>
        <v>Data Visualization Best Practices</v>
      </c>
      <c r="I369" t="s">
        <v>20</v>
      </c>
      <c r="J369" s="1">
        <v>45067</v>
      </c>
      <c r="K369" t="s">
        <v>44</v>
      </c>
      <c r="L369" s="7">
        <v>24</v>
      </c>
      <c r="M369">
        <f>ROUND(TTrainingSource[[#This Row],[Satisfaction_Score2]],0)</f>
        <v>5</v>
      </c>
      <c r="N369">
        <v>4.9000000000000004</v>
      </c>
    </row>
    <row r="370" spans="1:14" x14ac:dyDescent="0.3">
      <c r="A370" t="s">
        <v>350</v>
      </c>
      <c r="B370" t="str">
        <f>TRIM(TTrainingSource[[#This Row],[EMPloyee_ID2]])</f>
        <v>EMP10182</v>
      </c>
      <c r="C370" t="str">
        <f>IFERROR(VLOOKUP(TTrainingSource[[#This Row],[Employee_ID]],THrList[],3,FALSE),"")</f>
        <v>GONZALEZ</v>
      </c>
      <c r="D370" t="str">
        <f>IFERROR(VLOOKUP(TTrainingSource[[#This Row],[Employee_ID]],THrList[],4,FALSE),"")</f>
        <v>Ada</v>
      </c>
      <c r="E370" t="str">
        <f>IFERROR(VLOOKUP(TTrainingSource[[#This Row],[Employee_ID]],THrList[],10,FALSE),"")</f>
        <v>Marketing</v>
      </c>
      <c r="F370" t="str">
        <f>TRIM(PROPER(TTrainingSource[[#This Row],[Training_Status2]]))</f>
        <v>In Progress</v>
      </c>
      <c r="G370" t="s">
        <v>8</v>
      </c>
      <c r="H370" t="str">
        <f>TRIM(PROPER(TTrainingSource[[#This Row],[Training_Title2]]))</f>
        <v>Data Visualization Best Practices</v>
      </c>
      <c r="I370" t="s">
        <v>20</v>
      </c>
      <c r="J370" s="1">
        <v>45858</v>
      </c>
      <c r="K370" t="s">
        <v>132</v>
      </c>
      <c r="L370" s="7">
        <v>24</v>
      </c>
      <c r="M370">
        <f>ROUND(TTrainingSource[[#This Row],[Satisfaction_Score2]],0)</f>
        <v>4</v>
      </c>
      <c r="N370">
        <v>3.5</v>
      </c>
    </row>
    <row r="371" spans="1:14" x14ac:dyDescent="0.3">
      <c r="A371" t="s">
        <v>496</v>
      </c>
      <c r="B371" t="str">
        <f>TRIM(TTrainingSource[[#This Row],[EMPloyee_ID2]])</f>
        <v>EMP10183</v>
      </c>
      <c r="C371" t="str">
        <f>IFERROR(VLOOKUP(TTrainingSource[[#This Row],[Employee_ID]],THrList[],3,FALSE),"")</f>
        <v>MARTINEZ</v>
      </c>
      <c r="D371" t="str">
        <f>IFERROR(VLOOKUP(TTrainingSource[[#This Row],[Employee_ID]],THrList[],4,FALSE),"")</f>
        <v>Kwame</v>
      </c>
      <c r="E371" t="str">
        <f>IFERROR(VLOOKUP(TTrainingSource[[#This Row],[Employee_ID]],THrList[],10,FALSE),"")</f>
        <v>Customer Support</v>
      </c>
      <c r="F371" t="str">
        <f>TRIM(PROPER(TTrainingSource[[#This Row],[Training_Status2]]))</f>
        <v>In Progress</v>
      </c>
      <c r="G371" t="s">
        <v>8</v>
      </c>
      <c r="H371" t="str">
        <f>TRIM(PROPER(TTrainingSource[[#This Row],[Training_Title2]]))</f>
        <v>Project Management Essentials</v>
      </c>
      <c r="I371" t="s">
        <v>14</v>
      </c>
      <c r="J371" s="1">
        <v>44680</v>
      </c>
      <c r="K371" t="s">
        <v>39</v>
      </c>
      <c r="L371" s="7">
        <v>8</v>
      </c>
      <c r="M371">
        <f>ROUND(TTrainingSource[[#This Row],[Satisfaction_Score2]],0)</f>
        <v>4</v>
      </c>
      <c r="N371">
        <v>4.0999999999999996</v>
      </c>
    </row>
    <row r="372" spans="1:14" x14ac:dyDescent="0.3">
      <c r="A372" t="s">
        <v>496</v>
      </c>
      <c r="B372" t="str">
        <f>TRIM(TTrainingSource[[#This Row],[EMPloyee_ID2]])</f>
        <v>EMP10183</v>
      </c>
      <c r="C372" t="str">
        <f>IFERROR(VLOOKUP(TTrainingSource[[#This Row],[Employee_ID]],THrList[],3,FALSE),"")</f>
        <v>MARTINEZ</v>
      </c>
      <c r="D372" t="str">
        <f>IFERROR(VLOOKUP(TTrainingSource[[#This Row],[Employee_ID]],THrList[],4,FALSE),"")</f>
        <v>Kwame</v>
      </c>
      <c r="E372" t="str">
        <f>IFERROR(VLOOKUP(TTrainingSource[[#This Row],[Employee_ID]],THrList[],10,FALSE),"")</f>
        <v>Customer Support</v>
      </c>
      <c r="F372" t="str">
        <f>TRIM(PROPER(TTrainingSource[[#This Row],[Training_Status2]]))</f>
        <v>Completed</v>
      </c>
      <c r="G372" t="s">
        <v>17</v>
      </c>
      <c r="H372" t="str">
        <f>TRIM(PROPER(TTrainingSource[[#This Row],[Training_Title2]]))</f>
        <v>Advanced Excel For Business</v>
      </c>
      <c r="I372" t="s">
        <v>52</v>
      </c>
      <c r="J372" s="1">
        <v>45702</v>
      </c>
      <c r="K372" t="s">
        <v>42</v>
      </c>
      <c r="L372" s="7">
        <v>6</v>
      </c>
      <c r="M372">
        <f>ROUND(TTrainingSource[[#This Row],[Satisfaction_Score2]],0)</f>
        <v>4</v>
      </c>
      <c r="N372">
        <v>4.4000000000000004</v>
      </c>
    </row>
    <row r="373" spans="1:14" x14ac:dyDescent="0.3">
      <c r="A373" t="s">
        <v>473</v>
      </c>
      <c r="B373" t="str">
        <f>TRIM(TTrainingSource[[#This Row],[EMPloyee_ID2]])</f>
        <v>EMP10186</v>
      </c>
      <c r="C373" t="str">
        <f>IFERROR(VLOOKUP(TTrainingSource[[#This Row],[Employee_ID]],THrList[],3,FALSE),"")</f>
        <v>GONZALEZ</v>
      </c>
      <c r="D373" t="str">
        <f>IFERROR(VLOOKUP(TTrainingSource[[#This Row],[Employee_ID]],THrList[],4,FALSE),"")</f>
        <v>Benjamin</v>
      </c>
      <c r="E373" t="str">
        <f>IFERROR(VLOOKUP(TTrainingSource[[#This Row],[Employee_ID]],THrList[],10,FALSE),"")</f>
        <v>Human Resources</v>
      </c>
      <c r="F373" t="str">
        <f>TRIM(PROPER(TTrainingSource[[#This Row],[Training_Status2]]))</f>
        <v>Completed</v>
      </c>
      <c r="G373" t="s">
        <v>17</v>
      </c>
      <c r="H373" t="str">
        <f>TRIM(PROPER(TTrainingSource[[#This Row],[Training_Title2]]))</f>
        <v>Data Visualization Best Practices</v>
      </c>
      <c r="I373" t="s">
        <v>20</v>
      </c>
      <c r="J373" s="1">
        <v>45756</v>
      </c>
      <c r="K373" t="s">
        <v>39</v>
      </c>
      <c r="L373" s="7">
        <v>4</v>
      </c>
      <c r="M373">
        <f>ROUND(TTrainingSource[[#This Row],[Satisfaction_Score2]],0)</f>
        <v>3</v>
      </c>
      <c r="N373">
        <v>2.8</v>
      </c>
    </row>
    <row r="374" spans="1:14" x14ac:dyDescent="0.3">
      <c r="A374" t="s">
        <v>473</v>
      </c>
      <c r="B374" t="str">
        <f>TRIM(TTrainingSource[[#This Row],[EMPloyee_ID2]])</f>
        <v>EMP10186</v>
      </c>
      <c r="C374" t="str">
        <f>IFERROR(VLOOKUP(TTrainingSource[[#This Row],[Employee_ID]],THrList[],3,FALSE),"")</f>
        <v>GONZALEZ</v>
      </c>
      <c r="D374" t="str">
        <f>IFERROR(VLOOKUP(TTrainingSource[[#This Row],[Employee_ID]],THrList[],4,FALSE),"")</f>
        <v>Benjamin</v>
      </c>
      <c r="E374" t="str">
        <f>IFERROR(VLOOKUP(TTrainingSource[[#This Row],[Employee_ID]],THrList[],10,FALSE),"")</f>
        <v>Human Resources</v>
      </c>
      <c r="F374" t="str">
        <f>TRIM(PROPER(TTrainingSource[[#This Row],[Training_Status2]]))</f>
        <v>Completed</v>
      </c>
      <c r="G374" t="s">
        <v>17</v>
      </c>
      <c r="H374" t="str">
        <f>TRIM(PROPER(TTrainingSource[[#This Row],[Training_Title2]]))</f>
        <v>Financial Modeling Basics</v>
      </c>
      <c r="I374" t="s">
        <v>38</v>
      </c>
      <c r="J374" s="1">
        <v>44611</v>
      </c>
      <c r="K374" t="s">
        <v>42</v>
      </c>
      <c r="L374" s="7">
        <v>16</v>
      </c>
      <c r="M374">
        <f>ROUND(TTrainingSource[[#This Row],[Satisfaction_Score2]],0)</f>
        <v>5</v>
      </c>
      <c r="N374">
        <v>4.8</v>
      </c>
    </row>
    <row r="375" spans="1:14" x14ac:dyDescent="0.3">
      <c r="A375" t="s">
        <v>473</v>
      </c>
      <c r="B375" t="str">
        <f>TRIM(TTrainingSource[[#This Row],[EMPloyee_ID2]])</f>
        <v>EMP10186</v>
      </c>
      <c r="C375" t="str">
        <f>IFERROR(VLOOKUP(TTrainingSource[[#This Row],[Employee_ID]],THrList[],3,FALSE),"")</f>
        <v>GONZALEZ</v>
      </c>
      <c r="D375" t="str">
        <f>IFERROR(VLOOKUP(TTrainingSource[[#This Row],[Employee_ID]],THrList[],4,FALSE),"")</f>
        <v>Benjamin</v>
      </c>
      <c r="E375" t="str">
        <f>IFERROR(VLOOKUP(TTrainingSource[[#This Row],[Employee_ID]],THrList[],10,FALSE),"")</f>
        <v>Human Resources</v>
      </c>
      <c r="F375" t="str">
        <f>TRIM(PROPER(TTrainingSource[[#This Row],[Training_Status2]]))</f>
        <v>Completed</v>
      </c>
      <c r="G375" t="s">
        <v>17</v>
      </c>
      <c r="H375" t="str">
        <f>TRIM(PROPER(TTrainingSource[[#This Row],[Training_Title2]]))</f>
        <v>Project Management Essentials</v>
      </c>
      <c r="I375" t="s">
        <v>14</v>
      </c>
      <c r="J375" s="1">
        <v>45059</v>
      </c>
      <c r="K375" t="s">
        <v>98</v>
      </c>
      <c r="L375" s="7">
        <v>16</v>
      </c>
      <c r="M375">
        <f>ROUND(TTrainingSource[[#This Row],[Satisfaction_Score2]],0)</f>
        <v>4</v>
      </c>
      <c r="N375">
        <v>4.4000000000000004</v>
      </c>
    </row>
    <row r="376" spans="1:14" x14ac:dyDescent="0.3">
      <c r="A376" t="s">
        <v>473</v>
      </c>
      <c r="B376" t="str">
        <f>TRIM(TTrainingSource[[#This Row],[EMPloyee_ID2]])</f>
        <v>EMP10186</v>
      </c>
      <c r="C376" t="str">
        <f>IFERROR(VLOOKUP(TTrainingSource[[#This Row],[Employee_ID]],THrList[],3,FALSE),"")</f>
        <v>GONZALEZ</v>
      </c>
      <c r="D376" t="str">
        <f>IFERROR(VLOOKUP(TTrainingSource[[#This Row],[Employee_ID]],THrList[],4,FALSE),"")</f>
        <v>Benjamin</v>
      </c>
      <c r="E376" t="str">
        <f>IFERROR(VLOOKUP(TTrainingSource[[#This Row],[Employee_ID]],THrList[],10,FALSE),"")</f>
        <v>Human Resources</v>
      </c>
      <c r="F376" t="str">
        <f>TRIM(PROPER(TTrainingSource[[#This Row],[Training_Status2]]))</f>
        <v>Planned</v>
      </c>
      <c r="G376" t="s">
        <v>19</v>
      </c>
      <c r="H376" t="str">
        <f>TRIM(PROPER(TTrainingSource[[#This Row],[Training_Title2]]))</f>
        <v>Customer Data Analysis</v>
      </c>
      <c r="I376" t="s">
        <v>31</v>
      </c>
      <c r="J376" s="1">
        <v>45388</v>
      </c>
      <c r="K376" t="s">
        <v>46</v>
      </c>
      <c r="L376" s="7">
        <v>0</v>
      </c>
      <c r="M376">
        <f>ROUND(TTrainingSource[[#This Row],[Satisfaction_Score2]],0)</f>
        <v>4</v>
      </c>
      <c r="N376">
        <v>4.4000000000000004</v>
      </c>
    </row>
    <row r="377" spans="1:14" x14ac:dyDescent="0.3">
      <c r="A377" t="s">
        <v>227</v>
      </c>
      <c r="B377" t="str">
        <f>TRIM(TTrainingSource[[#This Row],[EMPloyee_ID2]])</f>
        <v>EMP10187</v>
      </c>
      <c r="C377" t="str">
        <f>IFERROR(VLOOKUP(TTrainingSource[[#This Row],[Employee_ID]],THrList[],3,FALSE),"")</f>
        <v>JOHNSON</v>
      </c>
      <c r="D377" t="str">
        <f>IFERROR(VLOOKUP(TTrainingSource[[#This Row],[Employee_ID]],THrList[],4,FALSE),"")</f>
        <v>Yaw</v>
      </c>
      <c r="E377" t="str">
        <f>IFERROR(VLOOKUP(TTrainingSource[[#This Row],[Employee_ID]],THrList[],10,FALSE),"")</f>
        <v>Human Resources</v>
      </c>
      <c r="F377" t="str">
        <f>TRIM(PROPER(TTrainingSource[[#This Row],[Training_Status2]]))</f>
        <v>In Progress</v>
      </c>
      <c r="G377" t="s">
        <v>8</v>
      </c>
      <c r="H377" t="str">
        <f>TRIM(PROPER(TTrainingSource[[#This Row],[Training_Title2]]))</f>
        <v>Business Intelligence With Tableau</v>
      </c>
      <c r="I377" t="s">
        <v>22</v>
      </c>
      <c r="J377" s="1">
        <v>45946</v>
      </c>
      <c r="K377" t="s">
        <v>15</v>
      </c>
      <c r="L377" s="7">
        <v>4</v>
      </c>
      <c r="M377">
        <f>ROUND(TTrainingSource[[#This Row],[Satisfaction_Score2]],0)</f>
        <v>5</v>
      </c>
      <c r="N377">
        <v>4.7</v>
      </c>
    </row>
    <row r="378" spans="1:14" x14ac:dyDescent="0.3">
      <c r="A378" t="s">
        <v>672</v>
      </c>
      <c r="B378" t="str">
        <f>TRIM(TTrainingSource[[#This Row],[EMPloyee_ID2]])</f>
        <v>EMP10188</v>
      </c>
      <c r="C378" t="str">
        <f>IFERROR(VLOOKUP(TTrainingSource[[#This Row],[Employee_ID]],THrList[],3,FALSE),"")</f>
        <v>CAMARA</v>
      </c>
      <c r="D378" t="str">
        <f>IFERROR(VLOOKUP(TTrainingSource[[#This Row],[Employee_ID]],THrList[],4,FALSE),"")</f>
        <v>Charlotte</v>
      </c>
      <c r="E378" t="str">
        <f>IFERROR(VLOOKUP(TTrainingSource[[#This Row],[Employee_ID]],THrList[],10,FALSE),"")</f>
        <v>IT</v>
      </c>
      <c r="F378" t="str">
        <f>TRIM(PROPER(TTrainingSource[[#This Row],[Training_Status2]]))</f>
        <v>In Progress</v>
      </c>
      <c r="G378" t="s">
        <v>8</v>
      </c>
      <c r="H378" t="str">
        <f>TRIM(PROPER(TTrainingSource[[#This Row],[Training_Title2]]))</f>
        <v>Data Visualization Best Practices</v>
      </c>
      <c r="I378" t="s">
        <v>151</v>
      </c>
      <c r="J378" s="1">
        <v>45064</v>
      </c>
      <c r="K378" t="s">
        <v>42</v>
      </c>
      <c r="L378" s="7">
        <v>40</v>
      </c>
      <c r="M378">
        <f>ROUND(TTrainingSource[[#This Row],[Satisfaction_Score2]],0)</f>
        <v>4</v>
      </c>
      <c r="N378">
        <v>4.2</v>
      </c>
    </row>
    <row r="379" spans="1:14" x14ac:dyDescent="0.3">
      <c r="A379" t="s">
        <v>616</v>
      </c>
      <c r="B379" t="str">
        <f>TRIM(TTrainingSource[[#This Row],[EMPloyee_ID2]])</f>
        <v>EMP10189</v>
      </c>
      <c r="C379" t="str">
        <f>IFERROR(VLOOKUP(TTrainingSource[[#This Row],[Employee_ID]],THrList[],3,FALSE),"")</f>
        <v>TRAORE</v>
      </c>
      <c r="D379" t="str">
        <f>IFERROR(VLOOKUP(TTrainingSource[[#This Row],[Employee_ID]],THrList[],4,FALSE),"")</f>
        <v>Alexander</v>
      </c>
      <c r="E379" t="str">
        <f>IFERROR(VLOOKUP(TTrainingSource[[#This Row],[Employee_ID]],THrList[],10,FALSE),"")</f>
        <v>IT</v>
      </c>
      <c r="F379" t="str">
        <f>TRIM(PROPER(TTrainingSource[[#This Row],[Training_Status2]]))</f>
        <v>Completed</v>
      </c>
      <c r="G379" t="s">
        <v>17</v>
      </c>
      <c r="H379" t="str">
        <f>TRIM(PROPER(TTrainingSource[[#This Row],[Training_Title2]]))</f>
        <v>Financial Modeling Basics</v>
      </c>
      <c r="I379" t="s">
        <v>38</v>
      </c>
      <c r="J379" s="1">
        <v>45721</v>
      </c>
      <c r="K379" t="s">
        <v>98</v>
      </c>
      <c r="L379" s="7">
        <v>16</v>
      </c>
      <c r="M379">
        <f>ROUND(TTrainingSource[[#This Row],[Satisfaction_Score2]],0)</f>
        <v>3</v>
      </c>
      <c r="N379">
        <v>2.7</v>
      </c>
    </row>
    <row r="380" spans="1:14" x14ac:dyDescent="0.3">
      <c r="A380" t="s">
        <v>747</v>
      </c>
      <c r="B380" t="str">
        <f>TRIM(TTrainingSource[[#This Row],[EMPloyee_ID2]])</f>
        <v>EMP10190</v>
      </c>
      <c r="C380" t="str">
        <f>IFERROR(VLOOKUP(TTrainingSource[[#This Row],[Employee_ID]],THrList[],3,FALSE),"")</f>
        <v>BALDE</v>
      </c>
      <c r="D380" t="str">
        <f>IFERROR(VLOOKUP(TTrainingSource[[#This Row],[Employee_ID]],THrList[],4,FALSE),"")</f>
        <v>Olivia</v>
      </c>
      <c r="E380" t="str">
        <f>IFERROR(VLOOKUP(TTrainingSource[[#This Row],[Employee_ID]],THrList[],10,FALSE),"")</f>
        <v>Human Resources</v>
      </c>
      <c r="F380" t="str">
        <f>TRIM(PROPER(TTrainingSource[[#This Row],[Training_Status2]]))</f>
        <v>Planned</v>
      </c>
      <c r="G380" t="s">
        <v>19</v>
      </c>
      <c r="H380" t="str">
        <f>TRIM(PROPER(TTrainingSource[[#This Row],[Training_Title2]]))</f>
        <v>Power Bi Reporting</v>
      </c>
      <c r="I380" t="s">
        <v>24</v>
      </c>
      <c r="J380" s="1">
        <v>45360</v>
      </c>
      <c r="K380" t="s">
        <v>32</v>
      </c>
      <c r="L380" s="7">
        <v>32</v>
      </c>
      <c r="M380">
        <f>ROUND(TTrainingSource[[#This Row],[Satisfaction_Score2]],0)</f>
        <v>4</v>
      </c>
      <c r="N380">
        <v>4.2</v>
      </c>
    </row>
    <row r="381" spans="1:14" x14ac:dyDescent="0.3">
      <c r="A381" t="s">
        <v>431</v>
      </c>
      <c r="B381" t="str">
        <f>TRIM(TTrainingSource[[#This Row],[EMPloyee_ID2]])</f>
        <v>EMP10191</v>
      </c>
      <c r="C381" t="str">
        <f>IFERROR(VLOOKUP(TTrainingSource[[#This Row],[Employee_ID]],THrList[],3,FALSE),"")</f>
        <v>THOMAS</v>
      </c>
      <c r="D381" t="str">
        <f>IFERROR(VLOOKUP(TTrainingSource[[#This Row],[Employee_ID]],THrList[],4,FALSE),"")</f>
        <v>Lucas</v>
      </c>
      <c r="E381" t="str">
        <f>IFERROR(VLOOKUP(TTrainingSource[[#This Row],[Employee_ID]],THrList[],10,FALSE),"")</f>
        <v xml:space="preserve">Human Resources </v>
      </c>
      <c r="F381" t="str">
        <f>TRIM(PROPER(TTrainingSource[[#This Row],[Training_Status2]]))</f>
        <v>Completed</v>
      </c>
      <c r="G381" t="s">
        <v>17</v>
      </c>
      <c r="H381" t="str">
        <f>TRIM(PROPER(TTrainingSource[[#This Row],[Training_Title2]]))</f>
        <v>Financial Modeling Basics</v>
      </c>
      <c r="I381" t="s">
        <v>38</v>
      </c>
      <c r="J381" s="1">
        <v>44790</v>
      </c>
      <c r="K381" t="s">
        <v>44</v>
      </c>
      <c r="L381" s="7">
        <v>16</v>
      </c>
      <c r="M381">
        <f>ROUND(TTrainingSource[[#This Row],[Satisfaction_Score2]],0)</f>
        <v>4</v>
      </c>
      <c r="N381">
        <v>4.4000000000000004</v>
      </c>
    </row>
    <row r="382" spans="1:14" x14ac:dyDescent="0.3">
      <c r="A382" t="s">
        <v>773</v>
      </c>
      <c r="B382" t="str">
        <f>TRIM(TTrainingSource[[#This Row],[EMPloyee_ID2]])</f>
        <v>EMP10191</v>
      </c>
      <c r="C382" t="str">
        <f>IFERROR(VLOOKUP(TTrainingSource[[#This Row],[Employee_ID]],THrList[],3,FALSE),"")</f>
        <v>THOMAS</v>
      </c>
      <c r="D382" t="str">
        <f>IFERROR(VLOOKUP(TTrainingSource[[#This Row],[Employee_ID]],THrList[],4,FALSE),"")</f>
        <v>Lucas</v>
      </c>
      <c r="E382" t="str">
        <f>IFERROR(VLOOKUP(TTrainingSource[[#This Row],[Employee_ID]],THrList[],10,FALSE),"")</f>
        <v xml:space="preserve">Human Resources </v>
      </c>
      <c r="F382" t="str">
        <f>TRIM(PROPER(TTrainingSource[[#This Row],[Training_Status2]]))</f>
        <v>Completed</v>
      </c>
      <c r="G382" t="s">
        <v>17</v>
      </c>
      <c r="H382" t="str">
        <f>TRIM(PROPER(TTrainingSource[[#This Row],[Training_Title2]]))</f>
        <v>Project Management Essentials</v>
      </c>
      <c r="I382" t="s">
        <v>182</v>
      </c>
      <c r="J382" s="1">
        <v>44602</v>
      </c>
      <c r="K382" t="s">
        <v>32</v>
      </c>
      <c r="L382" s="7">
        <v>24</v>
      </c>
      <c r="M382">
        <f>ROUND(TTrainingSource[[#This Row],[Satisfaction_Score2]],0)</f>
        <v>5</v>
      </c>
      <c r="N382">
        <v>4.5</v>
      </c>
    </row>
    <row r="383" spans="1:14" x14ac:dyDescent="0.3">
      <c r="A383" t="s">
        <v>636</v>
      </c>
      <c r="B383" t="str">
        <f>TRIM(TTrainingSource[[#This Row],[EMPloyee_ID2]])</f>
        <v>EMP10192</v>
      </c>
      <c r="C383" t="str">
        <f>IFERROR(VLOOKUP(TTrainingSource[[#This Row],[Employee_ID]],THrList[],3,FALSE),"")</f>
        <v>KOUASSI</v>
      </c>
      <c r="D383" t="str">
        <f>IFERROR(VLOOKUP(TTrainingSource[[#This Row],[Employee_ID]],THrList[],4,FALSE),"")</f>
        <v>Camille</v>
      </c>
      <c r="E383" t="str">
        <f>IFERROR(VLOOKUP(TTrainingSource[[#This Row],[Employee_ID]],THrList[],10,FALSE),"")</f>
        <v>Finance</v>
      </c>
      <c r="F383" t="str">
        <f>TRIM(PROPER(TTrainingSource[[#This Row],[Training_Status2]]))</f>
        <v>Completed</v>
      </c>
      <c r="G383" t="s">
        <v>17</v>
      </c>
      <c r="H383" t="str">
        <f>TRIM(PROPER(TTrainingSource[[#This Row],[Training_Title2]]))</f>
        <v>Business Intelligence With Tableau</v>
      </c>
      <c r="I383" t="s">
        <v>22</v>
      </c>
      <c r="J383" s="1">
        <v>45845</v>
      </c>
      <c r="K383" t="s">
        <v>98</v>
      </c>
      <c r="L383" s="7">
        <v>4</v>
      </c>
      <c r="M383">
        <f>ROUND(TTrainingSource[[#This Row],[Satisfaction_Score2]],0)</f>
        <v>4</v>
      </c>
      <c r="N383">
        <v>3.9</v>
      </c>
    </row>
    <row r="384" spans="1:14" x14ac:dyDescent="0.3">
      <c r="A384" t="s">
        <v>696</v>
      </c>
      <c r="B384" t="str">
        <f>TRIM(TTrainingSource[[#This Row],[EMPloyee_ID2]])</f>
        <v>EMP10193</v>
      </c>
      <c r="C384" t="str">
        <f>IFERROR(VLOOKUP(TTrainingSource[[#This Row],[Employee_ID]],THrList[],3,FALSE),"")</f>
        <v>MOREAU</v>
      </c>
      <c r="D384" t="str">
        <f>IFERROR(VLOOKUP(TTrainingSource[[#This Row],[Employee_ID]],THrList[],4,FALSE),"")</f>
        <v>Mia</v>
      </c>
      <c r="E384" t="str">
        <f>IFERROR(VLOOKUP(TTrainingSource[[#This Row],[Employee_ID]],THrList[],10,FALSE),"")</f>
        <v>N/A</v>
      </c>
      <c r="F384" t="str">
        <f>TRIM(PROPER(TTrainingSource[[#This Row],[Training_Status2]]))</f>
        <v>Completed</v>
      </c>
      <c r="G384" t="s">
        <v>17</v>
      </c>
      <c r="H384" t="str">
        <f>TRIM(PROPER(TTrainingSource[[#This Row],[Training_Title2]]))</f>
        <v>Digital Marketing Strategy</v>
      </c>
      <c r="I384" t="s">
        <v>43</v>
      </c>
      <c r="J384" s="1">
        <v>44709</v>
      </c>
      <c r="K384" t="s">
        <v>44</v>
      </c>
      <c r="L384" s="7">
        <v>8</v>
      </c>
      <c r="M384">
        <f>ROUND(TTrainingSource[[#This Row],[Satisfaction_Score2]],0)</f>
        <v>3</v>
      </c>
      <c r="N384">
        <v>3.2</v>
      </c>
    </row>
    <row r="385" spans="1:14" x14ac:dyDescent="0.3">
      <c r="A385" t="s">
        <v>761</v>
      </c>
      <c r="B385" t="str">
        <f>TRIM(TTrainingSource[[#This Row],[EMPloyee_ID2]])</f>
        <v>EMP10193</v>
      </c>
      <c r="C385" t="str">
        <f>IFERROR(VLOOKUP(TTrainingSource[[#This Row],[Employee_ID]],THrList[],3,FALSE),"")</f>
        <v>MOREAU</v>
      </c>
      <c r="D385" t="str">
        <f>IFERROR(VLOOKUP(TTrainingSource[[#This Row],[Employee_ID]],THrList[],4,FALSE),"")</f>
        <v>Mia</v>
      </c>
      <c r="E385" t="str">
        <f>IFERROR(VLOOKUP(TTrainingSource[[#This Row],[Employee_ID]],THrList[],10,FALSE),"")</f>
        <v>N/A</v>
      </c>
      <c r="F385" t="str">
        <f>TRIM(PROPER(TTrainingSource[[#This Row],[Training_Status2]]))</f>
        <v>Completed</v>
      </c>
      <c r="G385" t="s">
        <v>17</v>
      </c>
      <c r="H385" t="str">
        <f>TRIM(PROPER(TTrainingSource[[#This Row],[Training_Title2]]))</f>
        <v>Digital Marketing Strategy</v>
      </c>
      <c r="I385" t="s">
        <v>43</v>
      </c>
      <c r="J385" s="1">
        <v>44674</v>
      </c>
      <c r="K385" t="s">
        <v>39</v>
      </c>
      <c r="L385" s="7">
        <v>8</v>
      </c>
      <c r="M385">
        <f>ROUND(TTrainingSource[[#This Row],[Satisfaction_Score2]],0)</f>
        <v>4</v>
      </c>
      <c r="N385">
        <v>4.2</v>
      </c>
    </row>
    <row r="386" spans="1:14" x14ac:dyDescent="0.3">
      <c r="A386" t="s">
        <v>761</v>
      </c>
      <c r="B386" t="str">
        <f>TRIM(TTrainingSource[[#This Row],[EMPloyee_ID2]])</f>
        <v>EMP10193</v>
      </c>
      <c r="C386" t="str">
        <f>IFERROR(VLOOKUP(TTrainingSource[[#This Row],[Employee_ID]],THrList[],3,FALSE),"")</f>
        <v>MOREAU</v>
      </c>
      <c r="D386" t="str">
        <f>IFERROR(VLOOKUP(TTrainingSource[[#This Row],[Employee_ID]],THrList[],4,FALSE),"")</f>
        <v>Mia</v>
      </c>
      <c r="E386" t="str">
        <f>IFERROR(VLOOKUP(TTrainingSource[[#This Row],[Employee_ID]],THrList[],10,FALSE),"")</f>
        <v>N/A</v>
      </c>
      <c r="F386" t="str">
        <f>TRIM(PROPER(TTrainingSource[[#This Row],[Training_Status2]]))</f>
        <v>Completed</v>
      </c>
      <c r="G386" t="s">
        <v>17</v>
      </c>
      <c r="H386" t="str">
        <f>TRIM(PROPER(TTrainingSource[[#This Row],[Training_Title2]]))</f>
        <v>Introduction To Python For Data</v>
      </c>
      <c r="I386" t="s">
        <v>62</v>
      </c>
      <c r="J386" s="1">
        <v>45321</v>
      </c>
      <c r="K386" t="s">
        <v>44</v>
      </c>
      <c r="L386" s="7">
        <v>0</v>
      </c>
      <c r="M386">
        <f>ROUND(TTrainingSource[[#This Row],[Satisfaction_Score2]],0)</f>
        <v>3</v>
      </c>
      <c r="N386">
        <v>2.9</v>
      </c>
    </row>
    <row r="387" spans="1:14" x14ac:dyDescent="0.3">
      <c r="A387" t="s">
        <v>741</v>
      </c>
      <c r="B387" t="str">
        <f>TRIM(TTrainingSource[[#This Row],[EMPloyee_ID2]])</f>
        <v>EMP10194</v>
      </c>
      <c r="C387" t="str">
        <f>IFERROR(VLOOKUP(TTrainingSource[[#This Row],[Employee_ID]],THrList[],3,FALSE),"")</f>
        <v>KOUASSI</v>
      </c>
      <c r="D387" t="str">
        <f>IFERROR(VLOOKUP(TTrainingSource[[#This Row],[Employee_ID]],THrList[],4,FALSE),"")</f>
        <v>Khalid</v>
      </c>
      <c r="E387" t="str">
        <f>IFERROR(VLOOKUP(TTrainingSource[[#This Row],[Employee_ID]],THrList[],10,FALSE),"")</f>
        <v>Procurement</v>
      </c>
      <c r="F387" t="str">
        <f>TRIM(PROPER(TTrainingSource[[#This Row],[Training_Status2]]))</f>
        <v>Completed</v>
      </c>
      <c r="G387" t="s">
        <v>17</v>
      </c>
      <c r="H387" t="str">
        <f>TRIM(PROPER(TTrainingSource[[#This Row],[Training_Title2]]))</f>
        <v>Digital Marketing Strategy</v>
      </c>
      <c r="I387" t="s">
        <v>43</v>
      </c>
      <c r="J387" s="1">
        <v>45944</v>
      </c>
      <c r="K387" t="s">
        <v>42</v>
      </c>
      <c r="L387" s="7">
        <v>16</v>
      </c>
      <c r="M387">
        <f>ROUND(TTrainingSource[[#This Row],[Satisfaction_Score2]],0)</f>
        <v>5</v>
      </c>
      <c r="N387">
        <v>5</v>
      </c>
    </row>
    <row r="388" spans="1:14" x14ac:dyDescent="0.3">
      <c r="A388" t="s">
        <v>954</v>
      </c>
      <c r="B388" t="str">
        <f>TRIM(TTrainingSource[[#This Row],[EMPloyee_ID2]])</f>
        <v>EMP10195</v>
      </c>
      <c r="C388" t="str">
        <f>IFERROR(VLOOKUP(TTrainingSource[[#This Row],[Employee_ID]],THrList[],3,FALSE),"")</f>
        <v>MERCIER</v>
      </c>
      <c r="D388" t="str">
        <f>IFERROR(VLOOKUP(TTrainingSource[[#This Row],[Employee_ID]],THrList[],4,FALSE),"")</f>
        <v>Yusuf</v>
      </c>
      <c r="E388" t="str">
        <f>IFERROR(VLOOKUP(TTrainingSource[[#This Row],[Employee_ID]],THrList[],10,FALSE),"")</f>
        <v>IT</v>
      </c>
      <c r="F388" t="str">
        <f>TRIM(PROPER(TTrainingSource[[#This Row],[Training_Status2]]))</f>
        <v>Completed</v>
      </c>
      <c r="G388" t="s">
        <v>17</v>
      </c>
      <c r="H388" t="str">
        <f>TRIM(PROPER(TTrainingSource[[#This Row],[Training_Title2]]))</f>
        <v>Business Intelligence With Tableau</v>
      </c>
      <c r="I388" t="s">
        <v>22</v>
      </c>
      <c r="J388" s="1">
        <v>45898</v>
      </c>
      <c r="K388" t="s">
        <v>46</v>
      </c>
      <c r="L388" s="7">
        <v>24</v>
      </c>
      <c r="M388">
        <f>ROUND(TTrainingSource[[#This Row],[Satisfaction_Score2]],0)</f>
        <v>4</v>
      </c>
      <c r="N388">
        <v>3.8</v>
      </c>
    </row>
    <row r="389" spans="1:14" x14ac:dyDescent="0.3">
      <c r="A389" t="s">
        <v>649</v>
      </c>
      <c r="B389" t="str">
        <f>TRIM(TTrainingSource[[#This Row],[EMPloyee_ID2]])</f>
        <v>EMP10197</v>
      </c>
      <c r="C389" t="str">
        <f>IFERROR(VLOOKUP(TTrainingSource[[#This Row],[Employee_ID]],THrList[],3,FALSE),"")</f>
        <v>TRAORE</v>
      </c>
      <c r="D389" t="str">
        <f>IFERROR(VLOOKUP(TTrainingSource[[#This Row],[Employee_ID]],THrList[],4,FALSE),"")</f>
        <v>Harper</v>
      </c>
      <c r="E389" t="str">
        <f>IFERROR(VLOOKUP(TTrainingSource[[#This Row],[Employee_ID]],THrList[],10,FALSE),"")</f>
        <v>Procurement</v>
      </c>
      <c r="F389" t="str">
        <f>TRIM(PROPER(TTrainingSource[[#This Row],[Training_Status2]]))</f>
        <v>Completed</v>
      </c>
      <c r="G389" t="s">
        <v>17</v>
      </c>
      <c r="H389" t="str">
        <f>TRIM(PROPER(TTrainingSource[[#This Row],[Training_Title2]]))</f>
        <v>Data Visualization Best Practices</v>
      </c>
      <c r="I389" t="s">
        <v>20</v>
      </c>
      <c r="J389" s="1">
        <v>45692</v>
      </c>
      <c r="K389" t="s">
        <v>44</v>
      </c>
      <c r="L389" s="7">
        <v>20</v>
      </c>
      <c r="M389">
        <f>ROUND(TTrainingSource[[#This Row],[Satisfaction_Score2]],0)</f>
        <v>5</v>
      </c>
      <c r="N389">
        <v>4.7</v>
      </c>
    </row>
    <row r="390" spans="1:14" x14ac:dyDescent="0.3">
      <c r="A390" t="s">
        <v>649</v>
      </c>
      <c r="B390" t="str">
        <f>TRIM(TTrainingSource[[#This Row],[EMPloyee_ID2]])</f>
        <v>EMP10197</v>
      </c>
      <c r="C390" t="str">
        <f>IFERROR(VLOOKUP(TTrainingSource[[#This Row],[Employee_ID]],THrList[],3,FALSE),"")</f>
        <v>TRAORE</v>
      </c>
      <c r="D390" t="str">
        <f>IFERROR(VLOOKUP(TTrainingSource[[#This Row],[Employee_ID]],THrList[],4,FALSE),"")</f>
        <v>Harper</v>
      </c>
      <c r="E390" t="str">
        <f>IFERROR(VLOOKUP(TTrainingSource[[#This Row],[Employee_ID]],THrList[],10,FALSE),"")</f>
        <v>Procurement</v>
      </c>
      <c r="F390" t="str">
        <f>TRIM(PROPER(TTrainingSource[[#This Row],[Training_Status2]]))</f>
        <v>Completed</v>
      </c>
      <c r="G390" t="s">
        <v>17</v>
      </c>
      <c r="H390" t="str">
        <f>TRIM(PROPER(TTrainingSource[[#This Row],[Training_Title2]]))</f>
        <v>Project Management Essentials</v>
      </c>
      <c r="I390" t="s">
        <v>14</v>
      </c>
      <c r="J390" s="1">
        <v>45540</v>
      </c>
      <c r="K390" t="s">
        <v>46</v>
      </c>
      <c r="L390" s="7">
        <v>4</v>
      </c>
      <c r="M390">
        <f>ROUND(TTrainingSource[[#This Row],[Satisfaction_Score2]],0)</f>
        <v>4</v>
      </c>
      <c r="N390">
        <v>3.5</v>
      </c>
    </row>
    <row r="391" spans="1:14" x14ac:dyDescent="0.3">
      <c r="A391" t="s">
        <v>735</v>
      </c>
      <c r="B391" t="str">
        <f>TRIM(TTrainingSource[[#This Row],[EMPloyee_ID2]])</f>
        <v>EMP10198</v>
      </c>
      <c r="C391" t="str">
        <f>IFERROR(VLOOKUP(TTrainingSource[[#This Row],[Employee_ID]],THrList[],3,FALSE),"")</f>
        <v>DIOP</v>
      </c>
      <c r="D391" t="str">
        <f>IFERROR(VLOOKUP(TTrainingSource[[#This Row],[Employee_ID]],THrList[],4,FALSE),"")</f>
        <v>Akosua</v>
      </c>
      <c r="E391" t="str">
        <f>IFERROR(VLOOKUP(TTrainingSource[[#This Row],[Employee_ID]],THrList[],10,FALSE),"")</f>
        <v>Human Resources</v>
      </c>
      <c r="F391" t="str">
        <f>TRIM(PROPER(TTrainingSource[[#This Row],[Training_Status2]]))</f>
        <v>In Progress</v>
      </c>
      <c r="G391" t="s">
        <v>8</v>
      </c>
      <c r="H391" t="str">
        <f>TRIM(PROPER(TTrainingSource[[#This Row],[Training_Title2]]))</f>
        <v>Communication For Analysts</v>
      </c>
      <c r="I391" t="s">
        <v>28</v>
      </c>
      <c r="J391" s="1">
        <v>44798</v>
      </c>
      <c r="K391" t="s">
        <v>132</v>
      </c>
      <c r="L391" s="7">
        <v>4</v>
      </c>
      <c r="M391">
        <f>ROUND(TTrainingSource[[#This Row],[Satisfaction_Score2]],0)</f>
        <v>3</v>
      </c>
      <c r="N391">
        <v>3.2</v>
      </c>
    </row>
    <row r="392" spans="1:14" x14ac:dyDescent="0.3">
      <c r="A392" t="s">
        <v>735</v>
      </c>
      <c r="B392" t="str">
        <f>TRIM(TTrainingSource[[#This Row],[EMPloyee_ID2]])</f>
        <v>EMP10198</v>
      </c>
      <c r="C392" t="str">
        <f>IFERROR(VLOOKUP(TTrainingSource[[#This Row],[Employee_ID]],THrList[],3,FALSE),"")</f>
        <v>DIOP</v>
      </c>
      <c r="D392" t="str">
        <f>IFERROR(VLOOKUP(TTrainingSource[[#This Row],[Employee_ID]],THrList[],4,FALSE),"")</f>
        <v>Akosua</v>
      </c>
      <c r="E392" t="str">
        <f>IFERROR(VLOOKUP(TTrainingSource[[#This Row],[Employee_ID]],THrList[],10,FALSE),"")</f>
        <v>Human Resources</v>
      </c>
      <c r="F392" t="str">
        <f>TRIM(PROPER(TTrainingSource[[#This Row],[Training_Status2]]))</f>
        <v>In Progress</v>
      </c>
      <c r="G392" t="s">
        <v>8</v>
      </c>
      <c r="H392" t="str">
        <f>TRIM(PROPER(TTrainingSource[[#This Row],[Training_Title2]]))</f>
        <v>Sql For Data Analytics</v>
      </c>
      <c r="I392" t="s">
        <v>26</v>
      </c>
      <c r="J392" s="1">
        <v>45847</v>
      </c>
      <c r="K392" t="s">
        <v>39</v>
      </c>
      <c r="L392" s="7">
        <v>32</v>
      </c>
      <c r="M392">
        <f>ROUND(TTrainingSource[[#This Row],[Satisfaction_Score2]],0)</f>
        <v>4</v>
      </c>
      <c r="N392">
        <v>4.2</v>
      </c>
    </row>
    <row r="393" spans="1:14" x14ac:dyDescent="0.3">
      <c r="A393" t="s">
        <v>661</v>
      </c>
      <c r="B393" t="str">
        <f>TRIM(TTrainingSource[[#This Row],[EMPloyee_ID2]])</f>
        <v>EMP10199</v>
      </c>
      <c r="C393" t="str">
        <f>IFERROR(VLOOKUP(TTrainingSource[[#This Row],[Employee_ID]],THrList[],3,FALSE),"")</f>
        <v>SMITH</v>
      </c>
      <c r="D393" t="str">
        <f>IFERROR(VLOOKUP(TTrainingSource[[#This Row],[Employee_ID]],THrList[],4,FALSE),"")</f>
        <v>Claire</v>
      </c>
      <c r="E393" t="str">
        <f>IFERROR(VLOOKUP(TTrainingSource[[#This Row],[Employee_ID]],THrList[],10,FALSE),"")</f>
        <v>Procurement</v>
      </c>
      <c r="F393" t="str">
        <f>TRIM(PROPER(TTrainingSource[[#This Row],[Training_Status2]]))</f>
        <v>Completed</v>
      </c>
      <c r="G393" t="s">
        <v>17</v>
      </c>
      <c r="H393" t="str">
        <f>TRIM(PROPER(TTrainingSource[[#This Row],[Training_Title2]]))</f>
        <v>Communication For Analysts</v>
      </c>
      <c r="I393" t="s">
        <v>153</v>
      </c>
      <c r="J393" s="1">
        <v>44845</v>
      </c>
      <c r="K393" t="s">
        <v>42</v>
      </c>
      <c r="L393" s="7">
        <v>12</v>
      </c>
      <c r="M393">
        <f>ROUND(TTrainingSource[[#This Row],[Satisfaction_Score2]],0)</f>
        <v>3</v>
      </c>
      <c r="N393">
        <v>2.6</v>
      </c>
    </row>
    <row r="394" spans="1:14" x14ac:dyDescent="0.3">
      <c r="A394" t="s">
        <v>661</v>
      </c>
      <c r="B394" t="str">
        <f>TRIM(TTrainingSource[[#This Row],[EMPloyee_ID2]])</f>
        <v>EMP10199</v>
      </c>
      <c r="C394" t="str">
        <f>IFERROR(VLOOKUP(TTrainingSource[[#This Row],[Employee_ID]],THrList[],3,FALSE),"")</f>
        <v>SMITH</v>
      </c>
      <c r="D394" t="str">
        <f>IFERROR(VLOOKUP(TTrainingSource[[#This Row],[Employee_ID]],THrList[],4,FALSE),"")</f>
        <v>Claire</v>
      </c>
      <c r="E394" t="str">
        <f>IFERROR(VLOOKUP(TTrainingSource[[#This Row],[Employee_ID]],THrList[],10,FALSE),"")</f>
        <v>Procurement</v>
      </c>
      <c r="F394" t="str">
        <f>TRIM(PROPER(TTrainingSource[[#This Row],[Training_Status2]]))</f>
        <v>Completed</v>
      </c>
      <c r="G394" t="s">
        <v>17</v>
      </c>
      <c r="H394" t="str">
        <f>TRIM(PROPER(TTrainingSource[[#This Row],[Training_Title2]]))</f>
        <v>Advanced Excel For Business</v>
      </c>
      <c r="I394" t="s">
        <v>52</v>
      </c>
      <c r="J394" s="1">
        <v>45779</v>
      </c>
      <c r="K394" t="s">
        <v>29</v>
      </c>
      <c r="L394" s="7">
        <v>24</v>
      </c>
      <c r="M394">
        <f>ROUND(TTrainingSource[[#This Row],[Satisfaction_Score2]],0)</f>
        <v>3</v>
      </c>
      <c r="N394">
        <v>3.1</v>
      </c>
    </row>
    <row r="395" spans="1:14" x14ac:dyDescent="0.3">
      <c r="A395" t="s">
        <v>497</v>
      </c>
      <c r="B395" t="str">
        <f>TRIM(TTrainingSource[[#This Row],[EMPloyee_ID2]])</f>
        <v>EMP10200</v>
      </c>
      <c r="C395" t="str">
        <f>IFERROR(VLOOKUP(TTrainingSource[[#This Row],[Employee_ID]],THrList[],3,FALSE),"")</f>
        <v>SINGH</v>
      </c>
      <c r="D395" t="str">
        <f>IFERROR(VLOOKUP(TTrainingSource[[#This Row],[Employee_ID]],THrList[],4,FALSE),"")</f>
        <v>Evelyn</v>
      </c>
      <c r="E395" t="str">
        <f>IFERROR(VLOOKUP(TTrainingSource[[#This Row],[Employee_ID]],THrList[],10,FALSE),"")</f>
        <v>Procurement</v>
      </c>
      <c r="F395" t="str">
        <f>TRIM(PROPER(TTrainingSource[[#This Row],[Training_Status2]]))</f>
        <v>Completed</v>
      </c>
      <c r="G395" t="s">
        <v>17</v>
      </c>
      <c r="H395" t="str">
        <f>TRIM(PROPER(TTrainingSource[[#This Row],[Training_Title2]]))</f>
        <v>Communication For Analysts</v>
      </c>
      <c r="I395" t="s">
        <v>28</v>
      </c>
      <c r="J395" s="1">
        <v>45159</v>
      </c>
      <c r="K395" t="s">
        <v>44</v>
      </c>
      <c r="L395" s="7">
        <v>40</v>
      </c>
      <c r="M395">
        <f>ROUND(TTrainingSource[[#This Row],[Satisfaction_Score2]],0)</f>
        <v>3</v>
      </c>
      <c r="N395">
        <v>3.2</v>
      </c>
    </row>
    <row r="396" spans="1:14" x14ac:dyDescent="0.3">
      <c r="A396" t="s">
        <v>255</v>
      </c>
      <c r="B396" t="str">
        <f>TRIM(TTrainingSource[[#This Row],[EMPloyee_ID2]])</f>
        <v>EMP10201</v>
      </c>
      <c r="C396" t="str">
        <f>IFERROR(VLOOKUP(TTrainingSource[[#This Row],[Employee_ID]],THrList[],3,FALSE),"")</f>
        <v>PATEL</v>
      </c>
      <c r="D396" t="str">
        <f>IFERROR(VLOOKUP(TTrainingSource[[#This Row],[Employee_ID]],THrList[],4,FALSE),"")</f>
        <v>Olivia</v>
      </c>
      <c r="E396" t="str">
        <f>IFERROR(VLOOKUP(TTrainingSource[[#This Row],[Employee_ID]],THrList[],10,FALSE),"")</f>
        <v>Procurement</v>
      </c>
      <c r="F396" t="str">
        <f>TRIM(PROPER(TTrainingSource[[#This Row],[Training_Status2]]))</f>
        <v>In Progress</v>
      </c>
      <c r="G396" t="s">
        <v>8</v>
      </c>
      <c r="H396" t="str">
        <f>TRIM(PROPER(TTrainingSource[[#This Row],[Training_Title2]]))</f>
        <v>Customer Data Analysis</v>
      </c>
      <c r="I396" t="s">
        <v>31</v>
      </c>
      <c r="J396" s="1">
        <v>44878</v>
      </c>
      <c r="K396" t="s">
        <v>32</v>
      </c>
      <c r="L396" s="7">
        <v>8</v>
      </c>
      <c r="M396">
        <f>ROUND(TTrainingSource[[#This Row],[Satisfaction_Score2]],0)</f>
        <v>5</v>
      </c>
      <c r="N396">
        <v>4.5</v>
      </c>
    </row>
    <row r="397" spans="1:14" x14ac:dyDescent="0.3">
      <c r="A397" t="s">
        <v>255</v>
      </c>
      <c r="B397" t="str">
        <f>TRIM(TTrainingSource[[#This Row],[EMPloyee_ID2]])</f>
        <v>EMP10201</v>
      </c>
      <c r="C397" t="str">
        <f>IFERROR(VLOOKUP(TTrainingSource[[#This Row],[Employee_ID]],THrList[],3,FALSE),"")</f>
        <v>PATEL</v>
      </c>
      <c r="D397" t="str">
        <f>IFERROR(VLOOKUP(TTrainingSource[[#This Row],[Employee_ID]],THrList[],4,FALSE),"")</f>
        <v>Olivia</v>
      </c>
      <c r="E397" t="str">
        <f>IFERROR(VLOOKUP(TTrainingSource[[#This Row],[Employee_ID]],THrList[],10,FALSE),"")</f>
        <v>Procurement</v>
      </c>
      <c r="F397" t="str">
        <f>TRIM(PROPER(TTrainingSource[[#This Row],[Training_Status2]]))</f>
        <v>Completed</v>
      </c>
      <c r="G397" t="s">
        <v>17</v>
      </c>
      <c r="H397" t="str">
        <f>TRIM(PROPER(TTrainingSource[[#This Row],[Training_Title2]]))</f>
        <v>Project Management Essentials</v>
      </c>
      <c r="I397" t="s">
        <v>14</v>
      </c>
      <c r="J397" s="1">
        <v>45258</v>
      </c>
      <c r="K397" t="s">
        <v>44</v>
      </c>
      <c r="L397" s="7">
        <v>40</v>
      </c>
      <c r="M397">
        <f>ROUND(TTrainingSource[[#This Row],[Satisfaction_Score2]],0)</f>
        <v>5</v>
      </c>
      <c r="N397">
        <v>5</v>
      </c>
    </row>
    <row r="398" spans="1:14" x14ac:dyDescent="0.3">
      <c r="A398" t="s">
        <v>296</v>
      </c>
      <c r="B398" t="str">
        <f>TRIM(TTrainingSource[[#This Row],[EMPloyee_ID2]])</f>
        <v>EMP10203</v>
      </c>
      <c r="C398" t="str">
        <f>IFERROR(VLOOKUP(TTrainingSource[[#This Row],[Employee_ID]],THrList[],3,FALSE),"")</f>
        <v>ABDULLAH</v>
      </c>
      <c r="D398" t="str">
        <f>IFERROR(VLOOKUP(TTrainingSource[[#This Row],[Employee_ID]],THrList[],4,FALSE),"")</f>
        <v>Marie</v>
      </c>
      <c r="E398" t="str">
        <f>IFERROR(VLOOKUP(TTrainingSource[[#This Row],[Employee_ID]],THrList[],10,FALSE),"")</f>
        <v>Customer Support</v>
      </c>
      <c r="F398" t="str">
        <f>TRIM(PROPER(TTrainingSource[[#This Row],[Training_Status2]]))</f>
        <v>Completed</v>
      </c>
      <c r="G398" t="s">
        <v>35</v>
      </c>
      <c r="H398" t="str">
        <f>TRIM(PROPER(TTrainingSource[[#This Row],[Training_Title2]]))</f>
        <v>Communication For Analysts</v>
      </c>
      <c r="I398" t="s">
        <v>297</v>
      </c>
      <c r="J398" s="1">
        <v>45184</v>
      </c>
      <c r="K398" t="s">
        <v>44</v>
      </c>
      <c r="L398" s="7">
        <v>20</v>
      </c>
      <c r="M398">
        <f>ROUND(TTrainingSource[[#This Row],[Satisfaction_Score2]],0)</f>
        <v>3</v>
      </c>
      <c r="N398">
        <v>3</v>
      </c>
    </row>
    <row r="399" spans="1:14" x14ac:dyDescent="0.3">
      <c r="A399" t="s">
        <v>296</v>
      </c>
      <c r="B399" t="str">
        <f>TRIM(TTrainingSource[[#This Row],[EMPloyee_ID2]])</f>
        <v>EMP10203</v>
      </c>
      <c r="C399" t="str">
        <f>IFERROR(VLOOKUP(TTrainingSource[[#This Row],[Employee_ID]],THrList[],3,FALSE),"")</f>
        <v>ABDULLAH</v>
      </c>
      <c r="D399" t="str">
        <f>IFERROR(VLOOKUP(TTrainingSource[[#This Row],[Employee_ID]],THrList[],4,FALSE),"")</f>
        <v>Marie</v>
      </c>
      <c r="E399" t="str">
        <f>IFERROR(VLOOKUP(TTrainingSource[[#This Row],[Employee_ID]],THrList[],10,FALSE),"")</f>
        <v>Customer Support</v>
      </c>
      <c r="F399" t="str">
        <f>TRIM(PROPER(TTrainingSource[[#This Row],[Training_Status2]]))</f>
        <v>Completed</v>
      </c>
      <c r="G399" t="s">
        <v>17</v>
      </c>
      <c r="H399" t="str">
        <f>TRIM(PROPER(TTrainingSource[[#This Row],[Training_Title2]]))</f>
        <v>Financial Modeling Basics</v>
      </c>
      <c r="I399" t="s">
        <v>38</v>
      </c>
      <c r="J399" s="1">
        <v>44580</v>
      </c>
      <c r="K399" t="s">
        <v>39</v>
      </c>
      <c r="L399" s="7">
        <v>16</v>
      </c>
      <c r="M399">
        <f>ROUND(TTrainingSource[[#This Row],[Satisfaction_Score2]],0)</f>
        <v>5</v>
      </c>
      <c r="N399">
        <v>4.5999999999999996</v>
      </c>
    </row>
    <row r="400" spans="1:14" x14ac:dyDescent="0.3">
      <c r="A400" t="s">
        <v>296</v>
      </c>
      <c r="B400" t="str">
        <f>TRIM(TTrainingSource[[#This Row],[EMPloyee_ID2]])</f>
        <v>EMP10203</v>
      </c>
      <c r="C400" t="str">
        <f>IFERROR(VLOOKUP(TTrainingSource[[#This Row],[Employee_ID]],THrList[],3,FALSE),"")</f>
        <v>ABDULLAH</v>
      </c>
      <c r="D400" t="str">
        <f>IFERROR(VLOOKUP(TTrainingSource[[#This Row],[Employee_ID]],THrList[],4,FALSE),"")</f>
        <v>Marie</v>
      </c>
      <c r="E400" t="str">
        <f>IFERROR(VLOOKUP(TTrainingSource[[#This Row],[Employee_ID]],THrList[],10,FALSE),"")</f>
        <v>Customer Support</v>
      </c>
      <c r="F400" t="str">
        <f>TRIM(PROPER(TTrainingSource[[#This Row],[Training_Status2]]))</f>
        <v>Completed</v>
      </c>
      <c r="G400" t="s">
        <v>17</v>
      </c>
      <c r="H400" t="str">
        <f>TRIM(PROPER(TTrainingSource[[#This Row],[Training_Title2]]))</f>
        <v>Power Bi Reporting</v>
      </c>
      <c r="I400" t="s">
        <v>332</v>
      </c>
      <c r="J400" s="1">
        <v>45926</v>
      </c>
      <c r="K400" t="s">
        <v>42</v>
      </c>
      <c r="L400" s="7">
        <v>0</v>
      </c>
      <c r="M400">
        <f>ROUND(TTrainingSource[[#This Row],[Satisfaction_Score2]],0)</f>
        <v>3</v>
      </c>
      <c r="N400">
        <v>2.6</v>
      </c>
    </row>
    <row r="401" spans="1:14" x14ac:dyDescent="0.3">
      <c r="A401" t="s">
        <v>296</v>
      </c>
      <c r="B401" t="str">
        <f>TRIM(TTrainingSource[[#This Row],[EMPloyee_ID2]])</f>
        <v>EMP10203</v>
      </c>
      <c r="C401" t="str">
        <f>IFERROR(VLOOKUP(TTrainingSource[[#This Row],[Employee_ID]],THrList[],3,FALSE),"")</f>
        <v>ABDULLAH</v>
      </c>
      <c r="D401" t="str">
        <f>IFERROR(VLOOKUP(TTrainingSource[[#This Row],[Employee_ID]],THrList[],4,FALSE),"")</f>
        <v>Marie</v>
      </c>
      <c r="E401" t="str">
        <f>IFERROR(VLOOKUP(TTrainingSource[[#This Row],[Employee_ID]],THrList[],10,FALSE),"")</f>
        <v>Customer Support</v>
      </c>
      <c r="F401" t="str">
        <f>TRIM(PROPER(TTrainingSource[[#This Row],[Training_Status2]]))</f>
        <v>Completed</v>
      </c>
      <c r="G401" t="s">
        <v>17</v>
      </c>
      <c r="H401" t="str">
        <f>TRIM(PROPER(TTrainingSource[[#This Row],[Training_Title2]]))</f>
        <v>Digital Marketing Strategy</v>
      </c>
      <c r="I401" t="s">
        <v>43</v>
      </c>
      <c r="J401" s="1">
        <v>45691</v>
      </c>
      <c r="K401" t="s">
        <v>39</v>
      </c>
      <c r="L401" s="7">
        <v>20</v>
      </c>
      <c r="M401">
        <f>ROUND(TTrainingSource[[#This Row],[Satisfaction_Score2]],0)</f>
        <v>3</v>
      </c>
      <c r="N401">
        <v>3.2</v>
      </c>
    </row>
    <row r="402" spans="1:14" x14ac:dyDescent="0.3">
      <c r="A402" t="s">
        <v>352</v>
      </c>
      <c r="B402" t="str">
        <f>TRIM(TTrainingSource[[#This Row],[EMPloyee_ID2]])</f>
        <v>EMP10204</v>
      </c>
      <c r="C402" t="str">
        <f>IFERROR(VLOOKUP(TTrainingSource[[#This Row],[Employee_ID]],THrList[],3,FALSE),"")</f>
        <v>LEROY</v>
      </c>
      <c r="D402" t="str">
        <f>IFERROR(VLOOKUP(TTrainingSource[[#This Row],[Employee_ID]],THrList[],4,FALSE),"")</f>
        <v>Sophie</v>
      </c>
      <c r="E402" t="str">
        <f>IFERROR(VLOOKUP(TTrainingSource[[#This Row],[Employee_ID]],THrList[],10,FALSE),"")</f>
        <v>Operations</v>
      </c>
      <c r="F402" t="str">
        <f>TRIM(PROPER(TTrainingSource[[#This Row],[Training_Status2]]))</f>
        <v>In Progress</v>
      </c>
      <c r="G402" t="s">
        <v>8</v>
      </c>
      <c r="H402" t="str">
        <f>TRIM(PROPER(TTrainingSource[[#This Row],[Training_Title2]]))</f>
        <v>Data Analysis Fundamentals</v>
      </c>
      <c r="I402" t="s">
        <v>9</v>
      </c>
      <c r="J402" s="1">
        <v>45507</v>
      </c>
      <c r="K402" t="s">
        <v>12</v>
      </c>
      <c r="L402" s="7">
        <v>32</v>
      </c>
      <c r="M402">
        <f>ROUND(TTrainingSource[[#This Row],[Satisfaction_Score2]],0)</f>
        <v>4</v>
      </c>
      <c r="N402">
        <v>3.8</v>
      </c>
    </row>
    <row r="403" spans="1:14" x14ac:dyDescent="0.3">
      <c r="A403" t="s">
        <v>352</v>
      </c>
      <c r="B403" t="str">
        <f>TRIM(TTrainingSource[[#This Row],[EMPloyee_ID2]])</f>
        <v>EMP10204</v>
      </c>
      <c r="C403" t="str">
        <f>IFERROR(VLOOKUP(TTrainingSource[[#This Row],[Employee_ID]],THrList[],3,FALSE),"")</f>
        <v>LEROY</v>
      </c>
      <c r="D403" t="str">
        <f>IFERROR(VLOOKUP(TTrainingSource[[#This Row],[Employee_ID]],THrList[],4,FALSE),"")</f>
        <v>Sophie</v>
      </c>
      <c r="E403" t="str">
        <f>IFERROR(VLOOKUP(TTrainingSource[[#This Row],[Employee_ID]],THrList[],10,FALSE),"")</f>
        <v>Operations</v>
      </c>
      <c r="F403" t="str">
        <f>TRIM(PROPER(TTrainingSource[[#This Row],[Training_Status2]]))</f>
        <v>Completed</v>
      </c>
      <c r="G403" t="s">
        <v>17</v>
      </c>
      <c r="H403" t="str">
        <f>TRIM(PROPER(TTrainingSource[[#This Row],[Training_Title2]]))</f>
        <v>Project Management Essentials</v>
      </c>
      <c r="I403" t="s">
        <v>14</v>
      </c>
      <c r="J403" s="1">
        <v>44615</v>
      </c>
      <c r="K403" t="s">
        <v>42</v>
      </c>
      <c r="L403" s="7">
        <v>32</v>
      </c>
      <c r="M403">
        <f>ROUND(TTrainingSource[[#This Row],[Satisfaction_Score2]],0)</f>
        <v>4</v>
      </c>
      <c r="N403">
        <v>3.6</v>
      </c>
    </row>
    <row r="404" spans="1:14" x14ac:dyDescent="0.3">
      <c r="A404" t="s">
        <v>352</v>
      </c>
      <c r="B404" t="str">
        <f>TRIM(TTrainingSource[[#This Row],[EMPloyee_ID2]])</f>
        <v>EMP10204</v>
      </c>
      <c r="C404" t="str">
        <f>IFERROR(VLOOKUP(TTrainingSource[[#This Row],[Employee_ID]],THrList[],3,FALSE),"")</f>
        <v>LEROY</v>
      </c>
      <c r="D404" t="str">
        <f>IFERROR(VLOOKUP(TTrainingSource[[#This Row],[Employee_ID]],THrList[],4,FALSE),"")</f>
        <v>Sophie</v>
      </c>
      <c r="E404" t="str">
        <f>IFERROR(VLOOKUP(TTrainingSource[[#This Row],[Employee_ID]],THrList[],10,FALSE),"")</f>
        <v>Operations</v>
      </c>
      <c r="F404" t="str">
        <f>TRIM(PROPER(TTrainingSource[[#This Row],[Training_Status2]]))</f>
        <v>Completed</v>
      </c>
      <c r="G404" t="s">
        <v>17</v>
      </c>
      <c r="H404" t="str">
        <f>TRIM(PROPER(TTrainingSource[[#This Row],[Training_Title2]]))</f>
        <v>Advanced Excel For Business</v>
      </c>
      <c r="I404" t="s">
        <v>282</v>
      </c>
      <c r="J404" s="1">
        <v>45547</v>
      </c>
      <c r="K404" t="s">
        <v>1072</v>
      </c>
      <c r="L404" s="7">
        <v>12</v>
      </c>
      <c r="M404">
        <f>ROUND(TTrainingSource[[#This Row],[Satisfaction_Score2]],0)</f>
        <v>5</v>
      </c>
      <c r="N404">
        <v>5</v>
      </c>
    </row>
    <row r="405" spans="1:14" x14ac:dyDescent="0.3">
      <c r="A405" t="s">
        <v>728</v>
      </c>
      <c r="B405" t="str">
        <f>TRIM(TTrainingSource[[#This Row],[EMPloyee_ID2]])</f>
        <v>EMP10205</v>
      </c>
      <c r="C405" t="str">
        <f>IFERROR(VLOOKUP(TTrainingSource[[#This Row],[Employee_ID]],THrList[],3,FALSE),"")</f>
        <v>PATEL</v>
      </c>
      <c r="D405" t="str">
        <f>IFERROR(VLOOKUP(TTrainingSource[[#This Row],[Employee_ID]],THrList[],4,FALSE),"")</f>
        <v>Jean</v>
      </c>
      <c r="E405" t="str">
        <f>IFERROR(VLOOKUP(TTrainingSource[[#This Row],[Employee_ID]],THrList[],10,FALSE),"")</f>
        <v>IT</v>
      </c>
      <c r="F405" t="str">
        <f>TRIM(PROPER(TTrainingSource[[#This Row],[Training_Status2]]))</f>
        <v>Completed</v>
      </c>
      <c r="G405" t="s">
        <v>17</v>
      </c>
      <c r="H405" t="str">
        <f>TRIM(PROPER(TTrainingSource[[#This Row],[Training_Title2]]))</f>
        <v>Financial Modeling Basics</v>
      </c>
      <c r="I405" t="s">
        <v>94</v>
      </c>
      <c r="J405" s="1">
        <v>45613</v>
      </c>
      <c r="K405" t="s">
        <v>44</v>
      </c>
      <c r="L405" s="7">
        <v>6</v>
      </c>
      <c r="M405">
        <f>ROUND(TTrainingSource[[#This Row],[Satisfaction_Score2]],0)</f>
        <v>4</v>
      </c>
      <c r="N405">
        <v>3.5</v>
      </c>
    </row>
    <row r="406" spans="1:14" x14ac:dyDescent="0.3">
      <c r="A406" t="s">
        <v>728</v>
      </c>
      <c r="B406" t="str">
        <f>TRIM(TTrainingSource[[#This Row],[EMPloyee_ID2]])</f>
        <v>EMP10205</v>
      </c>
      <c r="C406" t="str">
        <f>IFERROR(VLOOKUP(TTrainingSource[[#This Row],[Employee_ID]],THrList[],3,FALSE),"")</f>
        <v>PATEL</v>
      </c>
      <c r="D406" t="str">
        <f>IFERROR(VLOOKUP(TTrainingSource[[#This Row],[Employee_ID]],THrList[],4,FALSE),"")</f>
        <v>Jean</v>
      </c>
      <c r="E406" t="str">
        <f>IFERROR(VLOOKUP(TTrainingSource[[#This Row],[Employee_ID]],THrList[],10,FALSE),"")</f>
        <v>IT</v>
      </c>
      <c r="F406" t="str">
        <f>TRIM(PROPER(TTrainingSource[[#This Row],[Training_Status2]]))</f>
        <v>Completed</v>
      </c>
      <c r="G406" t="s">
        <v>17</v>
      </c>
      <c r="H406" t="str">
        <f>TRIM(PROPER(TTrainingSource[[#This Row],[Training_Title2]]))</f>
        <v>Sql For Data Analytics</v>
      </c>
      <c r="I406" t="s">
        <v>26</v>
      </c>
      <c r="J406" s="1">
        <v>45812</v>
      </c>
      <c r="K406" t="s">
        <v>44</v>
      </c>
      <c r="L406" s="7">
        <v>8</v>
      </c>
      <c r="M406">
        <f>ROUND(TTrainingSource[[#This Row],[Satisfaction_Score2]],0)</f>
        <v>4</v>
      </c>
      <c r="N406">
        <v>4.3</v>
      </c>
    </row>
    <row r="407" spans="1:14" x14ac:dyDescent="0.3">
      <c r="A407" t="s">
        <v>329</v>
      </c>
      <c r="B407" t="str">
        <f>TRIM(TTrainingSource[[#This Row],[EMPloyee_ID2]])</f>
        <v>EMP10206</v>
      </c>
      <c r="C407" t="str">
        <f>IFERROR(VLOOKUP(TTrainingSource[[#This Row],[Employee_ID]],THrList[],3,FALSE),"")</f>
        <v>TOURE</v>
      </c>
      <c r="D407" t="str">
        <f>IFERROR(VLOOKUP(TTrainingSource[[#This Row],[Employee_ID]],THrList[],4,FALSE),"")</f>
        <v>Fatima</v>
      </c>
      <c r="E407" t="str">
        <f>IFERROR(VLOOKUP(TTrainingSource[[#This Row],[Employee_ID]],THrList[],10,FALSE),"")</f>
        <v>Operations</v>
      </c>
      <c r="F407" t="str">
        <f>TRIM(PROPER(TTrainingSource[[#This Row],[Training_Status2]]))</f>
        <v>In Progress</v>
      </c>
      <c r="G407" t="s">
        <v>8</v>
      </c>
      <c r="H407" t="str">
        <f>TRIM(PROPER(TTrainingSource[[#This Row],[Training_Title2]]))</f>
        <v>Business Intelligence With Tableau</v>
      </c>
      <c r="I407" t="s">
        <v>22</v>
      </c>
      <c r="J407" s="1">
        <v>45290</v>
      </c>
      <c r="K407" t="s">
        <v>98</v>
      </c>
      <c r="L407" s="7">
        <v>0</v>
      </c>
      <c r="M407">
        <f>ROUND(TTrainingSource[[#This Row],[Satisfaction_Score2]],0)</f>
        <v>4</v>
      </c>
      <c r="N407">
        <v>3.8</v>
      </c>
    </row>
    <row r="408" spans="1:14" x14ac:dyDescent="0.3">
      <c r="A408" t="s">
        <v>765</v>
      </c>
      <c r="B408" t="str">
        <f>TRIM(TTrainingSource[[#This Row],[EMPloyee_ID2]])</f>
        <v>EMP10206</v>
      </c>
      <c r="C408" t="str">
        <f>IFERROR(VLOOKUP(TTrainingSource[[#This Row],[Employee_ID]],THrList[],3,FALSE),"")</f>
        <v>TOURE</v>
      </c>
      <c r="D408" t="str">
        <f>IFERROR(VLOOKUP(TTrainingSource[[#This Row],[Employee_ID]],THrList[],4,FALSE),"")</f>
        <v>Fatima</v>
      </c>
      <c r="E408" t="str">
        <f>IFERROR(VLOOKUP(TTrainingSource[[#This Row],[Employee_ID]],THrList[],10,FALSE),"")</f>
        <v>Operations</v>
      </c>
      <c r="F408" t="str">
        <f>TRIM(PROPER(TTrainingSource[[#This Row],[Training_Status2]]))</f>
        <v>Completed</v>
      </c>
      <c r="G408" t="s">
        <v>17</v>
      </c>
      <c r="H408" t="str">
        <f>TRIM(PROPER(TTrainingSource[[#This Row],[Training_Title2]]))</f>
        <v>Advanced Excel For Business</v>
      </c>
      <c r="I408" t="s">
        <v>52</v>
      </c>
      <c r="J408" s="1">
        <v>45078</v>
      </c>
      <c r="K408" t="s">
        <v>44</v>
      </c>
      <c r="L408" s="7">
        <v>32</v>
      </c>
      <c r="M408">
        <f>ROUND(TTrainingSource[[#This Row],[Satisfaction_Score2]],0)</f>
        <v>4</v>
      </c>
      <c r="N408">
        <v>4</v>
      </c>
    </row>
    <row r="409" spans="1:14" x14ac:dyDescent="0.3">
      <c r="A409" t="s">
        <v>751</v>
      </c>
      <c r="B409" t="str">
        <f>TRIM(TTrainingSource[[#This Row],[EMPloyee_ID2]])</f>
        <v>EMP10207</v>
      </c>
      <c r="C409" t="str">
        <f>IFERROR(VLOOKUP(TTrainingSource[[#This Row],[Employee_ID]],THrList[],3,FALSE),"")</f>
        <v>MARTIN</v>
      </c>
      <c r="D409" t="str">
        <f>IFERROR(VLOOKUP(TTrainingSource[[#This Row],[Employee_ID]],THrList[],4,FALSE),"")</f>
        <v>Mariama</v>
      </c>
      <c r="E409" t="str">
        <f>IFERROR(VLOOKUP(TTrainingSource[[#This Row],[Employee_ID]],THrList[],10,FALSE),"")</f>
        <v>Procurement</v>
      </c>
      <c r="F409" t="str">
        <f>TRIM(PROPER(TTrainingSource[[#This Row],[Training_Status2]]))</f>
        <v>Completed</v>
      </c>
      <c r="G409" t="s">
        <v>17</v>
      </c>
      <c r="H409" t="str">
        <f>TRIM(PROPER(TTrainingSource[[#This Row],[Training_Title2]]))</f>
        <v>Introduction To Python For Data</v>
      </c>
      <c r="I409" t="s">
        <v>62</v>
      </c>
      <c r="J409" s="1">
        <v>45135</v>
      </c>
      <c r="K409" t="s">
        <v>46</v>
      </c>
      <c r="L409" s="7">
        <v>20</v>
      </c>
      <c r="M409">
        <f>ROUND(TTrainingSource[[#This Row],[Satisfaction_Score2]],0)</f>
        <v>5</v>
      </c>
      <c r="N409">
        <v>5</v>
      </c>
    </row>
    <row r="410" spans="1:14" x14ac:dyDescent="0.3">
      <c r="A410" t="s">
        <v>630</v>
      </c>
      <c r="B410" t="str">
        <f>TRIM(TTrainingSource[[#This Row],[EMPloyee_ID2]])</f>
        <v>EMP10208</v>
      </c>
      <c r="C410" t="str">
        <f>IFERROR(VLOOKUP(TTrainingSource[[#This Row],[Employee_ID]],THrList[],3,FALSE),"")</f>
        <v>JACKSON</v>
      </c>
      <c r="D410" t="str">
        <f>IFERROR(VLOOKUP(TTrainingSource[[#This Row],[Employee_ID]],THrList[],4,FALSE),"")</f>
        <v>Charlotte</v>
      </c>
      <c r="E410" t="str">
        <f>IFERROR(VLOOKUP(TTrainingSource[[#This Row],[Employee_ID]],THrList[],10,FALSE),"")</f>
        <v>IT</v>
      </c>
      <c r="F410" t="str">
        <f>TRIM(PROPER(TTrainingSource[[#This Row],[Training_Status2]]))</f>
        <v>Planned</v>
      </c>
      <c r="G410" t="s">
        <v>19</v>
      </c>
      <c r="H410" t="str">
        <f>TRIM(PROPER(TTrainingSource[[#This Row],[Training_Title2]]))</f>
        <v>Business Intelligence With Tableau</v>
      </c>
      <c r="I410" t="s">
        <v>22</v>
      </c>
      <c r="J410" s="1">
        <v>45321</v>
      </c>
      <c r="K410" t="s">
        <v>44</v>
      </c>
      <c r="L410" s="7">
        <v>32</v>
      </c>
      <c r="M410">
        <f>ROUND(TTrainingSource[[#This Row],[Satisfaction_Score2]],0)</f>
        <v>4</v>
      </c>
      <c r="N410">
        <v>3.9</v>
      </c>
    </row>
    <row r="411" spans="1:14" x14ac:dyDescent="0.3">
      <c r="A411" t="s">
        <v>766</v>
      </c>
      <c r="B411" t="str">
        <f>TRIM(TTrainingSource[[#This Row],[EMPloyee_ID2]])</f>
        <v>EMP10209</v>
      </c>
      <c r="C411" t="str">
        <f>IFERROR(VLOOKUP(TTrainingSource[[#This Row],[Employee_ID]],THrList[],3,FALSE),"")</f>
        <v>SOW</v>
      </c>
      <c r="D411" t="str">
        <f>IFERROR(VLOOKUP(TTrainingSource[[#This Row],[Employee_ID]],THrList[],4,FALSE),"")</f>
        <v>Kwame</v>
      </c>
      <c r="E411" t="str">
        <f>IFERROR(VLOOKUP(TTrainingSource[[#This Row],[Employee_ID]],THrList[],10,FALSE),"")</f>
        <v>IT</v>
      </c>
      <c r="F411" t="str">
        <f>TRIM(PROPER(TTrainingSource[[#This Row],[Training_Status2]]))</f>
        <v>Completed</v>
      </c>
      <c r="G411" t="s">
        <v>17</v>
      </c>
      <c r="H411" t="str">
        <f>TRIM(PROPER(TTrainingSource[[#This Row],[Training_Title2]]))</f>
        <v>Business Intelligence With Tableau</v>
      </c>
      <c r="I411" t="s">
        <v>22</v>
      </c>
      <c r="J411" s="1">
        <v>44976</v>
      </c>
      <c r="K411" t="s">
        <v>44</v>
      </c>
      <c r="L411" s="7">
        <v>20</v>
      </c>
      <c r="M411">
        <f>ROUND(TTrainingSource[[#This Row],[Satisfaction_Score2]],0)</f>
        <v>3</v>
      </c>
      <c r="N411">
        <v>2.7</v>
      </c>
    </row>
    <row r="412" spans="1:14" x14ac:dyDescent="0.3">
      <c r="A412" t="s">
        <v>959</v>
      </c>
      <c r="B412" t="str">
        <f>TRIM(TTrainingSource[[#This Row],[EMPloyee_ID2]])</f>
        <v>EMP10210</v>
      </c>
      <c r="C412" t="str">
        <f>IFERROR(VLOOKUP(TTrainingSource[[#This Row],[Employee_ID]],THrList[],3,FALSE),"")</f>
        <v xml:space="preserve">TAYLOR </v>
      </c>
      <c r="D412" t="str">
        <f>IFERROR(VLOOKUP(TTrainingSource[[#This Row],[Employee_ID]],THrList[],4,FALSE),"")</f>
        <v>Ngozi</v>
      </c>
      <c r="E412" t="str">
        <f>IFERROR(VLOOKUP(TTrainingSource[[#This Row],[Employee_ID]],THrList[],10,FALSE),"")</f>
        <v>Compliance</v>
      </c>
      <c r="F412" t="str">
        <f>TRIM(PROPER(TTrainingSource[[#This Row],[Training_Status2]]))</f>
        <v>In Progress</v>
      </c>
      <c r="G412" t="s">
        <v>8</v>
      </c>
      <c r="H412" t="str">
        <f>TRIM(PROPER(TTrainingSource[[#This Row],[Training_Title2]]))</f>
        <v>Digital Marketing Strategy</v>
      </c>
      <c r="I412" t="s">
        <v>43</v>
      </c>
      <c r="J412" s="1">
        <v>45899</v>
      </c>
      <c r="K412" t="s">
        <v>29</v>
      </c>
      <c r="L412" s="7">
        <v>24</v>
      </c>
      <c r="M412">
        <f>ROUND(TTrainingSource[[#This Row],[Satisfaction_Score2]],0)</f>
        <v>3</v>
      </c>
      <c r="N412">
        <v>3.3</v>
      </c>
    </row>
    <row r="413" spans="1:14" x14ac:dyDescent="0.3">
      <c r="A413" t="s">
        <v>175</v>
      </c>
      <c r="B413" t="str">
        <f>TRIM(TTrainingSource[[#This Row],[EMPloyee_ID2]])</f>
        <v>EMP10211</v>
      </c>
      <c r="C413" t="str">
        <f>IFERROR(VLOOKUP(TTrainingSource[[#This Row],[Employee_ID]],THrList[],3,FALSE),"")</f>
        <v>LEROY</v>
      </c>
      <c r="D413" t="str">
        <f>IFERROR(VLOOKUP(TTrainingSource[[#This Row],[Employee_ID]],THrList[],4,FALSE),"")</f>
        <v>Evelyn</v>
      </c>
      <c r="E413" t="str">
        <f>IFERROR(VLOOKUP(TTrainingSource[[#This Row],[Employee_ID]],THrList[],10,FALSE),"")</f>
        <v>Finance</v>
      </c>
      <c r="F413" t="str">
        <f>TRIM(PROPER(TTrainingSource[[#This Row],[Training_Status2]]))</f>
        <v>Completed</v>
      </c>
      <c r="G413" t="s">
        <v>17</v>
      </c>
      <c r="H413" t="str">
        <f>TRIM(PROPER(TTrainingSource[[#This Row],[Training_Title2]]))</f>
        <v>Digital Marketing Strategy</v>
      </c>
      <c r="I413" t="s">
        <v>43</v>
      </c>
      <c r="J413" s="1">
        <v>45540</v>
      </c>
      <c r="K413" t="s">
        <v>44</v>
      </c>
      <c r="L413" s="7">
        <v>12</v>
      </c>
      <c r="M413">
        <f>ROUND(TTrainingSource[[#This Row],[Satisfaction_Score2]],0)</f>
        <v>3</v>
      </c>
      <c r="N413">
        <v>3.2</v>
      </c>
    </row>
    <row r="414" spans="1:14" x14ac:dyDescent="0.3">
      <c r="A414" t="s">
        <v>175</v>
      </c>
      <c r="B414" t="str">
        <f>TRIM(TTrainingSource[[#This Row],[EMPloyee_ID2]])</f>
        <v>EMP10211</v>
      </c>
      <c r="C414" t="str">
        <f>IFERROR(VLOOKUP(TTrainingSource[[#This Row],[Employee_ID]],THrList[],3,FALSE),"")</f>
        <v>LEROY</v>
      </c>
      <c r="D414" t="str">
        <f>IFERROR(VLOOKUP(TTrainingSource[[#This Row],[Employee_ID]],THrList[],4,FALSE),"")</f>
        <v>Evelyn</v>
      </c>
      <c r="E414" t="str">
        <f>IFERROR(VLOOKUP(TTrainingSource[[#This Row],[Employee_ID]],THrList[],10,FALSE),"")</f>
        <v>Finance</v>
      </c>
      <c r="F414" t="str">
        <f>TRIM(PROPER(TTrainingSource[[#This Row],[Training_Status2]]))</f>
        <v>Planned</v>
      </c>
      <c r="G414" t="s">
        <v>19</v>
      </c>
      <c r="H414" t="str">
        <f>TRIM(PROPER(TTrainingSource[[#This Row],[Training_Title2]]))</f>
        <v>Financial Modeling Basics</v>
      </c>
      <c r="I414" t="s">
        <v>38</v>
      </c>
      <c r="J414" s="1">
        <v>45123</v>
      </c>
      <c r="K414" t="s">
        <v>98</v>
      </c>
      <c r="L414" s="7">
        <v>32</v>
      </c>
      <c r="M414">
        <f>ROUND(TTrainingSource[[#This Row],[Satisfaction_Score2]],0)</f>
        <v>4</v>
      </c>
      <c r="N414">
        <v>4.3</v>
      </c>
    </row>
    <row r="415" spans="1:14" x14ac:dyDescent="0.3">
      <c r="A415" t="s">
        <v>213</v>
      </c>
      <c r="B415" t="str">
        <f>TRIM(TTrainingSource[[#This Row],[EMPloyee_ID2]])</f>
        <v>EMP10212</v>
      </c>
      <c r="C415" t="str">
        <f>IFERROR(VLOOKUP(TTrainingSource[[#This Row],[Employee_ID]],THrList[],3,FALSE),"")</f>
        <v>GIRARD</v>
      </c>
      <c r="D415" t="str">
        <f>IFERROR(VLOOKUP(TTrainingSource[[#This Row],[Employee_ID]],THrList[],4,FALSE),"")</f>
        <v>Khalid</v>
      </c>
      <c r="E415" t="str">
        <f>IFERROR(VLOOKUP(TTrainingSource[[#This Row],[Employee_ID]],THrList[],10,FALSE),"")</f>
        <v>Procurement</v>
      </c>
      <c r="F415" t="str">
        <f>TRIM(PROPER(TTrainingSource[[#This Row],[Training_Status2]]))</f>
        <v>Planned</v>
      </c>
      <c r="G415" t="s">
        <v>19</v>
      </c>
      <c r="H415" t="str">
        <f>TRIM(PROPER(TTrainingSource[[#This Row],[Training_Title2]]))</f>
        <v>Data Analysis Fundamentals</v>
      </c>
      <c r="I415" t="s">
        <v>9</v>
      </c>
      <c r="J415" s="1">
        <v>44653</v>
      </c>
      <c r="K415" t="s">
        <v>42</v>
      </c>
      <c r="L415" s="7">
        <v>20</v>
      </c>
      <c r="M415">
        <f>ROUND(TTrainingSource[[#This Row],[Satisfaction_Score2]],0)</f>
        <v>4</v>
      </c>
      <c r="N415">
        <v>4.0999999999999996</v>
      </c>
    </row>
    <row r="416" spans="1:14" x14ac:dyDescent="0.3">
      <c r="A416" t="s">
        <v>213</v>
      </c>
      <c r="B416" t="str">
        <f>TRIM(TTrainingSource[[#This Row],[EMPloyee_ID2]])</f>
        <v>EMP10212</v>
      </c>
      <c r="C416" t="str">
        <f>IFERROR(VLOOKUP(TTrainingSource[[#This Row],[Employee_ID]],THrList[],3,FALSE),"")</f>
        <v>GIRARD</v>
      </c>
      <c r="D416" t="str">
        <f>IFERROR(VLOOKUP(TTrainingSource[[#This Row],[Employee_ID]],THrList[],4,FALSE),"")</f>
        <v>Khalid</v>
      </c>
      <c r="E416" t="str">
        <f>IFERROR(VLOOKUP(TTrainingSource[[#This Row],[Employee_ID]],THrList[],10,FALSE),"")</f>
        <v>Procurement</v>
      </c>
      <c r="F416" t="str">
        <f>TRIM(PROPER(TTrainingSource[[#This Row],[Training_Status2]]))</f>
        <v>Planned</v>
      </c>
      <c r="G416" t="s">
        <v>19</v>
      </c>
      <c r="H416" t="str">
        <f>TRIM(PROPER(TTrainingSource[[#This Row],[Training_Title2]]))</f>
        <v>Sql For Data Analytics</v>
      </c>
      <c r="I416" t="s">
        <v>26</v>
      </c>
      <c r="J416" s="1">
        <v>44595</v>
      </c>
      <c r="K416" t="s">
        <v>98</v>
      </c>
      <c r="L416" s="7">
        <v>40</v>
      </c>
      <c r="M416">
        <f>ROUND(TTrainingSource[[#This Row],[Satisfaction_Score2]],0)</f>
        <v>3</v>
      </c>
      <c r="N416">
        <v>2.7</v>
      </c>
    </row>
    <row r="417" spans="1:14" x14ac:dyDescent="0.3">
      <c r="A417" t="s">
        <v>362</v>
      </c>
      <c r="B417" t="str">
        <f>TRIM(TTrainingSource[[#This Row],[EMPloyee_ID2]])</f>
        <v>EMP10213</v>
      </c>
      <c r="C417" t="str">
        <f>IFERROR(VLOOKUP(TTrainingSource[[#This Row],[Employee_ID]],THrList[],3,FALSE),"")</f>
        <v>THOMAS</v>
      </c>
      <c r="D417" t="str">
        <f>IFERROR(VLOOKUP(TTrainingSource[[#This Row],[Employee_ID]],THrList[],4,FALSE),"")</f>
        <v>Isabella</v>
      </c>
      <c r="E417" t="str">
        <f>IFERROR(VLOOKUP(TTrainingSource[[#This Row],[Employee_ID]],THrList[],10,FALSE),"")</f>
        <v>Finance</v>
      </c>
      <c r="F417" t="str">
        <f>TRIM(PROPER(TTrainingSource[[#This Row],[Training_Status2]]))</f>
        <v>Completed</v>
      </c>
      <c r="G417" t="s">
        <v>17</v>
      </c>
      <c r="H417" t="str">
        <f>TRIM(PROPER(TTrainingSource[[#This Row],[Training_Title2]]))</f>
        <v>Financial Modeling Basics</v>
      </c>
      <c r="I417" t="s">
        <v>38</v>
      </c>
      <c r="J417" s="1">
        <v>45821</v>
      </c>
      <c r="K417" t="s">
        <v>44</v>
      </c>
      <c r="L417" s="7">
        <v>8</v>
      </c>
      <c r="M417">
        <f>ROUND(TTrainingSource[[#This Row],[Satisfaction_Score2]],0)</f>
        <v>3</v>
      </c>
      <c r="N417">
        <v>2.8</v>
      </c>
    </row>
    <row r="418" spans="1:14" x14ac:dyDescent="0.3">
      <c r="A418" t="s">
        <v>362</v>
      </c>
      <c r="B418" t="str">
        <f>TRIM(TTrainingSource[[#This Row],[EMPloyee_ID2]])</f>
        <v>EMP10213</v>
      </c>
      <c r="C418" t="str">
        <f>IFERROR(VLOOKUP(TTrainingSource[[#This Row],[Employee_ID]],THrList[],3,FALSE),"")</f>
        <v>THOMAS</v>
      </c>
      <c r="D418" t="str">
        <f>IFERROR(VLOOKUP(TTrainingSource[[#This Row],[Employee_ID]],THrList[],4,FALSE),"")</f>
        <v>Isabella</v>
      </c>
      <c r="E418" t="str">
        <f>IFERROR(VLOOKUP(TTrainingSource[[#This Row],[Employee_ID]],THrList[],10,FALSE),"")</f>
        <v>Finance</v>
      </c>
      <c r="F418" t="str">
        <f>TRIM(PROPER(TTrainingSource[[#This Row],[Training_Status2]]))</f>
        <v>Planned</v>
      </c>
      <c r="G418" t="s">
        <v>19</v>
      </c>
      <c r="H418" t="str">
        <f>TRIM(PROPER(TTrainingSource[[#This Row],[Training_Title2]]))</f>
        <v>Power Bi Reporting</v>
      </c>
      <c r="I418" t="s">
        <v>24</v>
      </c>
      <c r="J418" s="1">
        <v>44825</v>
      </c>
      <c r="K418" t="s">
        <v>32</v>
      </c>
      <c r="L418" s="7">
        <v>4</v>
      </c>
      <c r="M418">
        <f>ROUND(TTrainingSource[[#This Row],[Satisfaction_Score2]],0)</f>
        <v>3</v>
      </c>
      <c r="N418">
        <v>3.1</v>
      </c>
    </row>
    <row r="419" spans="1:14" x14ac:dyDescent="0.3">
      <c r="A419" t="s">
        <v>362</v>
      </c>
      <c r="B419" t="str">
        <f>TRIM(TTrainingSource[[#This Row],[EMPloyee_ID2]])</f>
        <v>EMP10213</v>
      </c>
      <c r="C419" t="str">
        <f>IFERROR(VLOOKUP(TTrainingSource[[#This Row],[Employee_ID]],THrList[],3,FALSE),"")</f>
        <v>THOMAS</v>
      </c>
      <c r="D419" t="str">
        <f>IFERROR(VLOOKUP(TTrainingSource[[#This Row],[Employee_ID]],THrList[],4,FALSE),"")</f>
        <v>Isabella</v>
      </c>
      <c r="E419" t="str">
        <f>IFERROR(VLOOKUP(TTrainingSource[[#This Row],[Employee_ID]],THrList[],10,FALSE),"")</f>
        <v>Finance</v>
      </c>
      <c r="F419" t="str">
        <f>TRIM(PROPER(TTrainingSource[[#This Row],[Training_Status2]]))</f>
        <v>Planned</v>
      </c>
      <c r="G419" t="s">
        <v>19</v>
      </c>
      <c r="H419" t="str">
        <f>TRIM(PROPER(TTrainingSource[[#This Row],[Training_Title2]]))</f>
        <v>Advanced Excel For Business</v>
      </c>
      <c r="I419" t="s">
        <v>52</v>
      </c>
      <c r="J419" s="1">
        <v>44947</v>
      </c>
      <c r="K419" t="s">
        <v>42</v>
      </c>
      <c r="L419" s="7">
        <v>24</v>
      </c>
      <c r="M419">
        <f>ROUND(TTrainingSource[[#This Row],[Satisfaction_Score2]],0)</f>
        <v>3</v>
      </c>
      <c r="N419">
        <v>3</v>
      </c>
    </row>
    <row r="420" spans="1:14" x14ac:dyDescent="0.3">
      <c r="A420" t="s">
        <v>362</v>
      </c>
      <c r="B420" t="str">
        <f>TRIM(TTrainingSource[[#This Row],[EMPloyee_ID2]])</f>
        <v>EMP10213</v>
      </c>
      <c r="C420" t="str">
        <f>IFERROR(VLOOKUP(TTrainingSource[[#This Row],[Employee_ID]],THrList[],3,FALSE),"")</f>
        <v>THOMAS</v>
      </c>
      <c r="D420" t="str">
        <f>IFERROR(VLOOKUP(TTrainingSource[[#This Row],[Employee_ID]],THrList[],4,FALSE),"")</f>
        <v>Isabella</v>
      </c>
      <c r="E420" t="str">
        <f>IFERROR(VLOOKUP(TTrainingSource[[#This Row],[Employee_ID]],THrList[],10,FALSE),"")</f>
        <v>Finance</v>
      </c>
      <c r="F420" t="str">
        <f>TRIM(PROPER(TTrainingSource[[#This Row],[Training_Status2]]))</f>
        <v>Completed</v>
      </c>
      <c r="G420" t="s">
        <v>17</v>
      </c>
      <c r="H420" t="str">
        <f>TRIM(PROPER(TTrainingSource[[#This Row],[Training_Title2]]))</f>
        <v>Advanced Excel For Business</v>
      </c>
      <c r="I420" t="s">
        <v>52</v>
      </c>
      <c r="J420" s="1">
        <v>44588</v>
      </c>
      <c r="K420" t="s">
        <v>15</v>
      </c>
      <c r="L420" s="7">
        <v>0</v>
      </c>
      <c r="M420">
        <f>ROUND(TTrainingSource[[#This Row],[Satisfaction_Score2]],0)</f>
        <v>4</v>
      </c>
      <c r="N420">
        <v>4.4000000000000004</v>
      </c>
    </row>
    <row r="421" spans="1:14" x14ac:dyDescent="0.3">
      <c r="A421" t="s">
        <v>362</v>
      </c>
      <c r="B421" t="str">
        <f>TRIM(TTrainingSource[[#This Row],[EMPloyee_ID2]])</f>
        <v>EMP10213</v>
      </c>
      <c r="C421" t="str">
        <f>IFERROR(VLOOKUP(TTrainingSource[[#This Row],[Employee_ID]],THrList[],3,FALSE),"")</f>
        <v>THOMAS</v>
      </c>
      <c r="D421" t="str">
        <f>IFERROR(VLOOKUP(TTrainingSource[[#This Row],[Employee_ID]],THrList[],4,FALSE),"")</f>
        <v>Isabella</v>
      </c>
      <c r="E421" t="str">
        <f>IFERROR(VLOOKUP(TTrainingSource[[#This Row],[Employee_ID]],THrList[],10,FALSE),"")</f>
        <v>Finance</v>
      </c>
      <c r="F421" t="str">
        <f>TRIM(PROPER(TTrainingSource[[#This Row],[Training_Status2]]))</f>
        <v>Planned</v>
      </c>
      <c r="G421" t="s">
        <v>19</v>
      </c>
      <c r="H421" t="str">
        <f>TRIM(PROPER(TTrainingSource[[#This Row],[Training_Title2]]))</f>
        <v>Introduction To Python For Data</v>
      </c>
      <c r="I421" t="s">
        <v>62</v>
      </c>
      <c r="J421" s="1">
        <v>45479</v>
      </c>
      <c r="K421" t="s">
        <v>44</v>
      </c>
      <c r="L421" s="7">
        <v>0</v>
      </c>
      <c r="M421">
        <f>ROUND(TTrainingSource[[#This Row],[Satisfaction_Score2]],0)</f>
        <v>3</v>
      </c>
      <c r="N421">
        <v>3.2</v>
      </c>
    </row>
    <row r="422" spans="1:14" x14ac:dyDescent="0.3">
      <c r="A422" t="s">
        <v>526</v>
      </c>
      <c r="B422" t="str">
        <f>TRIM(TTrainingSource[[#This Row],[EMPloyee_ID2]])</f>
        <v>EMP10214</v>
      </c>
      <c r="C422" t="str">
        <f>IFERROR(VLOOKUP(TTrainingSource[[#This Row],[Employee_ID]],THrList[],3,FALSE),"")</f>
        <v>DIALLO</v>
      </c>
      <c r="D422" t="str">
        <f>IFERROR(VLOOKUP(TTrainingSource[[#This Row],[Employee_ID]],THrList[],4,FALSE),"")</f>
        <v>Akosua</v>
      </c>
      <c r="E422" t="str">
        <f>IFERROR(VLOOKUP(TTrainingSource[[#This Row],[Employee_ID]],THrList[],10,FALSE),"")</f>
        <v>Marketing</v>
      </c>
      <c r="F422" t="str">
        <f>TRIM(PROPER(TTrainingSource[[#This Row],[Training_Status2]]))</f>
        <v>Completed</v>
      </c>
      <c r="G422" t="s">
        <v>17</v>
      </c>
      <c r="H422" t="str">
        <f>TRIM(PROPER(TTrainingSource[[#This Row],[Training_Title2]]))</f>
        <v>Financial Modeling Basics</v>
      </c>
      <c r="I422" t="s">
        <v>38</v>
      </c>
      <c r="J422" s="1">
        <v>44919</v>
      </c>
      <c r="K422" t="s">
        <v>71</v>
      </c>
      <c r="L422" s="7">
        <v>12</v>
      </c>
      <c r="M422">
        <f>ROUND(TTrainingSource[[#This Row],[Satisfaction_Score2]],0)</f>
        <v>3</v>
      </c>
      <c r="N422">
        <v>3.3</v>
      </c>
    </row>
    <row r="423" spans="1:14" x14ac:dyDescent="0.3">
      <c r="A423" t="s">
        <v>526</v>
      </c>
      <c r="B423" t="str">
        <f>TRIM(TTrainingSource[[#This Row],[EMPloyee_ID2]])</f>
        <v>EMP10214</v>
      </c>
      <c r="C423" t="str">
        <f>IFERROR(VLOOKUP(TTrainingSource[[#This Row],[Employee_ID]],THrList[],3,FALSE),"")</f>
        <v>DIALLO</v>
      </c>
      <c r="D423" t="str">
        <f>IFERROR(VLOOKUP(TTrainingSource[[#This Row],[Employee_ID]],THrList[],4,FALSE),"")</f>
        <v>Akosua</v>
      </c>
      <c r="E423" t="str">
        <f>IFERROR(VLOOKUP(TTrainingSource[[#This Row],[Employee_ID]],THrList[],10,FALSE),"")</f>
        <v>Marketing</v>
      </c>
      <c r="F423" t="str">
        <f>TRIM(PROPER(TTrainingSource[[#This Row],[Training_Status2]]))</f>
        <v>Completed</v>
      </c>
      <c r="G423" t="s">
        <v>17</v>
      </c>
      <c r="H423" t="str">
        <f>TRIM(PROPER(TTrainingSource[[#This Row],[Training_Title2]]))</f>
        <v>Power Bi Reporting</v>
      </c>
      <c r="I423" t="s">
        <v>24</v>
      </c>
      <c r="J423" s="1">
        <v>45084</v>
      </c>
      <c r="K423" t="s">
        <v>15</v>
      </c>
      <c r="L423" s="7">
        <v>20</v>
      </c>
      <c r="M423">
        <f>ROUND(TTrainingSource[[#This Row],[Satisfaction_Score2]],0)</f>
        <v>4</v>
      </c>
      <c r="N423">
        <v>4.3</v>
      </c>
    </row>
    <row r="424" spans="1:14" x14ac:dyDescent="0.3">
      <c r="A424" t="s">
        <v>526</v>
      </c>
      <c r="B424" t="str">
        <f>TRIM(TTrainingSource[[#This Row],[EMPloyee_ID2]])</f>
        <v>EMP10214</v>
      </c>
      <c r="C424" t="str">
        <f>IFERROR(VLOOKUP(TTrainingSource[[#This Row],[Employee_ID]],THrList[],3,FALSE),"")</f>
        <v>DIALLO</v>
      </c>
      <c r="D424" t="str">
        <f>IFERROR(VLOOKUP(TTrainingSource[[#This Row],[Employee_ID]],THrList[],4,FALSE),"")</f>
        <v>Akosua</v>
      </c>
      <c r="E424" t="str">
        <f>IFERROR(VLOOKUP(TTrainingSource[[#This Row],[Employee_ID]],THrList[],10,FALSE),"")</f>
        <v>Marketing</v>
      </c>
      <c r="F424" t="str">
        <f>TRIM(PROPER(TTrainingSource[[#This Row],[Training_Status2]]))</f>
        <v>Planned</v>
      </c>
      <c r="G424" t="s">
        <v>19</v>
      </c>
      <c r="H424" t="str">
        <f>TRIM(PROPER(TTrainingSource[[#This Row],[Training_Title2]]))</f>
        <v>Customer Data Analysis</v>
      </c>
      <c r="I424" t="s">
        <v>31</v>
      </c>
      <c r="J424" s="1">
        <v>45762</v>
      </c>
      <c r="K424" t="s">
        <v>32</v>
      </c>
      <c r="L424" s="7">
        <v>20</v>
      </c>
      <c r="M424">
        <f>ROUND(TTrainingSource[[#This Row],[Satisfaction_Score2]],0)</f>
        <v>4</v>
      </c>
      <c r="N424">
        <v>4.0999999999999996</v>
      </c>
    </row>
    <row r="425" spans="1:14" x14ac:dyDescent="0.3">
      <c r="A425" t="s">
        <v>526</v>
      </c>
      <c r="B425" t="str">
        <f>TRIM(TTrainingSource[[#This Row],[EMPloyee_ID2]])</f>
        <v>EMP10214</v>
      </c>
      <c r="C425" t="str">
        <f>IFERROR(VLOOKUP(TTrainingSource[[#This Row],[Employee_ID]],THrList[],3,FALSE),"")</f>
        <v>DIALLO</v>
      </c>
      <c r="D425" t="str">
        <f>IFERROR(VLOOKUP(TTrainingSource[[#This Row],[Employee_ID]],THrList[],4,FALSE),"")</f>
        <v>Akosua</v>
      </c>
      <c r="E425" t="str">
        <f>IFERROR(VLOOKUP(TTrainingSource[[#This Row],[Employee_ID]],THrList[],10,FALSE),"")</f>
        <v>Marketing</v>
      </c>
      <c r="F425" t="str">
        <f>TRIM(PROPER(TTrainingSource[[#This Row],[Training_Status2]]))</f>
        <v>Completed</v>
      </c>
      <c r="G425" t="s">
        <v>17</v>
      </c>
      <c r="H425" t="str">
        <f>TRIM(PROPER(TTrainingSource[[#This Row],[Training_Title2]]))</f>
        <v>Communication For Analysts</v>
      </c>
      <c r="I425" t="s">
        <v>28</v>
      </c>
      <c r="J425" s="1">
        <v>45056</v>
      </c>
      <c r="K425" t="s">
        <v>32</v>
      </c>
      <c r="L425" s="7">
        <v>12</v>
      </c>
      <c r="M425">
        <f>ROUND(TTrainingSource[[#This Row],[Satisfaction_Score2]],0)</f>
        <v>5</v>
      </c>
      <c r="N425">
        <v>4.8</v>
      </c>
    </row>
    <row r="426" spans="1:14" x14ac:dyDescent="0.3">
      <c r="A426" t="s">
        <v>526</v>
      </c>
      <c r="B426" t="str">
        <f>TRIM(TTrainingSource[[#This Row],[EMPloyee_ID2]])</f>
        <v>EMP10214</v>
      </c>
      <c r="C426" t="str">
        <f>IFERROR(VLOOKUP(TTrainingSource[[#This Row],[Employee_ID]],THrList[],3,FALSE),"")</f>
        <v>DIALLO</v>
      </c>
      <c r="D426" t="str">
        <f>IFERROR(VLOOKUP(TTrainingSource[[#This Row],[Employee_ID]],THrList[],4,FALSE),"")</f>
        <v>Akosua</v>
      </c>
      <c r="E426" t="str">
        <f>IFERROR(VLOOKUP(TTrainingSource[[#This Row],[Employee_ID]],THrList[],10,FALSE),"")</f>
        <v>Marketing</v>
      </c>
      <c r="F426" t="str">
        <f>TRIM(PROPER(TTrainingSource[[#This Row],[Training_Status2]]))</f>
        <v>In Progress</v>
      </c>
      <c r="G426" t="s">
        <v>8</v>
      </c>
      <c r="H426" t="str">
        <f>TRIM(PROPER(TTrainingSource[[#This Row],[Training_Title2]]))</f>
        <v>Sql For Data Analytics</v>
      </c>
      <c r="I426" t="s">
        <v>26</v>
      </c>
      <c r="J426" s="1">
        <v>45792</v>
      </c>
      <c r="K426" t="s">
        <v>46</v>
      </c>
      <c r="L426" s="7">
        <v>12</v>
      </c>
      <c r="M426">
        <f>ROUND(TTrainingSource[[#This Row],[Satisfaction_Score2]],0)</f>
        <v>4</v>
      </c>
      <c r="N426">
        <v>3.5</v>
      </c>
    </row>
    <row r="427" spans="1:14" x14ac:dyDescent="0.3">
      <c r="A427" t="s">
        <v>261</v>
      </c>
      <c r="B427" t="str">
        <f>TRIM(TTrainingSource[[#This Row],[EMPloyee_ID2]])</f>
        <v>EMP10215</v>
      </c>
      <c r="C427" t="str">
        <f>IFERROR(VLOOKUP(TTrainingSource[[#This Row],[Employee_ID]],THrList[],3,FALSE),"")</f>
        <v>MOORE</v>
      </c>
      <c r="D427" t="str">
        <f>IFERROR(VLOOKUP(TTrainingSource[[#This Row],[Employee_ID]],THrList[],4,FALSE),"")</f>
        <v>Antoine</v>
      </c>
      <c r="E427" t="str">
        <f>IFERROR(VLOOKUP(TTrainingSource[[#This Row],[Employee_ID]],THrList[],10,FALSE),"")</f>
        <v>Procurement</v>
      </c>
      <c r="F427" t="str">
        <f>TRIM(PROPER(TTrainingSource[[#This Row],[Training_Status2]]))</f>
        <v>Completed</v>
      </c>
      <c r="G427" t="s">
        <v>17</v>
      </c>
      <c r="H427" t="str">
        <f>TRIM(PROPER(TTrainingSource[[#This Row],[Training_Title2]]))</f>
        <v>Data Analysis Fundamentals</v>
      </c>
      <c r="I427" t="s">
        <v>9</v>
      </c>
      <c r="J427" s="1">
        <v>45327</v>
      </c>
      <c r="K427" t="s">
        <v>39</v>
      </c>
      <c r="L427" s="7">
        <v>20</v>
      </c>
      <c r="M427">
        <f>ROUND(TTrainingSource[[#This Row],[Satisfaction_Score2]],0)</f>
        <v>4</v>
      </c>
      <c r="N427">
        <v>4.3</v>
      </c>
    </row>
    <row r="428" spans="1:14" x14ac:dyDescent="0.3">
      <c r="A428" t="s">
        <v>488</v>
      </c>
      <c r="B428" t="str">
        <f>TRIM(TTrainingSource[[#This Row],[EMPloyee_ID2]])</f>
        <v>EMP10215</v>
      </c>
      <c r="C428" t="str">
        <f>IFERROR(VLOOKUP(TTrainingSource[[#This Row],[Employee_ID]],THrList[],3,FALSE),"")</f>
        <v>MOORE</v>
      </c>
      <c r="D428" t="str">
        <f>IFERROR(VLOOKUP(TTrainingSource[[#This Row],[Employee_ID]],THrList[],4,FALSE),"")</f>
        <v>Antoine</v>
      </c>
      <c r="E428" t="str">
        <f>IFERROR(VLOOKUP(TTrainingSource[[#This Row],[Employee_ID]],THrList[],10,FALSE),"")</f>
        <v>Procurement</v>
      </c>
      <c r="F428" t="str">
        <f>TRIM(PROPER(TTrainingSource[[#This Row],[Training_Status2]]))</f>
        <v>Planned</v>
      </c>
      <c r="G428" t="s">
        <v>19</v>
      </c>
      <c r="H428" t="str">
        <f>TRIM(PROPER(TTrainingSource[[#This Row],[Training_Title2]]))</f>
        <v>Power Bi Reporting</v>
      </c>
      <c r="I428" t="s">
        <v>24</v>
      </c>
      <c r="J428" s="1">
        <v>44580</v>
      </c>
      <c r="K428" t="s">
        <v>15</v>
      </c>
      <c r="L428" s="7">
        <v>20</v>
      </c>
      <c r="M428">
        <f>ROUND(TTrainingSource[[#This Row],[Satisfaction_Score2]],0)</f>
        <v>3</v>
      </c>
      <c r="N428">
        <v>3.3</v>
      </c>
    </row>
    <row r="429" spans="1:14" x14ac:dyDescent="0.3">
      <c r="A429" t="s">
        <v>554</v>
      </c>
      <c r="B429" t="str">
        <f>TRIM(TTrainingSource[[#This Row],[EMPloyee_ID2]])</f>
        <v>EMP10216</v>
      </c>
      <c r="C429" t="str">
        <f>IFERROR(VLOOKUP(TTrainingSource[[#This Row],[Employee_ID]],THrList[],3,FALSE),"")</f>
        <v>MERCIER</v>
      </c>
      <c r="D429" t="str">
        <f>IFERROR(VLOOKUP(TTrainingSource[[#This Row],[Employee_ID]],THrList[],4,FALSE),"")</f>
        <v>Khalid</v>
      </c>
      <c r="E429" t="str">
        <f>IFERROR(VLOOKUP(TTrainingSource[[#This Row],[Employee_ID]],THrList[],10,FALSE),"")</f>
        <v>Procurement</v>
      </c>
      <c r="F429" t="str">
        <f>TRIM(PROPER(TTrainingSource[[#This Row],[Training_Status2]]))</f>
        <v>Planned</v>
      </c>
      <c r="G429" t="s">
        <v>19</v>
      </c>
      <c r="H429" t="str">
        <f>TRIM(PROPER(TTrainingSource[[#This Row],[Training_Title2]]))</f>
        <v>Digital Marketing Strategy</v>
      </c>
      <c r="I429" t="s">
        <v>43</v>
      </c>
      <c r="J429" s="1">
        <v>45430</v>
      </c>
      <c r="K429" t="s">
        <v>42</v>
      </c>
      <c r="L429" s="7">
        <v>8</v>
      </c>
      <c r="M429">
        <f>ROUND(TTrainingSource[[#This Row],[Satisfaction_Score2]],0)</f>
        <v>3</v>
      </c>
      <c r="N429">
        <v>3.3</v>
      </c>
    </row>
    <row r="430" spans="1:14" x14ac:dyDescent="0.3">
      <c r="A430" t="s">
        <v>554</v>
      </c>
      <c r="B430" t="str">
        <f>TRIM(TTrainingSource[[#This Row],[EMPloyee_ID2]])</f>
        <v>EMP10216</v>
      </c>
      <c r="C430" t="str">
        <f>IFERROR(VLOOKUP(TTrainingSource[[#This Row],[Employee_ID]],THrList[],3,FALSE),"")</f>
        <v>MERCIER</v>
      </c>
      <c r="D430" t="str">
        <f>IFERROR(VLOOKUP(TTrainingSource[[#This Row],[Employee_ID]],THrList[],4,FALSE),"")</f>
        <v>Khalid</v>
      </c>
      <c r="E430" t="str">
        <f>IFERROR(VLOOKUP(TTrainingSource[[#This Row],[Employee_ID]],THrList[],10,FALSE),"")</f>
        <v>Procurement</v>
      </c>
      <c r="F430" t="str">
        <f>TRIM(PROPER(TTrainingSource[[#This Row],[Training_Status2]]))</f>
        <v>Completed</v>
      </c>
      <c r="G430" t="s">
        <v>17</v>
      </c>
      <c r="H430" t="str">
        <f>TRIM(PROPER(TTrainingSource[[#This Row],[Training_Title2]]))</f>
        <v>Data Analysis Fundamentals</v>
      </c>
      <c r="I430" t="s">
        <v>9</v>
      </c>
      <c r="J430" s="1">
        <v>44614</v>
      </c>
      <c r="K430" t="s">
        <v>32</v>
      </c>
      <c r="L430" s="7">
        <v>24</v>
      </c>
      <c r="M430">
        <f>ROUND(TTrainingSource[[#This Row],[Satisfaction_Score2]],0)</f>
        <v>3</v>
      </c>
      <c r="N430">
        <v>2.6</v>
      </c>
    </row>
    <row r="431" spans="1:14" x14ac:dyDescent="0.3">
      <c r="A431" t="s">
        <v>230</v>
      </c>
      <c r="B431" t="str">
        <f>TRIM(TTrainingSource[[#This Row],[EMPloyee_ID2]])</f>
        <v>EMP10217</v>
      </c>
      <c r="C431" t="str">
        <f>IFERROR(VLOOKUP(TTrainingSource[[#This Row],[Employee_ID]],THrList[],3,FALSE),"")</f>
        <v>MOREAU</v>
      </c>
      <c r="D431" t="str">
        <f>IFERROR(VLOOKUP(TTrainingSource[[#This Row],[Employee_ID]],THrList[],4,FALSE),"")</f>
        <v>Binta</v>
      </c>
      <c r="E431" t="str">
        <f>IFERROR(VLOOKUP(TTrainingSource[[#This Row],[Employee_ID]],THrList[],10,FALSE),"")</f>
        <v>Procurement</v>
      </c>
      <c r="F431" t="str">
        <f>TRIM(PROPER(TTrainingSource[[#This Row],[Training_Status2]]))</f>
        <v>Completed</v>
      </c>
      <c r="G431" t="s">
        <v>17</v>
      </c>
      <c r="H431" t="str">
        <f>TRIM(PROPER(TTrainingSource[[#This Row],[Training_Title2]]))</f>
        <v>Project Management Essentials</v>
      </c>
      <c r="I431" t="s">
        <v>182</v>
      </c>
      <c r="J431" s="1">
        <v>45268</v>
      </c>
      <c r="K431" t="s">
        <v>44</v>
      </c>
      <c r="L431" s="7">
        <v>6</v>
      </c>
      <c r="M431">
        <f>ROUND(TTrainingSource[[#This Row],[Satisfaction_Score2]],0)</f>
        <v>5</v>
      </c>
      <c r="N431">
        <v>4.9000000000000004</v>
      </c>
    </row>
    <row r="432" spans="1:14" x14ac:dyDescent="0.3">
      <c r="A432" t="s">
        <v>230</v>
      </c>
      <c r="B432" t="str">
        <f>TRIM(TTrainingSource[[#This Row],[EMPloyee_ID2]])</f>
        <v>EMP10217</v>
      </c>
      <c r="C432" t="str">
        <f>IFERROR(VLOOKUP(TTrainingSource[[#This Row],[Employee_ID]],THrList[],3,FALSE),"")</f>
        <v>MOREAU</v>
      </c>
      <c r="D432" t="str">
        <f>IFERROR(VLOOKUP(TTrainingSource[[#This Row],[Employee_ID]],THrList[],4,FALSE),"")</f>
        <v>Binta</v>
      </c>
      <c r="E432" t="str">
        <f>IFERROR(VLOOKUP(TTrainingSource[[#This Row],[Employee_ID]],THrList[],10,FALSE),"")</f>
        <v>Procurement</v>
      </c>
      <c r="F432" t="str">
        <f>TRIM(PROPER(TTrainingSource[[#This Row],[Training_Status2]]))</f>
        <v>Completed</v>
      </c>
      <c r="G432" t="s">
        <v>17</v>
      </c>
      <c r="H432" t="str">
        <f>TRIM(PROPER(TTrainingSource[[#This Row],[Training_Title2]]))</f>
        <v>Digital Marketing Strategy</v>
      </c>
      <c r="I432" t="s">
        <v>43</v>
      </c>
      <c r="J432" s="1">
        <v>44951</v>
      </c>
      <c r="K432" t="s">
        <v>39</v>
      </c>
      <c r="L432" s="7">
        <v>4</v>
      </c>
      <c r="M432">
        <f>ROUND(TTrainingSource[[#This Row],[Satisfaction_Score2]],0)</f>
        <v>4</v>
      </c>
      <c r="N432">
        <v>3.9</v>
      </c>
    </row>
    <row r="433" spans="1:14" x14ac:dyDescent="0.3">
      <c r="A433" t="s">
        <v>137</v>
      </c>
      <c r="B433" t="str">
        <f>TRIM(TTrainingSource[[#This Row],[EMPloyee_ID2]])</f>
        <v>EMP10218</v>
      </c>
      <c r="C433" t="str">
        <f>IFERROR(VLOOKUP(TTrainingSource[[#This Row],[Employee_ID]],THrList[],3,FALSE),"")</f>
        <v>KOUASSI</v>
      </c>
      <c r="D433" t="str">
        <f>IFERROR(VLOOKUP(TTrainingSource[[#This Row],[Employee_ID]],THrList[],4,FALSE),"")</f>
        <v>Layla</v>
      </c>
      <c r="E433" t="str">
        <f>IFERROR(VLOOKUP(TTrainingSource[[#This Row],[Employee_ID]],THrList[],10,FALSE),"")</f>
        <v>Customer Support</v>
      </c>
      <c r="F433" t="str">
        <f>TRIM(PROPER(TTrainingSource[[#This Row],[Training_Status2]]))</f>
        <v>Completed</v>
      </c>
      <c r="G433" t="s">
        <v>17</v>
      </c>
      <c r="H433" t="str">
        <f>TRIM(PROPER(TTrainingSource[[#This Row],[Training_Title2]]))</f>
        <v>Communication For Analysts</v>
      </c>
      <c r="I433" t="s">
        <v>28</v>
      </c>
      <c r="J433" s="1">
        <v>44841</v>
      </c>
      <c r="K433" t="s">
        <v>32</v>
      </c>
      <c r="L433" s="7">
        <v>6</v>
      </c>
      <c r="M433">
        <f>ROUND(TTrainingSource[[#This Row],[Satisfaction_Score2]],0)</f>
        <v>5</v>
      </c>
      <c r="N433">
        <v>4.5</v>
      </c>
    </row>
    <row r="434" spans="1:14" x14ac:dyDescent="0.3">
      <c r="A434" t="s">
        <v>137</v>
      </c>
      <c r="B434" t="str">
        <f>TRIM(TTrainingSource[[#This Row],[EMPloyee_ID2]])</f>
        <v>EMP10218</v>
      </c>
      <c r="C434" t="str">
        <f>IFERROR(VLOOKUP(TTrainingSource[[#This Row],[Employee_ID]],THrList[],3,FALSE),"")</f>
        <v>KOUASSI</v>
      </c>
      <c r="D434" t="str">
        <f>IFERROR(VLOOKUP(TTrainingSource[[#This Row],[Employee_ID]],THrList[],4,FALSE),"")</f>
        <v>Layla</v>
      </c>
      <c r="E434" t="str">
        <f>IFERROR(VLOOKUP(TTrainingSource[[#This Row],[Employee_ID]],THrList[],10,FALSE),"")</f>
        <v>Customer Support</v>
      </c>
      <c r="F434" t="str">
        <f>TRIM(PROPER(TTrainingSource[[#This Row],[Training_Status2]]))</f>
        <v>Completed</v>
      </c>
      <c r="G434" t="s">
        <v>17</v>
      </c>
      <c r="H434" t="str">
        <f>TRIM(PROPER(TTrainingSource[[#This Row],[Training_Title2]]))</f>
        <v>Project Management Essentials</v>
      </c>
      <c r="I434" t="s">
        <v>14</v>
      </c>
      <c r="J434" s="1">
        <v>45068</v>
      </c>
      <c r="K434" t="s">
        <v>71</v>
      </c>
      <c r="L434" s="7">
        <v>4</v>
      </c>
      <c r="M434">
        <f>ROUND(TTrainingSource[[#This Row],[Satisfaction_Score2]],0)</f>
        <v>3</v>
      </c>
      <c r="N434">
        <v>3</v>
      </c>
    </row>
    <row r="435" spans="1:14" x14ac:dyDescent="0.3">
      <c r="A435" t="s">
        <v>137</v>
      </c>
      <c r="B435" t="str">
        <f>TRIM(TTrainingSource[[#This Row],[EMPloyee_ID2]])</f>
        <v>EMP10218</v>
      </c>
      <c r="C435" t="str">
        <f>IFERROR(VLOOKUP(TTrainingSource[[#This Row],[Employee_ID]],THrList[],3,FALSE),"")</f>
        <v>KOUASSI</v>
      </c>
      <c r="D435" t="str">
        <f>IFERROR(VLOOKUP(TTrainingSource[[#This Row],[Employee_ID]],THrList[],4,FALSE),"")</f>
        <v>Layla</v>
      </c>
      <c r="E435" t="str">
        <f>IFERROR(VLOOKUP(TTrainingSource[[#This Row],[Employee_ID]],THrList[],10,FALSE),"")</f>
        <v>Customer Support</v>
      </c>
      <c r="F435" t="str">
        <f>TRIM(PROPER(TTrainingSource[[#This Row],[Training_Status2]]))</f>
        <v>Completed</v>
      </c>
      <c r="G435" t="s">
        <v>35</v>
      </c>
      <c r="H435" t="str">
        <f>TRIM(PROPER(TTrainingSource[[#This Row],[Training_Title2]]))</f>
        <v>Project Management Essentials</v>
      </c>
      <c r="I435" t="s">
        <v>14</v>
      </c>
      <c r="J435" s="1">
        <v>45838</v>
      </c>
      <c r="K435" t="s">
        <v>46</v>
      </c>
      <c r="L435" s="7">
        <v>24</v>
      </c>
      <c r="M435">
        <f>ROUND(TTrainingSource[[#This Row],[Satisfaction_Score2]],0)</f>
        <v>4</v>
      </c>
      <c r="N435">
        <v>4.0999999999999996</v>
      </c>
    </row>
    <row r="436" spans="1:14" x14ac:dyDescent="0.3">
      <c r="A436" t="s">
        <v>137</v>
      </c>
      <c r="B436" t="str">
        <f>TRIM(TTrainingSource[[#This Row],[EMPloyee_ID2]])</f>
        <v>EMP10218</v>
      </c>
      <c r="C436" t="str">
        <f>IFERROR(VLOOKUP(TTrainingSource[[#This Row],[Employee_ID]],THrList[],3,FALSE),"")</f>
        <v>KOUASSI</v>
      </c>
      <c r="D436" t="str">
        <f>IFERROR(VLOOKUP(TTrainingSource[[#This Row],[Employee_ID]],THrList[],4,FALSE),"")</f>
        <v>Layla</v>
      </c>
      <c r="E436" t="str">
        <f>IFERROR(VLOOKUP(TTrainingSource[[#This Row],[Employee_ID]],THrList[],10,FALSE),"")</f>
        <v>Customer Support</v>
      </c>
      <c r="F436" t="str">
        <f>TRIM(PROPER(TTrainingSource[[#This Row],[Training_Status2]]))</f>
        <v>Completed</v>
      </c>
      <c r="G436" t="s">
        <v>17</v>
      </c>
      <c r="H436" t="str">
        <f>TRIM(PROPER(TTrainingSource[[#This Row],[Training_Title2]]))</f>
        <v>Data Visualization Best Practices</v>
      </c>
      <c r="I436" t="s">
        <v>113</v>
      </c>
      <c r="J436" s="1">
        <v>45145</v>
      </c>
      <c r="K436" t="s">
        <v>42</v>
      </c>
      <c r="L436" s="7">
        <v>20</v>
      </c>
      <c r="M436">
        <f>ROUND(TTrainingSource[[#This Row],[Satisfaction_Score2]],0)</f>
        <v>5</v>
      </c>
      <c r="N436">
        <v>4.5999999999999996</v>
      </c>
    </row>
    <row r="437" spans="1:14" x14ac:dyDescent="0.3">
      <c r="A437" t="s">
        <v>137</v>
      </c>
      <c r="B437" t="str">
        <f>TRIM(TTrainingSource[[#This Row],[EMPloyee_ID2]])</f>
        <v>EMP10218</v>
      </c>
      <c r="C437" t="str">
        <f>IFERROR(VLOOKUP(TTrainingSource[[#This Row],[Employee_ID]],THrList[],3,FALSE),"")</f>
        <v>KOUASSI</v>
      </c>
      <c r="D437" t="str">
        <f>IFERROR(VLOOKUP(TTrainingSource[[#This Row],[Employee_ID]],THrList[],4,FALSE),"")</f>
        <v>Layla</v>
      </c>
      <c r="E437" t="str">
        <f>IFERROR(VLOOKUP(TTrainingSource[[#This Row],[Employee_ID]],THrList[],10,FALSE),"")</f>
        <v>Customer Support</v>
      </c>
      <c r="F437" t="str">
        <f>TRIM(PROPER(TTrainingSource[[#This Row],[Training_Status2]]))</f>
        <v>In Progress</v>
      </c>
      <c r="G437" t="s">
        <v>8</v>
      </c>
      <c r="H437" t="str">
        <f>TRIM(PROPER(TTrainingSource[[#This Row],[Training_Title2]]))</f>
        <v>Advanced Excel For Business</v>
      </c>
      <c r="I437" t="s">
        <v>52</v>
      </c>
      <c r="J437" s="1">
        <v>45248</v>
      </c>
      <c r="K437" t="s">
        <v>46</v>
      </c>
      <c r="L437" s="7">
        <v>24</v>
      </c>
      <c r="M437">
        <f>ROUND(TTrainingSource[[#This Row],[Satisfaction_Score2]],0)</f>
        <v>4</v>
      </c>
      <c r="N437">
        <v>3.6</v>
      </c>
    </row>
    <row r="438" spans="1:14" x14ac:dyDescent="0.3">
      <c r="A438" t="s">
        <v>385</v>
      </c>
      <c r="B438" t="str">
        <f>TRIM(TTrainingSource[[#This Row],[EMPloyee_ID2]])</f>
        <v>EMP10219</v>
      </c>
      <c r="C438" t="str">
        <f>IFERROR(VLOOKUP(TTrainingSource[[#This Row],[Employee_ID]],THrList[],3,FALSE),"")</f>
        <v>MOREAU</v>
      </c>
      <c r="D438" t="str">
        <f>IFERROR(VLOOKUP(TTrainingSource[[#This Row],[Employee_ID]],THrList[],4,FALSE),"")</f>
        <v>Henry</v>
      </c>
      <c r="E438" t="str">
        <f>IFERROR(VLOOKUP(TTrainingSource[[#This Row],[Employee_ID]],THrList[],10,FALSE),"")</f>
        <v>Customer Support</v>
      </c>
      <c r="F438" t="str">
        <f>TRIM(PROPER(TTrainingSource[[#This Row],[Training_Status2]]))</f>
        <v>In Progress</v>
      </c>
      <c r="G438" t="s">
        <v>8</v>
      </c>
      <c r="H438" t="str">
        <f>TRIM(PROPER(TTrainingSource[[#This Row],[Training_Title2]]))</f>
        <v>Introduction To Python For Data</v>
      </c>
      <c r="I438" t="s">
        <v>62</v>
      </c>
      <c r="J438" s="1">
        <v>44737</v>
      </c>
      <c r="K438" t="s">
        <v>42</v>
      </c>
      <c r="L438" s="7">
        <v>12</v>
      </c>
      <c r="M438">
        <f>ROUND(TTrainingSource[[#This Row],[Satisfaction_Score2]],0)</f>
        <v>3</v>
      </c>
      <c r="N438">
        <v>2.9</v>
      </c>
    </row>
    <row r="439" spans="1:14" x14ac:dyDescent="0.3">
      <c r="A439" t="s">
        <v>385</v>
      </c>
      <c r="B439" t="str">
        <f>TRIM(TTrainingSource[[#This Row],[EMPloyee_ID2]])</f>
        <v>EMP10219</v>
      </c>
      <c r="C439" t="str">
        <f>IFERROR(VLOOKUP(TTrainingSource[[#This Row],[Employee_ID]],THrList[],3,FALSE),"")</f>
        <v>MOREAU</v>
      </c>
      <c r="D439" t="str">
        <f>IFERROR(VLOOKUP(TTrainingSource[[#This Row],[Employee_ID]],THrList[],4,FALSE),"")</f>
        <v>Henry</v>
      </c>
      <c r="E439" t="str">
        <f>IFERROR(VLOOKUP(TTrainingSource[[#This Row],[Employee_ID]],THrList[],10,FALSE),"")</f>
        <v>Customer Support</v>
      </c>
      <c r="F439" t="str">
        <f>TRIM(PROPER(TTrainingSource[[#This Row],[Training_Status2]]))</f>
        <v>Completed</v>
      </c>
      <c r="G439" t="s">
        <v>17</v>
      </c>
      <c r="H439" t="str">
        <f>TRIM(PROPER(TTrainingSource[[#This Row],[Training_Title2]]))</f>
        <v>Power Bi Reporting</v>
      </c>
      <c r="I439" t="s">
        <v>130</v>
      </c>
      <c r="J439" s="1">
        <v>45840</v>
      </c>
      <c r="K439" t="s">
        <v>1072</v>
      </c>
      <c r="L439" s="7">
        <v>16</v>
      </c>
      <c r="M439">
        <f>ROUND(TTrainingSource[[#This Row],[Satisfaction_Score2]],0)</f>
        <v>4</v>
      </c>
      <c r="N439">
        <v>4.2</v>
      </c>
    </row>
    <row r="440" spans="1:14" x14ac:dyDescent="0.3">
      <c r="A440" t="s">
        <v>385</v>
      </c>
      <c r="B440" t="str">
        <f>TRIM(TTrainingSource[[#This Row],[EMPloyee_ID2]])</f>
        <v>EMP10219</v>
      </c>
      <c r="C440" t="str">
        <f>IFERROR(VLOOKUP(TTrainingSource[[#This Row],[Employee_ID]],THrList[],3,FALSE),"")</f>
        <v>MOREAU</v>
      </c>
      <c r="D440" t="str">
        <f>IFERROR(VLOOKUP(TTrainingSource[[#This Row],[Employee_ID]],THrList[],4,FALSE),"")</f>
        <v>Henry</v>
      </c>
      <c r="E440" t="str">
        <f>IFERROR(VLOOKUP(TTrainingSource[[#This Row],[Employee_ID]],THrList[],10,FALSE),"")</f>
        <v>Customer Support</v>
      </c>
      <c r="F440" t="str">
        <f>TRIM(PROPER(TTrainingSource[[#This Row],[Training_Status2]]))</f>
        <v>Planned</v>
      </c>
      <c r="G440" t="s">
        <v>19</v>
      </c>
      <c r="H440" t="str">
        <f>TRIM(PROPER(TTrainingSource[[#This Row],[Training_Title2]]))</f>
        <v>Business Intelligence With Tableau</v>
      </c>
      <c r="I440" t="s">
        <v>517</v>
      </c>
      <c r="J440" s="1">
        <v>45580</v>
      </c>
      <c r="K440" t="s">
        <v>46</v>
      </c>
      <c r="L440" s="7">
        <v>6</v>
      </c>
      <c r="M440">
        <f>ROUND(TTrainingSource[[#This Row],[Satisfaction_Score2]],0)</f>
        <v>4</v>
      </c>
      <c r="N440">
        <v>4.3</v>
      </c>
    </row>
    <row r="441" spans="1:14" x14ac:dyDescent="0.3">
      <c r="A441" t="s">
        <v>385</v>
      </c>
      <c r="B441" t="str">
        <f>TRIM(TTrainingSource[[#This Row],[EMPloyee_ID2]])</f>
        <v>EMP10219</v>
      </c>
      <c r="C441" t="str">
        <f>IFERROR(VLOOKUP(TTrainingSource[[#This Row],[Employee_ID]],THrList[],3,FALSE),"")</f>
        <v>MOREAU</v>
      </c>
      <c r="D441" t="str">
        <f>IFERROR(VLOOKUP(TTrainingSource[[#This Row],[Employee_ID]],THrList[],4,FALSE),"")</f>
        <v>Henry</v>
      </c>
      <c r="E441" t="str">
        <f>IFERROR(VLOOKUP(TTrainingSource[[#This Row],[Employee_ID]],THrList[],10,FALSE),"")</f>
        <v>Customer Support</v>
      </c>
      <c r="F441" t="str">
        <f>TRIM(PROPER(TTrainingSource[[#This Row],[Training_Status2]]))</f>
        <v>Completed</v>
      </c>
      <c r="G441" t="s">
        <v>17</v>
      </c>
      <c r="H441" t="str">
        <f>TRIM(PROPER(TTrainingSource[[#This Row],[Training_Title2]]))</f>
        <v>Project Management Essentials</v>
      </c>
      <c r="I441" t="s">
        <v>14</v>
      </c>
      <c r="J441" s="1">
        <v>45308</v>
      </c>
      <c r="K441" t="s">
        <v>39</v>
      </c>
      <c r="L441" s="7">
        <v>24</v>
      </c>
      <c r="M441">
        <f>ROUND(TTrainingSource[[#This Row],[Satisfaction_Score2]],0)</f>
        <v>3</v>
      </c>
      <c r="N441">
        <v>3.1</v>
      </c>
    </row>
    <row r="442" spans="1:14" x14ac:dyDescent="0.3">
      <c r="A442" t="s">
        <v>381</v>
      </c>
      <c r="B442" t="str">
        <f>TRIM(TTrainingSource[[#This Row],[EMPloyee_ID2]])</f>
        <v>EMP10220</v>
      </c>
      <c r="C442" t="str">
        <f>IFERROR(VLOOKUP(TTrainingSource[[#This Row],[Employee_ID]],THrList[],3,FALSE),"")</f>
        <v>SINGH</v>
      </c>
      <c r="D442" t="str">
        <f>IFERROR(VLOOKUP(TTrainingSource[[#This Row],[Employee_ID]],THrList[],4,FALSE),"")</f>
        <v>Layla</v>
      </c>
      <c r="E442" t="str">
        <f>IFERROR(VLOOKUP(TTrainingSource[[#This Row],[Employee_ID]],THrList[],10,FALSE),"")</f>
        <v>Human Resources</v>
      </c>
      <c r="F442" t="str">
        <f>TRIM(PROPER(TTrainingSource[[#This Row],[Training_Status2]]))</f>
        <v>In Progress</v>
      </c>
      <c r="G442" t="s">
        <v>8</v>
      </c>
      <c r="H442" t="str">
        <f>TRIM(PROPER(TTrainingSource[[#This Row],[Training_Title2]]))</f>
        <v>Power Bi Reporting</v>
      </c>
      <c r="I442" t="s">
        <v>24</v>
      </c>
      <c r="J442" s="1">
        <v>45664</v>
      </c>
      <c r="K442" t="s">
        <v>132</v>
      </c>
      <c r="L442" s="7">
        <v>40</v>
      </c>
      <c r="M442">
        <f>ROUND(TTrainingSource[[#This Row],[Satisfaction_Score2]],0)</f>
        <v>5</v>
      </c>
      <c r="N442">
        <v>4.9000000000000004</v>
      </c>
    </row>
    <row r="443" spans="1:14" x14ac:dyDescent="0.3">
      <c r="A443" t="s">
        <v>520</v>
      </c>
      <c r="B443" t="str">
        <f>TRIM(TTrainingSource[[#This Row],[EMPloyee_ID2]])</f>
        <v>EMP10221</v>
      </c>
      <c r="C443" t="str">
        <f>IFERROR(VLOOKUP(TTrainingSource[[#This Row],[Employee_ID]],THrList[],3,FALSE),"")</f>
        <v>PATEL</v>
      </c>
      <c r="D443" t="str">
        <f>IFERROR(VLOOKUP(TTrainingSource[[#This Row],[Employee_ID]],THrList[],4,FALSE),"")</f>
        <v>Kofi</v>
      </c>
      <c r="E443" t="str">
        <f>IFERROR(VLOOKUP(TTrainingSource[[#This Row],[Employee_ID]],THrList[],10,FALSE),"")</f>
        <v>Sales</v>
      </c>
      <c r="F443" t="str">
        <f>TRIM(PROPER(TTrainingSource[[#This Row],[Training_Status2]]))</f>
        <v>Completed</v>
      </c>
      <c r="G443" t="s">
        <v>35</v>
      </c>
      <c r="H443" t="str">
        <f>TRIM(PROPER(TTrainingSource[[#This Row],[Training_Title2]]))</f>
        <v>Digital Marketing Strategy</v>
      </c>
      <c r="I443" t="s">
        <v>43</v>
      </c>
      <c r="J443" s="1">
        <v>45257</v>
      </c>
      <c r="K443" t="s">
        <v>46</v>
      </c>
      <c r="L443" s="7">
        <v>32</v>
      </c>
      <c r="M443">
        <f>ROUND(TTrainingSource[[#This Row],[Satisfaction_Score2]],0)</f>
        <v>3</v>
      </c>
      <c r="N443">
        <v>2.6</v>
      </c>
    </row>
    <row r="444" spans="1:14" x14ac:dyDescent="0.3">
      <c r="A444" t="s">
        <v>520</v>
      </c>
      <c r="B444" t="str">
        <f>TRIM(TTrainingSource[[#This Row],[EMPloyee_ID2]])</f>
        <v>EMP10221</v>
      </c>
      <c r="C444" t="str">
        <f>IFERROR(VLOOKUP(TTrainingSource[[#This Row],[Employee_ID]],THrList[],3,FALSE),"")</f>
        <v>PATEL</v>
      </c>
      <c r="D444" t="str">
        <f>IFERROR(VLOOKUP(TTrainingSource[[#This Row],[Employee_ID]],THrList[],4,FALSE),"")</f>
        <v>Kofi</v>
      </c>
      <c r="E444" t="str">
        <f>IFERROR(VLOOKUP(TTrainingSource[[#This Row],[Employee_ID]],THrList[],10,FALSE),"")</f>
        <v>Sales</v>
      </c>
      <c r="F444" t="str">
        <f>TRIM(PROPER(TTrainingSource[[#This Row],[Training_Status2]]))</f>
        <v>Planned</v>
      </c>
      <c r="G444" t="s">
        <v>19</v>
      </c>
      <c r="H444" t="str">
        <f>TRIM(PROPER(TTrainingSource[[#This Row],[Training_Title2]]))</f>
        <v>Financial Modeling Basics</v>
      </c>
      <c r="I444" t="s">
        <v>38</v>
      </c>
      <c r="J444" s="1">
        <v>45044</v>
      </c>
      <c r="K444" t="s">
        <v>39</v>
      </c>
      <c r="L444" s="7">
        <v>20</v>
      </c>
      <c r="M444">
        <f>ROUND(TTrainingSource[[#This Row],[Satisfaction_Score2]],0)</f>
        <v>5</v>
      </c>
      <c r="N444">
        <v>4.5999999999999996</v>
      </c>
    </row>
    <row r="445" spans="1:14" x14ac:dyDescent="0.3">
      <c r="A445" t="s">
        <v>710</v>
      </c>
      <c r="B445" t="str">
        <f>TRIM(TTrainingSource[[#This Row],[EMPloyee_ID2]])</f>
        <v>EMP10222</v>
      </c>
      <c r="C445" t="str">
        <f>IFERROR(VLOOKUP(TTrainingSource[[#This Row],[Employee_ID]],THrList[],3,FALSE),"")</f>
        <v>TOURE</v>
      </c>
      <c r="D445" t="str">
        <f>IFERROR(VLOOKUP(TTrainingSource[[#This Row],[Employee_ID]],THrList[],4,FALSE),"")</f>
        <v>Emma</v>
      </c>
      <c r="E445" t="str">
        <f>IFERROR(VLOOKUP(TTrainingSource[[#This Row],[Employee_ID]],THrList[],10,FALSE),"")</f>
        <v>Procurement</v>
      </c>
      <c r="F445" t="str">
        <f>TRIM(PROPER(TTrainingSource[[#This Row],[Training_Status2]]))</f>
        <v>In Progress</v>
      </c>
      <c r="G445" t="s">
        <v>8</v>
      </c>
      <c r="H445" t="str">
        <f>TRIM(PROPER(TTrainingSource[[#This Row],[Training_Title2]]))</f>
        <v>Data Analysis Fundamentals</v>
      </c>
      <c r="I445" t="s">
        <v>9</v>
      </c>
      <c r="J445" s="1">
        <v>45827</v>
      </c>
      <c r="K445" t="s">
        <v>46</v>
      </c>
      <c r="L445" s="7">
        <v>12</v>
      </c>
      <c r="M445">
        <f>ROUND(TTrainingSource[[#This Row],[Satisfaction_Score2]],0)</f>
        <v>3</v>
      </c>
      <c r="N445">
        <v>3.3</v>
      </c>
    </row>
    <row r="446" spans="1:14" x14ac:dyDescent="0.3">
      <c r="A446" t="s">
        <v>455</v>
      </c>
      <c r="B446" t="str">
        <f>TRIM(TTrainingSource[[#This Row],[EMPloyee_ID2]])</f>
        <v>EMP10223</v>
      </c>
      <c r="C446" t="str">
        <f>IFERROR(VLOOKUP(TTrainingSource[[#This Row],[Employee_ID]],THrList[],3,FALSE),"")</f>
        <v>GIRARD</v>
      </c>
      <c r="D446" t="str">
        <f>IFERROR(VLOOKUP(TTrainingSource[[#This Row],[Employee_ID]],THrList[],4,FALSE),"")</f>
        <v>James</v>
      </c>
      <c r="E446" t="str">
        <f>IFERROR(VLOOKUP(TTrainingSource[[#This Row],[Employee_ID]],THrList[],10,FALSE),"")</f>
        <v>Sales</v>
      </c>
      <c r="F446" t="str">
        <f>TRIM(PROPER(TTrainingSource[[#This Row],[Training_Status2]]))</f>
        <v>In Progress</v>
      </c>
      <c r="G446" t="s">
        <v>8</v>
      </c>
      <c r="H446" t="str">
        <f>TRIM(PROPER(TTrainingSource[[#This Row],[Training_Title2]]))</f>
        <v>Customer Data Analysis</v>
      </c>
      <c r="I446" t="s">
        <v>31</v>
      </c>
      <c r="J446" s="1">
        <v>45858</v>
      </c>
      <c r="K446" t="s">
        <v>132</v>
      </c>
      <c r="L446" s="7">
        <v>20</v>
      </c>
      <c r="M446">
        <f>ROUND(TTrainingSource[[#This Row],[Satisfaction_Score2]],0)</f>
        <v>3</v>
      </c>
      <c r="N446">
        <v>3.3</v>
      </c>
    </row>
    <row r="447" spans="1:14" x14ac:dyDescent="0.3">
      <c r="A447" t="s">
        <v>235</v>
      </c>
      <c r="B447" t="str">
        <f>TRIM(TTrainingSource[[#This Row],[EMPloyee_ID2]])</f>
        <v>EMP10224</v>
      </c>
      <c r="C447" t="str">
        <f>IFERROR(VLOOKUP(TTrainingSource[[#This Row],[Employee_ID]],THrList[],3,FALSE),"")</f>
        <v>DUBOIS</v>
      </c>
      <c r="D447" t="str">
        <f>IFERROR(VLOOKUP(TTrainingSource[[#This Row],[Employee_ID]],THrList[],4,FALSE),"")</f>
        <v>Emily</v>
      </c>
      <c r="E447" t="str">
        <f>IFERROR(VLOOKUP(TTrainingSource[[#This Row],[Employee_ID]],THrList[],10,FALSE),"")</f>
        <v>IT</v>
      </c>
      <c r="F447" t="str">
        <f>TRIM(PROPER(TTrainingSource[[#This Row],[Training_Status2]]))</f>
        <v>In Progress</v>
      </c>
      <c r="G447" t="s">
        <v>8</v>
      </c>
      <c r="H447" t="str">
        <f>TRIM(PROPER(TTrainingSource[[#This Row],[Training_Title2]]))</f>
        <v>Sql For Data Analytics</v>
      </c>
      <c r="I447" t="s">
        <v>26</v>
      </c>
      <c r="J447" s="1">
        <v>45323</v>
      </c>
      <c r="K447" t="s">
        <v>32</v>
      </c>
      <c r="L447" s="7">
        <v>32</v>
      </c>
      <c r="M447">
        <f>ROUND(TTrainingSource[[#This Row],[Satisfaction_Score2]],0)</f>
        <v>4</v>
      </c>
      <c r="N447">
        <v>3.7</v>
      </c>
    </row>
    <row r="448" spans="1:14" x14ac:dyDescent="0.3">
      <c r="A448" t="s">
        <v>235</v>
      </c>
      <c r="B448" t="str">
        <f>TRIM(TTrainingSource[[#This Row],[EMPloyee_ID2]])</f>
        <v>EMP10224</v>
      </c>
      <c r="C448" t="str">
        <f>IFERROR(VLOOKUP(TTrainingSource[[#This Row],[Employee_ID]],THrList[],3,FALSE),"")</f>
        <v>DUBOIS</v>
      </c>
      <c r="D448" t="str">
        <f>IFERROR(VLOOKUP(TTrainingSource[[#This Row],[Employee_ID]],THrList[],4,FALSE),"")</f>
        <v>Emily</v>
      </c>
      <c r="E448" t="str">
        <f>IFERROR(VLOOKUP(TTrainingSource[[#This Row],[Employee_ID]],THrList[],10,FALSE),"")</f>
        <v>IT</v>
      </c>
      <c r="F448" t="str">
        <f>TRIM(PROPER(TTrainingSource[[#This Row],[Training_Status2]]))</f>
        <v>Planned</v>
      </c>
      <c r="G448" t="s">
        <v>19</v>
      </c>
      <c r="H448" t="str">
        <f>TRIM(PROPER(TTrainingSource[[#This Row],[Training_Title2]]))</f>
        <v>Data Visualization Best Practices</v>
      </c>
      <c r="I448" t="s">
        <v>20</v>
      </c>
      <c r="J448" s="1">
        <v>45531</v>
      </c>
      <c r="K448" t="s">
        <v>39</v>
      </c>
      <c r="L448" s="7">
        <v>24</v>
      </c>
      <c r="M448">
        <f>ROUND(TTrainingSource[[#This Row],[Satisfaction_Score2]],0)</f>
        <v>5</v>
      </c>
      <c r="N448">
        <v>4.7</v>
      </c>
    </row>
    <row r="449" spans="1:14" x14ac:dyDescent="0.3">
      <c r="A449" t="s">
        <v>158</v>
      </c>
      <c r="B449" t="str">
        <f>TRIM(TTrainingSource[[#This Row],[EMPloyee_ID2]])</f>
        <v>EMP10225</v>
      </c>
      <c r="C449" t="str">
        <f>IFERROR(VLOOKUP(TTrainingSource[[#This Row],[Employee_ID]],THrList[],3,FALSE),"")</f>
        <v>JACKSON</v>
      </c>
      <c r="D449" t="str">
        <f>IFERROR(VLOOKUP(TTrainingSource[[#This Row],[Employee_ID]],THrList[],4,FALSE),"")</f>
        <v>Paul</v>
      </c>
      <c r="E449" t="str">
        <f>IFERROR(VLOOKUP(TTrainingSource[[#This Row],[Employee_ID]],THrList[],10,FALSE),"")</f>
        <v>Sales</v>
      </c>
      <c r="F449" t="str">
        <f>TRIM(PROPER(TTrainingSource[[#This Row],[Training_Status2]]))</f>
        <v>Completed</v>
      </c>
      <c r="G449" t="s">
        <v>17</v>
      </c>
      <c r="H449" t="str">
        <f>TRIM(PROPER(TTrainingSource[[#This Row],[Training_Title2]]))</f>
        <v>Sql For Data Analytics</v>
      </c>
      <c r="I449" t="s">
        <v>26</v>
      </c>
      <c r="J449" s="1">
        <v>44807</v>
      </c>
      <c r="K449" t="s">
        <v>29</v>
      </c>
      <c r="L449" s="7">
        <v>4</v>
      </c>
      <c r="M449">
        <f>ROUND(TTrainingSource[[#This Row],[Satisfaction_Score2]],0)</f>
        <v>4</v>
      </c>
      <c r="N449">
        <v>4.4000000000000004</v>
      </c>
    </row>
    <row r="450" spans="1:14" x14ac:dyDescent="0.3">
      <c r="A450" t="s">
        <v>158</v>
      </c>
      <c r="B450" t="str">
        <f>TRIM(TTrainingSource[[#This Row],[EMPloyee_ID2]])</f>
        <v>EMP10225</v>
      </c>
      <c r="C450" t="str">
        <f>IFERROR(VLOOKUP(TTrainingSource[[#This Row],[Employee_ID]],THrList[],3,FALSE),"")</f>
        <v>JACKSON</v>
      </c>
      <c r="D450" t="str">
        <f>IFERROR(VLOOKUP(TTrainingSource[[#This Row],[Employee_ID]],THrList[],4,FALSE),"")</f>
        <v>Paul</v>
      </c>
      <c r="E450" t="str">
        <f>IFERROR(VLOOKUP(TTrainingSource[[#This Row],[Employee_ID]],THrList[],10,FALSE),"")</f>
        <v>Sales</v>
      </c>
      <c r="F450" t="str">
        <f>TRIM(PROPER(TTrainingSource[[#This Row],[Training_Status2]]))</f>
        <v>Completed</v>
      </c>
      <c r="G450" t="s">
        <v>69</v>
      </c>
      <c r="H450" t="str">
        <f>TRIM(PROPER(TTrainingSource[[#This Row],[Training_Title2]]))</f>
        <v>Sql For Data Analytics</v>
      </c>
      <c r="I450" t="s">
        <v>300</v>
      </c>
      <c r="J450" s="1">
        <v>44808</v>
      </c>
      <c r="K450" t="s">
        <v>12</v>
      </c>
      <c r="L450" s="7">
        <v>6</v>
      </c>
      <c r="M450">
        <f>ROUND(TTrainingSource[[#This Row],[Satisfaction_Score2]],0)</f>
        <v>5</v>
      </c>
      <c r="N450">
        <v>4.5</v>
      </c>
    </row>
    <row r="451" spans="1:14" x14ac:dyDescent="0.3">
      <c r="A451" t="s">
        <v>158</v>
      </c>
      <c r="B451" t="str">
        <f>TRIM(TTrainingSource[[#This Row],[EMPloyee_ID2]])</f>
        <v>EMP10225</v>
      </c>
      <c r="C451" t="str">
        <f>IFERROR(VLOOKUP(TTrainingSource[[#This Row],[Employee_ID]],THrList[],3,FALSE),"")</f>
        <v>JACKSON</v>
      </c>
      <c r="D451" t="str">
        <f>IFERROR(VLOOKUP(TTrainingSource[[#This Row],[Employee_ID]],THrList[],4,FALSE),"")</f>
        <v>Paul</v>
      </c>
      <c r="E451" t="str">
        <f>IFERROR(VLOOKUP(TTrainingSource[[#This Row],[Employee_ID]],THrList[],10,FALSE),"")</f>
        <v>Sales</v>
      </c>
      <c r="F451" t="str">
        <f>TRIM(PROPER(TTrainingSource[[#This Row],[Training_Status2]]))</f>
        <v>Completed</v>
      </c>
      <c r="G451" t="s">
        <v>17</v>
      </c>
      <c r="H451" t="str">
        <f>TRIM(PROPER(TTrainingSource[[#This Row],[Training_Title2]]))</f>
        <v>Data Visualization Best Practices</v>
      </c>
      <c r="I451" t="s">
        <v>20</v>
      </c>
      <c r="J451" s="1">
        <v>45879</v>
      </c>
      <c r="K451" t="s">
        <v>12</v>
      </c>
      <c r="L451" s="7">
        <v>24</v>
      </c>
      <c r="M451">
        <f>ROUND(TTrainingSource[[#This Row],[Satisfaction_Score2]],0)</f>
        <v>3</v>
      </c>
      <c r="N451">
        <v>3.1</v>
      </c>
    </row>
    <row r="452" spans="1:14" x14ac:dyDescent="0.3">
      <c r="A452" t="s">
        <v>302</v>
      </c>
      <c r="B452" t="str">
        <f>TRIM(TTrainingSource[[#This Row],[EMPloyee_ID2]])</f>
        <v>EMP10226</v>
      </c>
      <c r="C452" t="str">
        <f>IFERROR(VLOOKUP(TTrainingSource[[#This Row],[Employee_ID]],THrList[],3,FALSE),"")</f>
        <v>JACKSON</v>
      </c>
      <c r="D452" t="str">
        <f>IFERROR(VLOOKUP(TTrainingSource[[#This Row],[Employee_ID]],THrList[],4,FALSE),"")</f>
        <v>Yaw</v>
      </c>
      <c r="E452" t="str">
        <f>IFERROR(VLOOKUP(TTrainingSource[[#This Row],[Employee_ID]],THrList[],10,FALSE),"")</f>
        <v>Compliance</v>
      </c>
      <c r="F452" t="str">
        <f>TRIM(PROPER(TTrainingSource[[#This Row],[Training_Status2]]))</f>
        <v>Completed</v>
      </c>
      <c r="G452" t="s">
        <v>17</v>
      </c>
      <c r="H452" t="str">
        <f>TRIM(PROPER(TTrainingSource[[#This Row],[Training_Title2]]))</f>
        <v>Business Intelligence With Tableau</v>
      </c>
      <c r="I452" t="s">
        <v>22</v>
      </c>
      <c r="J452" s="1">
        <v>44605</v>
      </c>
      <c r="K452" t="s">
        <v>98</v>
      </c>
      <c r="L452" s="7">
        <v>32</v>
      </c>
      <c r="M452">
        <f>ROUND(TTrainingSource[[#This Row],[Satisfaction_Score2]],0)</f>
        <v>3</v>
      </c>
      <c r="N452">
        <v>2.9</v>
      </c>
    </row>
    <row r="453" spans="1:14" x14ac:dyDescent="0.3">
      <c r="A453" t="s">
        <v>422</v>
      </c>
      <c r="B453" t="str">
        <f>TRIM(TTrainingSource[[#This Row],[EMPloyee_ID2]])</f>
        <v>EMP10226</v>
      </c>
      <c r="C453" t="str">
        <f>IFERROR(VLOOKUP(TTrainingSource[[#This Row],[Employee_ID]],THrList[],3,FALSE),"")</f>
        <v>JACKSON</v>
      </c>
      <c r="D453" t="str">
        <f>IFERROR(VLOOKUP(TTrainingSource[[#This Row],[Employee_ID]],THrList[],4,FALSE),"")</f>
        <v>Yaw</v>
      </c>
      <c r="E453" t="str">
        <f>IFERROR(VLOOKUP(TTrainingSource[[#This Row],[Employee_ID]],THrList[],10,FALSE),"")</f>
        <v>Compliance</v>
      </c>
      <c r="F453" t="str">
        <f>TRIM(PROPER(TTrainingSource[[#This Row],[Training_Status2]]))</f>
        <v>Completed</v>
      </c>
      <c r="G453" t="s">
        <v>17</v>
      </c>
      <c r="H453" t="str">
        <f>TRIM(PROPER(TTrainingSource[[#This Row],[Training_Title2]]))</f>
        <v>Customer Data Analysis</v>
      </c>
      <c r="I453" t="s">
        <v>31</v>
      </c>
      <c r="J453" s="1">
        <v>45135</v>
      </c>
      <c r="K453" t="s">
        <v>98</v>
      </c>
      <c r="L453" s="7">
        <v>12</v>
      </c>
      <c r="M453">
        <f>ROUND(TTrainingSource[[#This Row],[Satisfaction_Score2]],0)</f>
        <v>4</v>
      </c>
      <c r="N453">
        <v>3.5</v>
      </c>
    </row>
    <row r="454" spans="1:14" x14ac:dyDescent="0.3">
      <c r="A454" t="s">
        <v>422</v>
      </c>
      <c r="B454" t="str">
        <f>TRIM(TTrainingSource[[#This Row],[EMPloyee_ID2]])</f>
        <v>EMP10226</v>
      </c>
      <c r="C454" t="str">
        <f>IFERROR(VLOOKUP(TTrainingSource[[#This Row],[Employee_ID]],THrList[],3,FALSE),"")</f>
        <v>JACKSON</v>
      </c>
      <c r="D454" t="str">
        <f>IFERROR(VLOOKUP(TTrainingSource[[#This Row],[Employee_ID]],THrList[],4,FALSE),"")</f>
        <v>Yaw</v>
      </c>
      <c r="E454" t="str">
        <f>IFERROR(VLOOKUP(TTrainingSource[[#This Row],[Employee_ID]],THrList[],10,FALSE),"")</f>
        <v>Compliance</v>
      </c>
      <c r="F454" t="str">
        <f>TRIM(PROPER(TTrainingSource[[#This Row],[Training_Status2]]))</f>
        <v>Completed</v>
      </c>
      <c r="G454" t="s">
        <v>17</v>
      </c>
      <c r="H454" t="str">
        <f>TRIM(PROPER(TTrainingSource[[#This Row],[Training_Title2]]))</f>
        <v>Project Management Essentials</v>
      </c>
      <c r="I454" t="s">
        <v>14</v>
      </c>
      <c r="J454" s="1">
        <v>45082</v>
      </c>
      <c r="K454" t="s">
        <v>44</v>
      </c>
      <c r="L454" s="7">
        <v>16</v>
      </c>
      <c r="M454">
        <f>ROUND(TTrainingSource[[#This Row],[Satisfaction_Score2]],0)</f>
        <v>5</v>
      </c>
      <c r="N454">
        <v>4.8</v>
      </c>
    </row>
    <row r="455" spans="1:14" x14ac:dyDescent="0.3">
      <c r="A455" t="s">
        <v>422</v>
      </c>
      <c r="B455" t="str">
        <f>TRIM(TTrainingSource[[#This Row],[EMPloyee_ID2]])</f>
        <v>EMP10226</v>
      </c>
      <c r="C455" t="str">
        <f>IFERROR(VLOOKUP(TTrainingSource[[#This Row],[Employee_ID]],THrList[],3,FALSE),"")</f>
        <v>JACKSON</v>
      </c>
      <c r="D455" t="str">
        <f>IFERROR(VLOOKUP(TTrainingSource[[#This Row],[Employee_ID]],THrList[],4,FALSE),"")</f>
        <v>Yaw</v>
      </c>
      <c r="E455" t="str">
        <f>IFERROR(VLOOKUP(TTrainingSource[[#This Row],[Employee_ID]],THrList[],10,FALSE),"")</f>
        <v>Compliance</v>
      </c>
      <c r="F455" t="str">
        <f>TRIM(PROPER(TTrainingSource[[#This Row],[Training_Status2]]))</f>
        <v>Completed</v>
      </c>
      <c r="G455" t="s">
        <v>17</v>
      </c>
      <c r="H455" t="str">
        <f>TRIM(PROPER(TTrainingSource[[#This Row],[Training_Title2]]))</f>
        <v>Sql For Data Analytics</v>
      </c>
      <c r="I455" t="s">
        <v>26</v>
      </c>
      <c r="J455" s="1">
        <v>45420</v>
      </c>
      <c r="K455" t="s">
        <v>44</v>
      </c>
      <c r="L455" s="7">
        <v>6</v>
      </c>
      <c r="M455">
        <f>ROUND(TTrainingSource[[#This Row],[Satisfaction_Score2]],0)</f>
        <v>5</v>
      </c>
      <c r="N455">
        <v>4.7</v>
      </c>
    </row>
    <row r="456" spans="1:14" x14ac:dyDescent="0.3">
      <c r="A456" t="s">
        <v>422</v>
      </c>
      <c r="B456" t="str">
        <f>TRIM(TTrainingSource[[#This Row],[EMPloyee_ID2]])</f>
        <v>EMP10226</v>
      </c>
      <c r="C456" t="str">
        <f>IFERROR(VLOOKUP(TTrainingSource[[#This Row],[Employee_ID]],THrList[],3,FALSE),"")</f>
        <v>JACKSON</v>
      </c>
      <c r="D456" t="str">
        <f>IFERROR(VLOOKUP(TTrainingSource[[#This Row],[Employee_ID]],THrList[],4,FALSE),"")</f>
        <v>Yaw</v>
      </c>
      <c r="E456" t="str">
        <f>IFERROR(VLOOKUP(TTrainingSource[[#This Row],[Employee_ID]],THrList[],10,FALSE),"")</f>
        <v>Compliance</v>
      </c>
      <c r="F456" t="str">
        <f>TRIM(PROPER(TTrainingSource[[#This Row],[Training_Status2]]))</f>
        <v>Planned</v>
      </c>
      <c r="G456" t="s">
        <v>19</v>
      </c>
      <c r="H456" t="str">
        <f>TRIM(PROPER(TTrainingSource[[#This Row],[Training_Title2]]))</f>
        <v>Power Bi Reporting</v>
      </c>
      <c r="I456" t="s">
        <v>24</v>
      </c>
      <c r="J456" s="1">
        <v>45344</v>
      </c>
      <c r="K456" t="s">
        <v>32</v>
      </c>
      <c r="L456" s="7">
        <v>12</v>
      </c>
      <c r="M456">
        <f>ROUND(TTrainingSource[[#This Row],[Satisfaction_Score2]],0)</f>
        <v>4</v>
      </c>
      <c r="N456">
        <v>3.5</v>
      </c>
    </row>
    <row r="457" spans="1:14" x14ac:dyDescent="0.3">
      <c r="A457" t="s">
        <v>422</v>
      </c>
      <c r="B457" t="str">
        <f>TRIM(TTrainingSource[[#This Row],[EMPloyee_ID2]])</f>
        <v>EMP10226</v>
      </c>
      <c r="C457" t="str">
        <f>IFERROR(VLOOKUP(TTrainingSource[[#This Row],[Employee_ID]],THrList[],3,FALSE),"")</f>
        <v>JACKSON</v>
      </c>
      <c r="D457" t="str">
        <f>IFERROR(VLOOKUP(TTrainingSource[[#This Row],[Employee_ID]],THrList[],4,FALSE),"")</f>
        <v>Yaw</v>
      </c>
      <c r="E457" t="str">
        <f>IFERROR(VLOOKUP(TTrainingSource[[#This Row],[Employee_ID]],THrList[],10,FALSE),"")</f>
        <v>Compliance</v>
      </c>
      <c r="F457" t="str">
        <f>TRIM(PROPER(TTrainingSource[[#This Row],[Training_Status2]]))</f>
        <v>Completed</v>
      </c>
      <c r="G457" t="s">
        <v>69</v>
      </c>
      <c r="H457" t="str">
        <f>TRIM(PROPER(TTrainingSource[[#This Row],[Training_Title2]]))</f>
        <v>Advanced Excel For Business</v>
      </c>
      <c r="I457" t="s">
        <v>52</v>
      </c>
      <c r="J457" s="1">
        <v>44673</v>
      </c>
      <c r="K457" t="s">
        <v>44</v>
      </c>
      <c r="L457" s="7">
        <v>40</v>
      </c>
      <c r="M457">
        <f>ROUND(TTrainingSource[[#This Row],[Satisfaction_Score2]],0)</f>
        <v>5</v>
      </c>
      <c r="N457">
        <v>4.8</v>
      </c>
    </row>
    <row r="458" spans="1:14" x14ac:dyDescent="0.3">
      <c r="A458" t="s">
        <v>422</v>
      </c>
      <c r="B458" t="str">
        <f>TRIM(TTrainingSource[[#This Row],[EMPloyee_ID2]])</f>
        <v>EMP10226</v>
      </c>
      <c r="C458" t="str">
        <f>IFERROR(VLOOKUP(TTrainingSource[[#This Row],[Employee_ID]],THrList[],3,FALSE),"")</f>
        <v>JACKSON</v>
      </c>
      <c r="D458" t="str">
        <f>IFERROR(VLOOKUP(TTrainingSource[[#This Row],[Employee_ID]],THrList[],4,FALSE),"")</f>
        <v>Yaw</v>
      </c>
      <c r="E458" t="str">
        <f>IFERROR(VLOOKUP(TTrainingSource[[#This Row],[Employee_ID]],THrList[],10,FALSE),"")</f>
        <v>Compliance</v>
      </c>
      <c r="F458" t="str">
        <f>TRIM(PROPER(TTrainingSource[[#This Row],[Training_Status2]]))</f>
        <v>Planned</v>
      </c>
      <c r="G458" t="s">
        <v>19</v>
      </c>
      <c r="H458" t="str">
        <f>TRIM(PROPER(TTrainingSource[[#This Row],[Training_Title2]]))</f>
        <v>Advanced Excel For Business</v>
      </c>
      <c r="I458" t="s">
        <v>52</v>
      </c>
      <c r="J458" s="1">
        <v>45183</v>
      </c>
      <c r="K458" t="s">
        <v>29</v>
      </c>
      <c r="L458" s="7">
        <v>4</v>
      </c>
      <c r="M458">
        <f>ROUND(TTrainingSource[[#This Row],[Satisfaction_Score2]],0)</f>
        <v>3</v>
      </c>
      <c r="N458">
        <v>2.5</v>
      </c>
    </row>
    <row r="459" spans="1:14" x14ac:dyDescent="0.3">
      <c r="A459" t="s">
        <v>422</v>
      </c>
      <c r="B459" t="str">
        <f>TRIM(TTrainingSource[[#This Row],[EMPloyee_ID2]])</f>
        <v>EMP10226</v>
      </c>
      <c r="C459" t="str">
        <f>IFERROR(VLOOKUP(TTrainingSource[[#This Row],[Employee_ID]],THrList[],3,FALSE),"")</f>
        <v>JACKSON</v>
      </c>
      <c r="D459" t="str">
        <f>IFERROR(VLOOKUP(TTrainingSource[[#This Row],[Employee_ID]],THrList[],4,FALSE),"")</f>
        <v>Yaw</v>
      </c>
      <c r="E459" t="str">
        <f>IFERROR(VLOOKUP(TTrainingSource[[#This Row],[Employee_ID]],THrList[],10,FALSE),"")</f>
        <v>Compliance</v>
      </c>
      <c r="F459" t="str">
        <f>TRIM(PROPER(TTrainingSource[[#This Row],[Training_Status2]]))</f>
        <v>Completed</v>
      </c>
      <c r="G459" t="s">
        <v>17</v>
      </c>
      <c r="H459" t="str">
        <f>TRIM(PROPER(TTrainingSource[[#This Row],[Training_Title2]]))</f>
        <v>Advanced Excel For Business</v>
      </c>
      <c r="I459" t="s">
        <v>266</v>
      </c>
      <c r="J459" s="1">
        <v>45597</v>
      </c>
      <c r="K459" t="s">
        <v>39</v>
      </c>
      <c r="L459" s="7">
        <v>20</v>
      </c>
      <c r="M459">
        <f>ROUND(TTrainingSource[[#This Row],[Satisfaction_Score2]],0)</f>
        <v>3</v>
      </c>
      <c r="N459">
        <v>3.4</v>
      </c>
    </row>
    <row r="460" spans="1:14" x14ac:dyDescent="0.3">
      <c r="A460" t="s">
        <v>643</v>
      </c>
      <c r="B460" t="str">
        <f>TRIM(TTrainingSource[[#This Row],[EMPloyee_ID2]])</f>
        <v>EMP10227</v>
      </c>
      <c r="C460" t="str">
        <f>IFERROR(VLOOKUP(TTrainingSource[[#This Row],[Employee_ID]],THrList[],3,FALSE),"")</f>
        <v>HASSAN</v>
      </c>
      <c r="D460" t="str">
        <f>IFERROR(VLOOKUP(TTrainingSource[[#This Row],[Employee_ID]],THrList[],4,FALSE),"")</f>
        <v>Benjamin</v>
      </c>
      <c r="E460" t="str">
        <f>IFERROR(VLOOKUP(TTrainingSource[[#This Row],[Employee_ID]],THrList[],10,FALSE),"")</f>
        <v>Human Resources</v>
      </c>
      <c r="F460" t="str">
        <f>TRIM(PROPER(TTrainingSource[[#This Row],[Training_Status2]]))</f>
        <v>Planned</v>
      </c>
      <c r="G460" t="s">
        <v>19</v>
      </c>
      <c r="H460" t="str">
        <f>TRIM(PROPER(TTrainingSource[[#This Row],[Training_Title2]]))</f>
        <v>Business Intelligence With Tableau</v>
      </c>
      <c r="I460" t="s">
        <v>22</v>
      </c>
      <c r="J460" s="1">
        <v>45185</v>
      </c>
      <c r="K460" t="s">
        <v>44</v>
      </c>
      <c r="L460" s="7">
        <v>40</v>
      </c>
      <c r="M460">
        <f>ROUND(TTrainingSource[[#This Row],[Satisfaction_Score2]],0)</f>
        <v>3</v>
      </c>
      <c r="N460">
        <v>3.1</v>
      </c>
    </row>
    <row r="461" spans="1:14" x14ac:dyDescent="0.3">
      <c r="A461" t="s">
        <v>643</v>
      </c>
      <c r="B461" t="str">
        <f>TRIM(TTrainingSource[[#This Row],[EMPloyee_ID2]])</f>
        <v>EMP10227</v>
      </c>
      <c r="C461" t="str">
        <f>IFERROR(VLOOKUP(TTrainingSource[[#This Row],[Employee_ID]],THrList[],3,FALSE),"")</f>
        <v>HASSAN</v>
      </c>
      <c r="D461" t="str">
        <f>IFERROR(VLOOKUP(TTrainingSource[[#This Row],[Employee_ID]],THrList[],4,FALSE),"")</f>
        <v>Benjamin</v>
      </c>
      <c r="E461" t="str">
        <f>IFERROR(VLOOKUP(TTrainingSource[[#This Row],[Employee_ID]],THrList[],10,FALSE),"")</f>
        <v>Human Resources</v>
      </c>
      <c r="F461" t="str">
        <f>TRIM(PROPER(TTrainingSource[[#This Row],[Training_Status2]]))</f>
        <v>In Progress</v>
      </c>
      <c r="G461" t="s">
        <v>8</v>
      </c>
      <c r="H461" t="str">
        <f>TRIM(PROPER(TTrainingSource[[#This Row],[Training_Title2]]))</f>
        <v>Digital Marketing Strategy</v>
      </c>
      <c r="I461" t="s">
        <v>43</v>
      </c>
      <c r="J461" s="1">
        <v>44818</v>
      </c>
      <c r="K461" t="s">
        <v>46</v>
      </c>
      <c r="L461" s="7">
        <v>4</v>
      </c>
      <c r="M461">
        <f>ROUND(TTrainingSource[[#This Row],[Satisfaction_Score2]],0)</f>
        <v>4</v>
      </c>
      <c r="N461">
        <v>4.3</v>
      </c>
    </row>
    <row r="462" spans="1:14" x14ac:dyDescent="0.3">
      <c r="A462" t="s">
        <v>705</v>
      </c>
      <c r="B462" t="str">
        <f>TRIM(TTrainingSource[[#This Row],[EMPloyee_ID2]])</f>
        <v>EMP10228</v>
      </c>
      <c r="C462" t="str">
        <f>IFERROR(VLOOKUP(TTrainingSource[[#This Row],[Employee_ID]],THrList[],3,FALSE),"")</f>
        <v>BROWN</v>
      </c>
      <c r="D462" t="str">
        <f>IFERROR(VLOOKUP(TTrainingSource[[#This Row],[Employee_ID]],THrList[],4,FALSE),"")</f>
        <v>Paul</v>
      </c>
      <c r="E462" t="str">
        <f>IFERROR(VLOOKUP(TTrainingSource[[#This Row],[Employee_ID]],THrList[],10,FALSE),"")</f>
        <v>Marketing</v>
      </c>
      <c r="F462" t="str">
        <f>TRIM(PROPER(TTrainingSource[[#This Row],[Training_Status2]]))</f>
        <v>Completed</v>
      </c>
      <c r="G462" t="s">
        <v>17</v>
      </c>
      <c r="H462" t="str">
        <f>TRIM(PROPER(TTrainingSource[[#This Row],[Training_Title2]]))</f>
        <v>Communication For Analysts</v>
      </c>
      <c r="I462" t="s">
        <v>28</v>
      </c>
      <c r="J462" s="1">
        <v>45053</v>
      </c>
      <c r="K462" t="s">
        <v>44</v>
      </c>
      <c r="L462" s="7">
        <v>20</v>
      </c>
      <c r="M462">
        <f>ROUND(TTrainingSource[[#This Row],[Satisfaction_Score2]],0)</f>
        <v>5</v>
      </c>
      <c r="N462">
        <v>4.9000000000000004</v>
      </c>
    </row>
    <row r="463" spans="1:14" x14ac:dyDescent="0.3">
      <c r="A463" t="s">
        <v>961</v>
      </c>
      <c r="B463" t="str">
        <f>TRIM(TTrainingSource[[#This Row],[EMPloyee_ID2]])</f>
        <v>EMP10229</v>
      </c>
      <c r="C463" t="str">
        <f>IFERROR(VLOOKUP(TTrainingSource[[#This Row],[Employee_ID]],THrList[],3,FALSE),"")</f>
        <v>MILLER</v>
      </c>
      <c r="D463" t="str">
        <f>IFERROR(VLOOKUP(TTrainingSource[[#This Row],[Employee_ID]],THrList[],4,FALSE),"")</f>
        <v>Olivia</v>
      </c>
      <c r="E463" t="str">
        <f>IFERROR(VLOOKUP(TTrainingSource[[#This Row],[Employee_ID]],THrList[],10,FALSE),"")</f>
        <v>N/A</v>
      </c>
      <c r="F463" t="str">
        <f>TRIM(PROPER(TTrainingSource[[#This Row],[Training_Status2]]))</f>
        <v>Completed</v>
      </c>
      <c r="G463" t="s">
        <v>17</v>
      </c>
      <c r="H463" t="str">
        <f>TRIM(PROPER(TTrainingSource[[#This Row],[Training_Title2]]))</f>
        <v>Advanced Excel For Business</v>
      </c>
      <c r="I463" t="s">
        <v>52</v>
      </c>
      <c r="J463" s="1">
        <v>44914</v>
      </c>
      <c r="K463" t="s">
        <v>42</v>
      </c>
      <c r="L463" s="7">
        <v>6</v>
      </c>
      <c r="M463">
        <f>ROUND(TTrainingSource[[#This Row],[Satisfaction_Score2]],0)</f>
        <v>4</v>
      </c>
      <c r="N463">
        <v>4.4000000000000004</v>
      </c>
    </row>
    <row r="464" spans="1:14" x14ac:dyDescent="0.3">
      <c r="A464" t="s">
        <v>225</v>
      </c>
      <c r="B464" t="str">
        <f>TRIM(TTrainingSource[[#This Row],[EMPloyee_ID2]])</f>
        <v>EMP10230</v>
      </c>
      <c r="C464" t="str">
        <f>IFERROR(VLOOKUP(TTrainingSource[[#This Row],[Employee_ID]],THrList[],3,FALSE),"")</f>
        <v>KHAN</v>
      </c>
      <c r="D464" t="str">
        <f>IFERROR(VLOOKUP(TTrainingSource[[#This Row],[Employee_ID]],THrList[],4,FALSE),"")</f>
        <v>Alexander</v>
      </c>
      <c r="E464" t="str">
        <f>IFERROR(VLOOKUP(TTrainingSource[[#This Row],[Employee_ID]],THrList[],10,FALSE),"")</f>
        <v>Finance</v>
      </c>
      <c r="F464" t="str">
        <f>TRIM(PROPER(TTrainingSource[[#This Row],[Training_Status2]]))</f>
        <v>Planned</v>
      </c>
      <c r="G464" t="s">
        <v>19</v>
      </c>
      <c r="H464" t="str">
        <f>TRIM(PROPER(TTrainingSource[[#This Row],[Training_Title2]]))</f>
        <v>Advanced Excel For Business</v>
      </c>
      <c r="I464" t="s">
        <v>52</v>
      </c>
      <c r="J464" s="1">
        <v>45016</v>
      </c>
      <c r="K464" t="s">
        <v>46</v>
      </c>
      <c r="L464" s="7">
        <v>24</v>
      </c>
      <c r="M464">
        <f>ROUND(TTrainingSource[[#This Row],[Satisfaction_Score2]],0)</f>
        <v>4</v>
      </c>
      <c r="N464">
        <v>4</v>
      </c>
    </row>
    <row r="465" spans="1:14" x14ac:dyDescent="0.3">
      <c r="A465" t="s">
        <v>587</v>
      </c>
      <c r="B465" t="str">
        <f>TRIM(TTrainingSource[[#This Row],[EMPloyee_ID2]])</f>
        <v>EMP10230</v>
      </c>
      <c r="C465" t="str">
        <f>IFERROR(VLOOKUP(TTrainingSource[[#This Row],[Employee_ID]],THrList[],3,FALSE),"")</f>
        <v>KHAN</v>
      </c>
      <c r="D465" t="str">
        <f>IFERROR(VLOOKUP(TTrainingSource[[#This Row],[Employee_ID]],THrList[],4,FALSE),"")</f>
        <v>Alexander</v>
      </c>
      <c r="E465" t="str">
        <f>IFERROR(VLOOKUP(TTrainingSource[[#This Row],[Employee_ID]],THrList[],10,FALSE),"")</f>
        <v>Finance</v>
      </c>
      <c r="F465" t="str">
        <f>TRIM(PROPER(TTrainingSource[[#This Row],[Training_Status2]]))</f>
        <v>In Progress</v>
      </c>
      <c r="G465" t="s">
        <v>8</v>
      </c>
      <c r="H465" t="str">
        <f>TRIM(PROPER(TTrainingSource[[#This Row],[Training_Title2]]))</f>
        <v>Power Bi Reporting</v>
      </c>
      <c r="I465" t="s">
        <v>95</v>
      </c>
      <c r="J465" s="1">
        <v>44620</v>
      </c>
      <c r="K465" t="s">
        <v>98</v>
      </c>
      <c r="L465" s="7">
        <v>6</v>
      </c>
      <c r="M465">
        <f>ROUND(TTrainingSource[[#This Row],[Satisfaction_Score2]],0)</f>
        <v>4</v>
      </c>
      <c r="N465">
        <v>4.2</v>
      </c>
    </row>
    <row r="466" spans="1:14" x14ac:dyDescent="0.3">
      <c r="A466" t="s">
        <v>587</v>
      </c>
      <c r="B466" t="str">
        <f>TRIM(TTrainingSource[[#This Row],[EMPloyee_ID2]])</f>
        <v>EMP10230</v>
      </c>
      <c r="C466" t="str">
        <f>IFERROR(VLOOKUP(TTrainingSource[[#This Row],[Employee_ID]],THrList[],3,FALSE),"")</f>
        <v>KHAN</v>
      </c>
      <c r="D466" t="str">
        <f>IFERROR(VLOOKUP(TTrainingSource[[#This Row],[Employee_ID]],THrList[],4,FALSE),"")</f>
        <v>Alexander</v>
      </c>
      <c r="E466" t="str">
        <f>IFERROR(VLOOKUP(TTrainingSource[[#This Row],[Employee_ID]],THrList[],10,FALSE),"")</f>
        <v>Finance</v>
      </c>
      <c r="F466" t="str">
        <f>TRIM(PROPER(TTrainingSource[[#This Row],[Training_Status2]]))</f>
        <v>Completed</v>
      </c>
      <c r="G466" t="s">
        <v>17</v>
      </c>
      <c r="H466" t="str">
        <f>TRIM(PROPER(TTrainingSource[[#This Row],[Training_Title2]]))</f>
        <v>Power Bi Reporting</v>
      </c>
      <c r="I466" t="s">
        <v>24</v>
      </c>
      <c r="J466" s="1">
        <v>44784</v>
      </c>
      <c r="K466" t="s">
        <v>98</v>
      </c>
      <c r="L466" s="7">
        <v>6</v>
      </c>
      <c r="M466">
        <f>ROUND(TTrainingSource[[#This Row],[Satisfaction_Score2]],0)</f>
        <v>4</v>
      </c>
      <c r="N466">
        <v>3.5</v>
      </c>
    </row>
    <row r="467" spans="1:14" x14ac:dyDescent="0.3">
      <c r="A467" t="s">
        <v>441</v>
      </c>
      <c r="B467" t="str">
        <f>TRIM(TTrainingSource[[#This Row],[EMPloyee_ID2]])</f>
        <v>EMP10231</v>
      </c>
      <c r="C467" t="str">
        <f>IFERROR(VLOOKUP(TTrainingSource[[#This Row],[Employee_ID]],THrList[],3,FALSE),"")</f>
        <v>LOPEZ</v>
      </c>
      <c r="D467" t="str">
        <f>IFERROR(VLOOKUP(TTrainingSource[[#This Row],[Employee_ID]],THrList[],4,FALSE),"")</f>
        <v>Evelyn</v>
      </c>
      <c r="E467" t="str">
        <f>IFERROR(VLOOKUP(TTrainingSource[[#This Row],[Employee_ID]],THrList[],10,FALSE),"")</f>
        <v>Marketing</v>
      </c>
      <c r="F467" t="str">
        <f>TRIM(PROPER(TTrainingSource[[#This Row],[Training_Status2]]))</f>
        <v>In Progress</v>
      </c>
      <c r="G467" t="s">
        <v>8</v>
      </c>
      <c r="H467" t="str">
        <f>TRIM(PROPER(TTrainingSource[[#This Row],[Training_Title2]]))</f>
        <v>Power Bi Reporting</v>
      </c>
      <c r="I467" t="s">
        <v>24</v>
      </c>
      <c r="J467" s="1">
        <v>44968</v>
      </c>
      <c r="K467" t="s">
        <v>12</v>
      </c>
      <c r="L467" s="7">
        <v>32</v>
      </c>
      <c r="M467">
        <f>ROUND(TTrainingSource[[#This Row],[Satisfaction_Score2]],0)</f>
        <v>5</v>
      </c>
      <c r="N467">
        <v>4.5</v>
      </c>
    </row>
    <row r="468" spans="1:14" x14ac:dyDescent="0.3">
      <c r="A468" t="s">
        <v>729</v>
      </c>
      <c r="B468" t="str">
        <f>TRIM(TTrainingSource[[#This Row],[EMPloyee_ID2]])</f>
        <v>EMP10232</v>
      </c>
      <c r="C468" t="str">
        <f>IFERROR(VLOOKUP(TTrainingSource[[#This Row],[Employee_ID]],THrList[],3,FALSE),"")</f>
        <v>CAMARA</v>
      </c>
      <c r="D468" t="str">
        <f>IFERROR(VLOOKUP(TTrainingSource[[#This Row],[Employee_ID]],THrList[],4,FALSE),"")</f>
        <v>Khalid</v>
      </c>
      <c r="E468" t="str">
        <f>IFERROR(VLOOKUP(TTrainingSource[[#This Row],[Employee_ID]],THrList[],10,FALSE),"")</f>
        <v>Compliance</v>
      </c>
      <c r="F468" t="str">
        <f>TRIM(PROPER(TTrainingSource[[#This Row],[Training_Status2]]))</f>
        <v>Completed</v>
      </c>
      <c r="G468" t="s">
        <v>17</v>
      </c>
      <c r="H468" t="str">
        <f>TRIM(PROPER(TTrainingSource[[#This Row],[Training_Title2]]))</f>
        <v>Introduction To Python For Data</v>
      </c>
      <c r="I468" t="s">
        <v>62</v>
      </c>
      <c r="J468" s="1">
        <v>44596</v>
      </c>
      <c r="K468" t="s">
        <v>42</v>
      </c>
      <c r="L468" s="7">
        <v>24</v>
      </c>
      <c r="M468">
        <f>ROUND(TTrainingSource[[#This Row],[Satisfaction_Score2]],0)</f>
        <v>5</v>
      </c>
      <c r="N468">
        <v>4.7</v>
      </c>
    </row>
    <row r="469" spans="1:14" x14ac:dyDescent="0.3">
      <c r="A469" t="s">
        <v>102</v>
      </c>
      <c r="B469" t="str">
        <f>TRIM(TTrainingSource[[#This Row],[EMPloyee_ID2]])</f>
        <v>EMP10233</v>
      </c>
      <c r="C469" t="str">
        <f>IFERROR(VLOOKUP(TTrainingSource[[#This Row],[Employee_ID]],THrList[],3,FALSE),"")</f>
        <v>TOURE</v>
      </c>
      <c r="D469" t="str">
        <f>IFERROR(VLOOKUP(TTrainingSource[[#This Row],[Employee_ID]],THrList[],4,FALSE),"")</f>
        <v>Mariama</v>
      </c>
      <c r="E469" t="str">
        <f>IFERROR(VLOOKUP(TTrainingSource[[#This Row],[Employee_ID]],THrList[],10,FALSE),"")</f>
        <v>Operations</v>
      </c>
      <c r="F469" t="str">
        <f>TRIM(PROPER(TTrainingSource[[#This Row],[Training_Status2]]))</f>
        <v>Completed</v>
      </c>
      <c r="G469" t="s">
        <v>17</v>
      </c>
      <c r="H469" t="str">
        <f>TRIM(PROPER(TTrainingSource[[#This Row],[Training_Title2]]))</f>
        <v>Power Bi Reporting</v>
      </c>
      <c r="I469" t="s">
        <v>24</v>
      </c>
      <c r="J469" s="1">
        <v>44667</v>
      </c>
      <c r="K469" t="s">
        <v>44</v>
      </c>
      <c r="L469" s="7">
        <v>24</v>
      </c>
      <c r="M469">
        <f>ROUND(TTrainingSource[[#This Row],[Satisfaction_Score2]],0)</f>
        <v>4</v>
      </c>
      <c r="N469">
        <v>3.9</v>
      </c>
    </row>
    <row r="470" spans="1:14" x14ac:dyDescent="0.3">
      <c r="A470" t="s">
        <v>110</v>
      </c>
      <c r="B470" t="str">
        <f>TRIM(TTrainingSource[[#This Row],[EMPloyee_ID2]])</f>
        <v>EMP10234</v>
      </c>
      <c r="C470" t="str">
        <f>IFERROR(VLOOKUP(TTrainingSource[[#This Row],[Employee_ID]],THrList[],3,FALSE),"")</f>
        <v>HASSAN</v>
      </c>
      <c r="D470" t="str">
        <f>IFERROR(VLOOKUP(TTrainingSource[[#This Row],[Employee_ID]],THrList[],4,FALSE),"")</f>
        <v>Alexander</v>
      </c>
      <c r="E470" t="str">
        <f>IFERROR(VLOOKUP(TTrainingSource[[#This Row],[Employee_ID]],THrList[],10,FALSE),"")</f>
        <v>IT</v>
      </c>
      <c r="F470" t="str">
        <f>TRIM(PROPER(TTrainingSource[[#This Row],[Training_Status2]]))</f>
        <v>Completed</v>
      </c>
      <c r="G470" t="s">
        <v>17</v>
      </c>
      <c r="H470" t="str">
        <f>TRIM(PROPER(TTrainingSource[[#This Row],[Training_Title2]]))</f>
        <v>Project Management Essentials</v>
      </c>
      <c r="I470" t="s">
        <v>14</v>
      </c>
      <c r="J470" s="1">
        <v>45779</v>
      </c>
      <c r="K470" t="s">
        <v>46</v>
      </c>
      <c r="L470" s="7">
        <v>16</v>
      </c>
      <c r="M470">
        <f>ROUND(TTrainingSource[[#This Row],[Satisfaction_Score2]],0)</f>
        <v>3</v>
      </c>
      <c r="N470">
        <v>3.3</v>
      </c>
    </row>
    <row r="471" spans="1:14" x14ac:dyDescent="0.3">
      <c r="A471" t="s">
        <v>110</v>
      </c>
      <c r="B471" t="str">
        <f>TRIM(TTrainingSource[[#This Row],[EMPloyee_ID2]])</f>
        <v>EMP10234</v>
      </c>
      <c r="C471" t="str">
        <f>IFERROR(VLOOKUP(TTrainingSource[[#This Row],[Employee_ID]],THrList[],3,FALSE),"")</f>
        <v>HASSAN</v>
      </c>
      <c r="D471" t="str">
        <f>IFERROR(VLOOKUP(TTrainingSource[[#This Row],[Employee_ID]],THrList[],4,FALSE),"")</f>
        <v>Alexander</v>
      </c>
      <c r="E471" t="str">
        <f>IFERROR(VLOOKUP(TTrainingSource[[#This Row],[Employee_ID]],THrList[],10,FALSE),"")</f>
        <v>IT</v>
      </c>
      <c r="F471" t="str">
        <f>TRIM(PROPER(TTrainingSource[[#This Row],[Training_Status2]]))</f>
        <v>Completed</v>
      </c>
      <c r="G471" t="s">
        <v>17</v>
      </c>
      <c r="H471" t="str">
        <f>TRIM(PROPER(TTrainingSource[[#This Row],[Training_Title2]]))</f>
        <v>Sql For Data Analytics</v>
      </c>
      <c r="I471" t="s">
        <v>26</v>
      </c>
      <c r="J471" s="1">
        <v>45863</v>
      </c>
      <c r="K471" t="s">
        <v>44</v>
      </c>
      <c r="L471" s="7">
        <v>0</v>
      </c>
      <c r="M471">
        <f>ROUND(TTrainingSource[[#This Row],[Satisfaction_Score2]],0)</f>
        <v>3</v>
      </c>
      <c r="N471">
        <v>2.7</v>
      </c>
    </row>
    <row r="472" spans="1:14" x14ac:dyDescent="0.3">
      <c r="A472" t="s">
        <v>110</v>
      </c>
      <c r="B472" t="str">
        <f>TRIM(TTrainingSource[[#This Row],[EMPloyee_ID2]])</f>
        <v>EMP10234</v>
      </c>
      <c r="C472" t="str">
        <f>IFERROR(VLOOKUP(TTrainingSource[[#This Row],[Employee_ID]],THrList[],3,FALSE),"")</f>
        <v>HASSAN</v>
      </c>
      <c r="D472" t="str">
        <f>IFERROR(VLOOKUP(TTrainingSource[[#This Row],[Employee_ID]],THrList[],4,FALSE),"")</f>
        <v>Alexander</v>
      </c>
      <c r="E472" t="str">
        <f>IFERROR(VLOOKUP(TTrainingSource[[#This Row],[Employee_ID]],THrList[],10,FALSE),"")</f>
        <v>IT</v>
      </c>
      <c r="F472" t="str">
        <f>TRIM(PROPER(TTrainingSource[[#This Row],[Training_Status2]]))</f>
        <v>Planned</v>
      </c>
      <c r="G472" t="s">
        <v>19</v>
      </c>
      <c r="H472" t="str">
        <f>TRIM(PROPER(TTrainingSource[[#This Row],[Training_Title2]]))</f>
        <v>Financial Modeling Basics</v>
      </c>
      <c r="I472" t="s">
        <v>38</v>
      </c>
      <c r="J472" s="1">
        <v>45596</v>
      </c>
      <c r="K472" t="s">
        <v>39</v>
      </c>
      <c r="L472" s="7">
        <v>32</v>
      </c>
      <c r="M472">
        <f>ROUND(TTrainingSource[[#This Row],[Satisfaction_Score2]],0)</f>
        <v>3</v>
      </c>
      <c r="N472">
        <v>2.5</v>
      </c>
    </row>
    <row r="473" spans="1:14" x14ac:dyDescent="0.3">
      <c r="A473" t="s">
        <v>70</v>
      </c>
      <c r="B473" t="str">
        <f>TRIM(TTrainingSource[[#This Row],[EMPloyee_ID2]])</f>
        <v>EMP10236</v>
      </c>
      <c r="C473" t="str">
        <f>IFERROR(VLOOKUP(TTrainingSource[[#This Row],[Employee_ID]],THrList[],3,FALSE),"")</f>
        <v>HASSAN</v>
      </c>
      <c r="D473" t="str">
        <f>IFERROR(VLOOKUP(TTrainingSource[[#This Row],[Employee_ID]],THrList[],4,FALSE),"")</f>
        <v>Emma</v>
      </c>
      <c r="E473" t="str">
        <f>IFERROR(VLOOKUP(TTrainingSource[[#This Row],[Employee_ID]],THrList[],10,FALSE),"")</f>
        <v>Human Resources</v>
      </c>
      <c r="F473" t="str">
        <f>TRIM(PROPER(TTrainingSource[[#This Row],[Training_Status2]]))</f>
        <v>Completed</v>
      </c>
      <c r="G473" t="s">
        <v>17</v>
      </c>
      <c r="H473" t="str">
        <f>TRIM(PROPER(TTrainingSource[[#This Row],[Training_Title2]]))</f>
        <v>Data Analysis Fundamentals</v>
      </c>
      <c r="I473" t="s">
        <v>9</v>
      </c>
      <c r="J473" s="1">
        <v>45003</v>
      </c>
      <c r="K473" t="s">
        <v>71</v>
      </c>
      <c r="L473" s="7">
        <v>40</v>
      </c>
      <c r="M473">
        <f>ROUND(TTrainingSource[[#This Row],[Satisfaction_Score2]],0)</f>
        <v>4</v>
      </c>
      <c r="N473">
        <v>4.0999999999999996</v>
      </c>
    </row>
    <row r="474" spans="1:14" x14ac:dyDescent="0.3">
      <c r="A474" t="s">
        <v>70</v>
      </c>
      <c r="B474" t="str">
        <f>TRIM(TTrainingSource[[#This Row],[EMPloyee_ID2]])</f>
        <v>EMP10236</v>
      </c>
      <c r="C474" t="str">
        <f>IFERROR(VLOOKUP(TTrainingSource[[#This Row],[Employee_ID]],THrList[],3,FALSE),"")</f>
        <v>HASSAN</v>
      </c>
      <c r="D474" t="str">
        <f>IFERROR(VLOOKUP(TTrainingSource[[#This Row],[Employee_ID]],THrList[],4,FALSE),"")</f>
        <v>Emma</v>
      </c>
      <c r="E474" t="str">
        <f>IFERROR(VLOOKUP(TTrainingSource[[#This Row],[Employee_ID]],THrList[],10,FALSE),"")</f>
        <v>Human Resources</v>
      </c>
      <c r="F474" t="str">
        <f>TRIM(PROPER(TTrainingSource[[#This Row],[Training_Status2]]))</f>
        <v>In Progress</v>
      </c>
      <c r="G474" t="s">
        <v>8</v>
      </c>
      <c r="H474" t="str">
        <f>TRIM(PROPER(TTrainingSource[[#This Row],[Training_Title2]]))</f>
        <v>Advanced Excel For Business</v>
      </c>
      <c r="I474" t="s">
        <v>52</v>
      </c>
      <c r="J474" s="1">
        <v>45457</v>
      </c>
      <c r="K474" t="s">
        <v>29</v>
      </c>
      <c r="L474" s="7">
        <v>8</v>
      </c>
      <c r="M474">
        <f>ROUND(TTrainingSource[[#This Row],[Satisfaction_Score2]],0)</f>
        <v>3</v>
      </c>
      <c r="N474">
        <v>3</v>
      </c>
    </row>
    <row r="475" spans="1:14" x14ac:dyDescent="0.3">
      <c r="A475" t="s">
        <v>70</v>
      </c>
      <c r="B475" t="str">
        <f>TRIM(TTrainingSource[[#This Row],[EMPloyee_ID2]])</f>
        <v>EMP10236</v>
      </c>
      <c r="C475" t="str">
        <f>IFERROR(VLOOKUP(TTrainingSource[[#This Row],[Employee_ID]],THrList[],3,FALSE),"")</f>
        <v>HASSAN</v>
      </c>
      <c r="D475" t="str">
        <f>IFERROR(VLOOKUP(TTrainingSource[[#This Row],[Employee_ID]],THrList[],4,FALSE),"")</f>
        <v>Emma</v>
      </c>
      <c r="E475" t="str">
        <f>IFERROR(VLOOKUP(TTrainingSource[[#This Row],[Employee_ID]],THrList[],10,FALSE),"")</f>
        <v>Human Resources</v>
      </c>
      <c r="F475" t="str">
        <f>TRIM(PROPER(TTrainingSource[[#This Row],[Training_Status2]]))</f>
        <v>Completed</v>
      </c>
      <c r="G475" t="s">
        <v>17</v>
      </c>
      <c r="H475" t="str">
        <f>TRIM(PROPER(TTrainingSource[[#This Row],[Training_Title2]]))</f>
        <v>Project Management Essentials</v>
      </c>
      <c r="I475" t="s">
        <v>14</v>
      </c>
      <c r="J475" s="1">
        <v>44984</v>
      </c>
      <c r="K475" t="s">
        <v>12</v>
      </c>
      <c r="L475" s="7">
        <v>20</v>
      </c>
      <c r="M475">
        <f>ROUND(TTrainingSource[[#This Row],[Satisfaction_Score2]],0)</f>
        <v>3</v>
      </c>
      <c r="N475">
        <v>3.3</v>
      </c>
    </row>
    <row r="476" spans="1:14" x14ac:dyDescent="0.3">
      <c r="A476" t="s">
        <v>70</v>
      </c>
      <c r="B476" t="str">
        <f>TRIM(TTrainingSource[[#This Row],[EMPloyee_ID2]])</f>
        <v>EMP10236</v>
      </c>
      <c r="C476" t="str">
        <f>IFERROR(VLOOKUP(TTrainingSource[[#This Row],[Employee_ID]],THrList[],3,FALSE),"")</f>
        <v>HASSAN</v>
      </c>
      <c r="D476" t="str">
        <f>IFERROR(VLOOKUP(TTrainingSource[[#This Row],[Employee_ID]],THrList[],4,FALSE),"")</f>
        <v>Emma</v>
      </c>
      <c r="E476" t="str">
        <f>IFERROR(VLOOKUP(TTrainingSource[[#This Row],[Employee_ID]],THrList[],10,FALSE),"")</f>
        <v>Human Resources</v>
      </c>
      <c r="F476" t="str">
        <f>TRIM(PROPER(TTrainingSource[[#This Row],[Training_Status2]]))</f>
        <v>Planned</v>
      </c>
      <c r="G476" t="s">
        <v>19</v>
      </c>
      <c r="H476" t="str">
        <f>TRIM(PROPER(TTrainingSource[[#This Row],[Training_Title2]]))</f>
        <v>Data Visualization Best Practices</v>
      </c>
      <c r="I476" t="s">
        <v>20</v>
      </c>
      <c r="J476" s="1">
        <v>44859</v>
      </c>
      <c r="K476" t="s">
        <v>39</v>
      </c>
      <c r="L476" s="7">
        <v>20</v>
      </c>
      <c r="M476">
        <f>ROUND(TTrainingSource[[#This Row],[Satisfaction_Score2]],0)</f>
        <v>5</v>
      </c>
      <c r="N476">
        <v>4.5999999999999996</v>
      </c>
    </row>
    <row r="477" spans="1:14" x14ac:dyDescent="0.3">
      <c r="A477" t="s">
        <v>70</v>
      </c>
      <c r="B477" t="str">
        <f>TRIM(TTrainingSource[[#This Row],[EMPloyee_ID2]])</f>
        <v>EMP10236</v>
      </c>
      <c r="C477" t="str">
        <f>IFERROR(VLOOKUP(TTrainingSource[[#This Row],[Employee_ID]],THrList[],3,FALSE),"")</f>
        <v>HASSAN</v>
      </c>
      <c r="D477" t="str">
        <f>IFERROR(VLOOKUP(TTrainingSource[[#This Row],[Employee_ID]],THrList[],4,FALSE),"")</f>
        <v>Emma</v>
      </c>
      <c r="E477" t="str">
        <f>IFERROR(VLOOKUP(TTrainingSource[[#This Row],[Employee_ID]],THrList[],10,FALSE),"")</f>
        <v>Human Resources</v>
      </c>
      <c r="F477" t="str">
        <f>TRIM(PROPER(TTrainingSource[[#This Row],[Training_Status2]]))</f>
        <v>Completed</v>
      </c>
      <c r="G477" t="s">
        <v>17</v>
      </c>
      <c r="H477" t="str">
        <f>TRIM(PROPER(TTrainingSource[[#This Row],[Training_Title2]]))</f>
        <v>Data Visualization Best Practices</v>
      </c>
      <c r="I477" t="s">
        <v>703</v>
      </c>
      <c r="J477" s="1">
        <v>44745</v>
      </c>
      <c r="K477" t="s">
        <v>32</v>
      </c>
      <c r="L477" s="7">
        <v>6</v>
      </c>
      <c r="M477">
        <f>ROUND(TTrainingSource[[#This Row],[Satisfaction_Score2]],0)</f>
        <v>3</v>
      </c>
      <c r="N477">
        <v>3.1</v>
      </c>
    </row>
    <row r="478" spans="1:14" x14ac:dyDescent="0.3">
      <c r="A478" t="s">
        <v>639</v>
      </c>
      <c r="B478" t="str">
        <f>TRIM(TTrainingSource[[#This Row],[EMPloyee_ID2]])</f>
        <v>EMP10237</v>
      </c>
      <c r="C478" t="str">
        <f>IFERROR(VLOOKUP(TTrainingSource[[#This Row],[Employee_ID]],THrList[],3,FALSE),"")</f>
        <v>FOURNIER</v>
      </c>
      <c r="D478" t="str">
        <f>IFERROR(VLOOKUP(TTrainingSource[[#This Row],[Employee_ID]],THrList[],4,FALSE),"")</f>
        <v>Alexander</v>
      </c>
      <c r="E478" t="str">
        <f>IFERROR(VLOOKUP(TTrainingSource[[#This Row],[Employee_ID]],THrList[],10,FALSE),"")</f>
        <v>IT</v>
      </c>
      <c r="F478" t="str">
        <f>TRIM(PROPER(TTrainingSource[[#This Row],[Training_Status2]]))</f>
        <v>In Progress</v>
      </c>
      <c r="G478" t="s">
        <v>8</v>
      </c>
      <c r="H478" t="str">
        <f>TRIM(PROPER(TTrainingSource[[#This Row],[Training_Title2]]))</f>
        <v>Power Bi Reporting</v>
      </c>
      <c r="I478" t="s">
        <v>24</v>
      </c>
      <c r="J478" s="1">
        <v>45127</v>
      </c>
      <c r="K478" t="s">
        <v>29</v>
      </c>
      <c r="L478" s="7">
        <v>20</v>
      </c>
      <c r="M478">
        <f>ROUND(TTrainingSource[[#This Row],[Satisfaction_Score2]],0)</f>
        <v>4</v>
      </c>
      <c r="N478">
        <v>4.0999999999999996</v>
      </c>
    </row>
    <row r="479" spans="1:14" x14ac:dyDescent="0.3">
      <c r="A479" t="s">
        <v>639</v>
      </c>
      <c r="B479" t="str">
        <f>TRIM(TTrainingSource[[#This Row],[EMPloyee_ID2]])</f>
        <v>EMP10237</v>
      </c>
      <c r="C479" t="str">
        <f>IFERROR(VLOOKUP(TTrainingSource[[#This Row],[Employee_ID]],THrList[],3,FALSE),"")</f>
        <v>FOURNIER</v>
      </c>
      <c r="D479" t="str">
        <f>IFERROR(VLOOKUP(TTrainingSource[[#This Row],[Employee_ID]],THrList[],4,FALSE),"")</f>
        <v>Alexander</v>
      </c>
      <c r="E479" t="str">
        <f>IFERROR(VLOOKUP(TTrainingSource[[#This Row],[Employee_ID]],THrList[],10,FALSE),"")</f>
        <v>IT</v>
      </c>
      <c r="F479" t="str">
        <f>TRIM(PROPER(TTrainingSource[[#This Row],[Training_Status2]]))</f>
        <v>Completed</v>
      </c>
      <c r="G479" t="s">
        <v>17</v>
      </c>
      <c r="H479" t="str">
        <f>TRIM(PROPER(TTrainingSource[[#This Row],[Training_Title2]]))</f>
        <v>Power Bi Reporting</v>
      </c>
      <c r="I479" t="s">
        <v>24</v>
      </c>
      <c r="J479" s="1">
        <v>44767</v>
      </c>
      <c r="K479" t="s">
        <v>98</v>
      </c>
      <c r="L479" s="7">
        <v>8</v>
      </c>
      <c r="M479">
        <f>ROUND(TTrainingSource[[#This Row],[Satisfaction_Score2]],0)</f>
        <v>4</v>
      </c>
      <c r="N479">
        <v>3.5</v>
      </c>
    </row>
    <row r="480" spans="1:14" x14ac:dyDescent="0.3">
      <c r="A480" t="s">
        <v>639</v>
      </c>
      <c r="B480" t="str">
        <f>TRIM(TTrainingSource[[#This Row],[EMPloyee_ID2]])</f>
        <v>EMP10237</v>
      </c>
      <c r="C480" t="str">
        <f>IFERROR(VLOOKUP(TTrainingSource[[#This Row],[Employee_ID]],THrList[],3,FALSE),"")</f>
        <v>FOURNIER</v>
      </c>
      <c r="D480" t="str">
        <f>IFERROR(VLOOKUP(TTrainingSource[[#This Row],[Employee_ID]],THrList[],4,FALSE),"")</f>
        <v>Alexander</v>
      </c>
      <c r="E480" t="str">
        <f>IFERROR(VLOOKUP(TTrainingSource[[#This Row],[Employee_ID]],THrList[],10,FALSE),"")</f>
        <v>IT</v>
      </c>
      <c r="F480" t="str">
        <f>TRIM(PROPER(TTrainingSource[[#This Row],[Training_Status2]]))</f>
        <v>Completed</v>
      </c>
      <c r="G480" t="s">
        <v>17</v>
      </c>
      <c r="H480" t="str">
        <f>TRIM(PROPER(TTrainingSource[[#This Row],[Training_Title2]]))</f>
        <v>Data Visualization Best Practices</v>
      </c>
      <c r="I480" t="s">
        <v>20</v>
      </c>
      <c r="J480" s="1">
        <v>45290</v>
      </c>
      <c r="K480" t="s">
        <v>12</v>
      </c>
      <c r="L480" s="7">
        <v>20</v>
      </c>
      <c r="M480">
        <f>ROUND(TTrainingSource[[#This Row],[Satisfaction_Score2]],0)</f>
        <v>4</v>
      </c>
      <c r="N480">
        <v>4.4000000000000004</v>
      </c>
    </row>
    <row r="481" spans="1:14" x14ac:dyDescent="0.3">
      <c r="A481" t="s">
        <v>639</v>
      </c>
      <c r="B481" t="str">
        <f>TRIM(TTrainingSource[[#This Row],[EMPloyee_ID2]])</f>
        <v>EMP10237</v>
      </c>
      <c r="C481" t="str">
        <f>IFERROR(VLOOKUP(TTrainingSource[[#This Row],[Employee_ID]],THrList[],3,FALSE),"")</f>
        <v>FOURNIER</v>
      </c>
      <c r="D481" t="str">
        <f>IFERROR(VLOOKUP(TTrainingSource[[#This Row],[Employee_ID]],THrList[],4,FALSE),"")</f>
        <v>Alexander</v>
      </c>
      <c r="E481" t="str">
        <f>IFERROR(VLOOKUP(TTrainingSource[[#This Row],[Employee_ID]],THrList[],10,FALSE),"")</f>
        <v>IT</v>
      </c>
      <c r="F481" t="str">
        <f>TRIM(PROPER(TTrainingSource[[#This Row],[Training_Status2]]))</f>
        <v>Completed</v>
      </c>
      <c r="G481" t="s">
        <v>17</v>
      </c>
      <c r="H481" t="str">
        <f>TRIM(PROPER(TTrainingSource[[#This Row],[Training_Title2]]))</f>
        <v>Communication For Analysts</v>
      </c>
      <c r="I481" t="s">
        <v>28</v>
      </c>
      <c r="J481" s="1">
        <v>45895</v>
      </c>
      <c r="K481" t="s">
        <v>46</v>
      </c>
      <c r="L481" s="7">
        <v>40</v>
      </c>
      <c r="M481">
        <f>ROUND(TTrainingSource[[#This Row],[Satisfaction_Score2]],0)</f>
        <v>4</v>
      </c>
      <c r="N481">
        <v>4.0999999999999996</v>
      </c>
    </row>
    <row r="482" spans="1:14" x14ac:dyDescent="0.3">
      <c r="A482" t="s">
        <v>658</v>
      </c>
      <c r="B482" t="str">
        <f>TRIM(TTrainingSource[[#This Row],[EMPloyee_ID2]])</f>
        <v>EMP10238</v>
      </c>
      <c r="C482" t="str">
        <f>IFERROR(VLOOKUP(TTrainingSource[[#This Row],[Employee_ID]],THrList[],3,FALSE),"")</f>
        <v>ANDERSON</v>
      </c>
      <c r="D482" t="str">
        <f>IFERROR(VLOOKUP(TTrainingSource[[#This Row],[Employee_ID]],THrList[],4,FALSE),"")</f>
        <v>Camille</v>
      </c>
      <c r="E482" t="str">
        <f>IFERROR(VLOOKUP(TTrainingSource[[#This Row],[Employee_ID]],THrList[],10,FALSE),"")</f>
        <v>Human Resources</v>
      </c>
      <c r="F482" t="str">
        <f>TRIM(PROPER(TTrainingSource[[#This Row],[Training_Status2]]))</f>
        <v>In Progress</v>
      </c>
      <c r="G482" t="s">
        <v>8</v>
      </c>
      <c r="H482" t="str">
        <f>TRIM(PROPER(TTrainingSource[[#This Row],[Training_Title2]]))</f>
        <v>Advanced Excel For Business</v>
      </c>
      <c r="I482" t="s">
        <v>52</v>
      </c>
      <c r="J482" s="1">
        <v>45657</v>
      </c>
      <c r="K482" t="s">
        <v>42</v>
      </c>
      <c r="L482" s="7">
        <v>0</v>
      </c>
      <c r="M482">
        <f>ROUND(TTrainingSource[[#This Row],[Satisfaction_Score2]],0)</f>
        <v>3</v>
      </c>
      <c r="N482">
        <v>2.8</v>
      </c>
    </row>
    <row r="483" spans="1:14" x14ac:dyDescent="0.3">
      <c r="A483" t="s">
        <v>217</v>
      </c>
      <c r="B483" t="str">
        <f>TRIM(TTrainingSource[[#This Row],[EMPloyee_ID2]])</f>
        <v>EMP10239</v>
      </c>
      <c r="C483" t="str">
        <f>IFERROR(VLOOKUP(TTrainingSource[[#This Row],[Employee_ID]],THrList[],3,FALSE),"")</f>
        <v>LOPEZ</v>
      </c>
      <c r="D483" t="str">
        <f>IFERROR(VLOOKUP(TTrainingSource[[#This Row],[Employee_ID]],THrList[],4,FALSE),"")</f>
        <v>Julien</v>
      </c>
      <c r="E483" t="str">
        <f>IFERROR(VLOOKUP(TTrainingSource[[#This Row],[Employee_ID]],THrList[],10,FALSE),"")</f>
        <v>Sales</v>
      </c>
      <c r="F483" t="str">
        <f>TRIM(PROPER(TTrainingSource[[#This Row],[Training_Status2]]))</f>
        <v>Completed</v>
      </c>
      <c r="G483" t="s">
        <v>17</v>
      </c>
      <c r="H483" t="str">
        <f>TRIM(PROPER(TTrainingSource[[#This Row],[Training_Title2]]))</f>
        <v>Project Management Essentials</v>
      </c>
      <c r="I483" t="s">
        <v>14</v>
      </c>
      <c r="J483" s="1">
        <v>44943</v>
      </c>
      <c r="K483" t="s">
        <v>132</v>
      </c>
      <c r="L483" s="7">
        <v>12</v>
      </c>
      <c r="M483">
        <f>ROUND(TTrainingSource[[#This Row],[Satisfaction_Score2]],0)</f>
        <v>4</v>
      </c>
      <c r="N483">
        <v>3.9</v>
      </c>
    </row>
    <row r="484" spans="1:14" x14ac:dyDescent="0.3">
      <c r="A484" t="s">
        <v>306</v>
      </c>
      <c r="B484" t="str">
        <f>TRIM(TTrainingSource[[#This Row],[EMPloyee_ID2]])</f>
        <v>EMP10239</v>
      </c>
      <c r="C484" t="str">
        <f>IFERROR(VLOOKUP(TTrainingSource[[#This Row],[Employee_ID]],THrList[],3,FALSE),"")</f>
        <v>LOPEZ</v>
      </c>
      <c r="D484" t="str">
        <f>IFERROR(VLOOKUP(TTrainingSource[[#This Row],[Employee_ID]],THrList[],4,FALSE),"")</f>
        <v>Julien</v>
      </c>
      <c r="E484" t="str">
        <f>IFERROR(VLOOKUP(TTrainingSource[[#This Row],[Employee_ID]],THrList[],10,FALSE),"")</f>
        <v>Sales</v>
      </c>
      <c r="F484" t="str">
        <f>TRIM(PROPER(TTrainingSource[[#This Row],[Training_Status2]]))</f>
        <v>In Progress</v>
      </c>
      <c r="G484" t="s">
        <v>67</v>
      </c>
      <c r="H484" t="str">
        <f>TRIM(PROPER(TTrainingSource[[#This Row],[Training_Title2]]))</f>
        <v>Project Management Essentials</v>
      </c>
      <c r="I484" t="s">
        <v>14</v>
      </c>
      <c r="J484" s="1">
        <v>45475</v>
      </c>
      <c r="K484" t="s">
        <v>42</v>
      </c>
      <c r="L484" s="7">
        <v>0</v>
      </c>
      <c r="M484">
        <f>ROUND(TTrainingSource[[#This Row],[Satisfaction_Score2]],0)</f>
        <v>3</v>
      </c>
      <c r="N484">
        <v>2.7</v>
      </c>
    </row>
    <row r="485" spans="1:14" x14ac:dyDescent="0.3">
      <c r="A485" t="s">
        <v>608</v>
      </c>
      <c r="B485" t="str">
        <f>TRIM(TTrainingSource[[#This Row],[EMPloyee_ID2]])</f>
        <v>EMP10240</v>
      </c>
      <c r="C485" t="str">
        <f>IFERROR(VLOOKUP(TTrainingSource[[#This Row],[Employee_ID]],THrList[],3,FALSE),"")</f>
        <v>PATEL</v>
      </c>
      <c r="D485" t="str">
        <f>IFERROR(VLOOKUP(TTrainingSource[[#This Row],[Employee_ID]],THrList[],4,FALSE),"")</f>
        <v>Layla</v>
      </c>
      <c r="E485" t="str">
        <f>IFERROR(VLOOKUP(TTrainingSource[[#This Row],[Employee_ID]],THrList[],10,FALSE),"")</f>
        <v>Finance</v>
      </c>
      <c r="F485" t="str">
        <f>TRIM(PROPER(TTrainingSource[[#This Row],[Training_Status2]]))</f>
        <v>Planned</v>
      </c>
      <c r="G485" t="s">
        <v>19</v>
      </c>
      <c r="H485" t="str">
        <f>TRIM(PROPER(TTrainingSource[[#This Row],[Training_Title2]]))</f>
        <v>Project Management Essentials</v>
      </c>
      <c r="I485" t="s">
        <v>182</v>
      </c>
      <c r="J485" s="1">
        <v>45478</v>
      </c>
      <c r="K485" t="s">
        <v>44</v>
      </c>
      <c r="L485" s="7">
        <v>8</v>
      </c>
      <c r="M485">
        <f>ROUND(TTrainingSource[[#This Row],[Satisfaction_Score2]],0)</f>
        <v>3</v>
      </c>
      <c r="N485">
        <v>2.8</v>
      </c>
    </row>
    <row r="486" spans="1:14" x14ac:dyDescent="0.3">
      <c r="A486" t="s">
        <v>608</v>
      </c>
      <c r="B486" t="str">
        <f>TRIM(TTrainingSource[[#This Row],[EMPloyee_ID2]])</f>
        <v>EMP10240</v>
      </c>
      <c r="C486" t="str">
        <f>IFERROR(VLOOKUP(TTrainingSource[[#This Row],[Employee_ID]],THrList[],3,FALSE),"")</f>
        <v>PATEL</v>
      </c>
      <c r="D486" t="str">
        <f>IFERROR(VLOOKUP(TTrainingSource[[#This Row],[Employee_ID]],THrList[],4,FALSE),"")</f>
        <v>Layla</v>
      </c>
      <c r="E486" t="str">
        <f>IFERROR(VLOOKUP(TTrainingSource[[#This Row],[Employee_ID]],THrList[],10,FALSE),"")</f>
        <v>Finance</v>
      </c>
      <c r="F486" t="str">
        <f>TRIM(PROPER(TTrainingSource[[#This Row],[Training_Status2]]))</f>
        <v>Completed</v>
      </c>
      <c r="G486" t="s">
        <v>17</v>
      </c>
      <c r="H486" t="str">
        <f>TRIM(PROPER(TTrainingSource[[#This Row],[Training_Title2]]))</f>
        <v>Financial Modeling Basics</v>
      </c>
      <c r="I486" t="s">
        <v>38</v>
      </c>
      <c r="J486" s="1">
        <v>45908</v>
      </c>
      <c r="K486" t="s">
        <v>39</v>
      </c>
      <c r="L486" s="7">
        <v>12</v>
      </c>
      <c r="M486">
        <f>ROUND(TTrainingSource[[#This Row],[Satisfaction_Score2]],0)</f>
        <v>3</v>
      </c>
      <c r="N486">
        <v>2.8</v>
      </c>
    </row>
    <row r="487" spans="1:14" x14ac:dyDescent="0.3">
      <c r="A487" t="s">
        <v>608</v>
      </c>
      <c r="B487" t="str">
        <f>TRIM(TTrainingSource[[#This Row],[EMPloyee_ID2]])</f>
        <v>EMP10240</v>
      </c>
      <c r="C487" t="str">
        <f>IFERROR(VLOOKUP(TTrainingSource[[#This Row],[Employee_ID]],THrList[],3,FALSE),"")</f>
        <v>PATEL</v>
      </c>
      <c r="D487" t="str">
        <f>IFERROR(VLOOKUP(TTrainingSource[[#This Row],[Employee_ID]],THrList[],4,FALSE),"")</f>
        <v>Layla</v>
      </c>
      <c r="E487" t="str">
        <f>IFERROR(VLOOKUP(TTrainingSource[[#This Row],[Employee_ID]],THrList[],10,FALSE),"")</f>
        <v>Finance</v>
      </c>
      <c r="F487" t="str">
        <f>TRIM(PROPER(TTrainingSource[[#This Row],[Training_Status2]]))</f>
        <v>Completed</v>
      </c>
      <c r="G487" t="s">
        <v>17</v>
      </c>
      <c r="H487" t="str">
        <f>TRIM(PROPER(TTrainingSource[[#This Row],[Training_Title2]]))</f>
        <v>Business Intelligence With Tableau</v>
      </c>
      <c r="I487" t="s">
        <v>22</v>
      </c>
      <c r="J487" s="1">
        <v>45087</v>
      </c>
      <c r="K487" t="s">
        <v>46</v>
      </c>
      <c r="L487" s="7">
        <v>24</v>
      </c>
      <c r="M487">
        <f>ROUND(TTrainingSource[[#This Row],[Satisfaction_Score2]],0)</f>
        <v>3</v>
      </c>
      <c r="N487">
        <v>2.7</v>
      </c>
    </row>
    <row r="488" spans="1:14" x14ac:dyDescent="0.3">
      <c r="A488" t="s">
        <v>304</v>
      </c>
      <c r="B488" t="str">
        <f>TRIM(TTrainingSource[[#This Row],[EMPloyee_ID2]])</f>
        <v>EMP10241</v>
      </c>
      <c r="C488" t="str">
        <f>IFERROR(VLOOKUP(TTrainingSource[[#This Row],[Employee_ID]],THrList[],3,FALSE),"")</f>
        <v>DAVIS</v>
      </c>
      <c r="D488" t="str">
        <f>IFERROR(VLOOKUP(TTrainingSource[[#This Row],[Employee_ID]],THrList[],4,FALSE),"")</f>
        <v>Sophie</v>
      </c>
      <c r="E488" t="str">
        <f>IFERROR(VLOOKUP(TTrainingSource[[#This Row],[Employee_ID]],THrList[],10,FALSE),"")</f>
        <v>Customer Support</v>
      </c>
      <c r="F488" t="str">
        <f>TRIM(PROPER(TTrainingSource[[#This Row],[Training_Status2]]))</f>
        <v>Completed</v>
      </c>
      <c r="G488" t="s">
        <v>17</v>
      </c>
      <c r="H488" t="str">
        <f>TRIM(PROPER(TTrainingSource[[#This Row],[Training_Title2]]))</f>
        <v>Project Management Essentials</v>
      </c>
      <c r="I488" t="s">
        <v>14</v>
      </c>
      <c r="J488" s="1">
        <v>45551</v>
      </c>
      <c r="K488" t="s">
        <v>71</v>
      </c>
      <c r="L488" s="7">
        <v>20</v>
      </c>
      <c r="M488">
        <f>ROUND(TTrainingSource[[#This Row],[Satisfaction_Score2]],0)</f>
        <v>4</v>
      </c>
      <c r="N488">
        <v>3.9</v>
      </c>
    </row>
    <row r="489" spans="1:14" x14ac:dyDescent="0.3">
      <c r="A489" t="s">
        <v>341</v>
      </c>
      <c r="B489" t="str">
        <f>TRIM(TTrainingSource[[#This Row],[EMPloyee_ID2]])</f>
        <v>EMP10241</v>
      </c>
      <c r="C489" t="str">
        <f>IFERROR(VLOOKUP(TTrainingSource[[#This Row],[Employee_ID]],THrList[],3,FALSE),"")</f>
        <v>DAVIS</v>
      </c>
      <c r="D489" t="str">
        <f>IFERROR(VLOOKUP(TTrainingSource[[#This Row],[Employee_ID]],THrList[],4,FALSE),"")</f>
        <v>Sophie</v>
      </c>
      <c r="E489" t="str">
        <f>IFERROR(VLOOKUP(TTrainingSource[[#This Row],[Employee_ID]],THrList[],10,FALSE),"")</f>
        <v>Customer Support</v>
      </c>
      <c r="F489" t="str">
        <f>TRIM(PROPER(TTrainingSource[[#This Row],[Training_Status2]]))</f>
        <v>In Progress</v>
      </c>
      <c r="G489" t="s">
        <v>8</v>
      </c>
      <c r="H489" t="str">
        <f>TRIM(PROPER(TTrainingSource[[#This Row],[Training_Title2]]))</f>
        <v>Communication For Analysts</v>
      </c>
      <c r="I489" t="s">
        <v>28</v>
      </c>
      <c r="J489" s="1">
        <v>45483</v>
      </c>
      <c r="K489" t="s">
        <v>42</v>
      </c>
      <c r="L489" s="7">
        <v>40</v>
      </c>
      <c r="M489">
        <f>ROUND(TTrainingSource[[#This Row],[Satisfaction_Score2]],0)</f>
        <v>4</v>
      </c>
      <c r="N489">
        <v>4</v>
      </c>
    </row>
    <row r="490" spans="1:14" x14ac:dyDescent="0.3">
      <c r="A490" t="s">
        <v>304</v>
      </c>
      <c r="B490" t="str">
        <f>TRIM(TTrainingSource[[#This Row],[EMPloyee_ID2]])</f>
        <v>EMP10241</v>
      </c>
      <c r="C490" t="str">
        <f>IFERROR(VLOOKUP(TTrainingSource[[#This Row],[Employee_ID]],THrList[],3,FALSE),"")</f>
        <v>DAVIS</v>
      </c>
      <c r="D490" t="str">
        <f>IFERROR(VLOOKUP(TTrainingSource[[#This Row],[Employee_ID]],THrList[],4,FALSE),"")</f>
        <v>Sophie</v>
      </c>
      <c r="E490" t="str">
        <f>IFERROR(VLOOKUP(TTrainingSource[[#This Row],[Employee_ID]],THrList[],10,FALSE),"")</f>
        <v>Customer Support</v>
      </c>
      <c r="F490" t="str">
        <f>TRIM(PROPER(TTrainingSource[[#This Row],[Training_Status2]]))</f>
        <v>In Progress</v>
      </c>
      <c r="G490" t="s">
        <v>8</v>
      </c>
      <c r="H490" t="str">
        <f>TRIM(PROPER(TTrainingSource[[#This Row],[Training_Title2]]))</f>
        <v>Customer Data Analysis</v>
      </c>
      <c r="I490" t="s">
        <v>31</v>
      </c>
      <c r="J490" s="1">
        <v>45649</v>
      </c>
      <c r="K490" t="s">
        <v>44</v>
      </c>
      <c r="L490" s="7">
        <v>8</v>
      </c>
      <c r="M490">
        <f>ROUND(TTrainingSource[[#This Row],[Satisfaction_Score2]],0)</f>
        <v>5</v>
      </c>
      <c r="N490">
        <v>4.5999999999999996</v>
      </c>
    </row>
    <row r="491" spans="1:14" x14ac:dyDescent="0.3">
      <c r="A491" t="s">
        <v>706</v>
      </c>
      <c r="B491" t="str">
        <f>TRIM(TTrainingSource[[#This Row],[EMPloyee_ID2]])</f>
        <v>EMP10242</v>
      </c>
      <c r="C491" t="str">
        <f>IFERROR(VLOOKUP(TTrainingSource[[#This Row],[Employee_ID]],THrList[],3,FALSE),"")</f>
        <v>KHAN</v>
      </c>
      <c r="D491" t="str">
        <f>IFERROR(VLOOKUP(TTrainingSource[[#This Row],[Employee_ID]],THrList[],4,FALSE),"")</f>
        <v>Ibrahim</v>
      </c>
      <c r="E491" t="str">
        <f>IFERROR(VLOOKUP(TTrainingSource[[#This Row],[Employee_ID]],THrList[],10,FALSE),"")</f>
        <v>Sales</v>
      </c>
      <c r="F491" t="str">
        <f>TRIM(PROPER(TTrainingSource[[#This Row],[Training_Status2]]))</f>
        <v>In Progress</v>
      </c>
      <c r="G491" t="s">
        <v>156</v>
      </c>
      <c r="H491" t="str">
        <f>TRIM(PROPER(TTrainingSource[[#This Row],[Training_Title2]]))</f>
        <v>Communication For Analysts</v>
      </c>
      <c r="I491" t="s">
        <v>28</v>
      </c>
      <c r="J491" s="1">
        <v>45569</v>
      </c>
      <c r="K491" t="s">
        <v>132</v>
      </c>
      <c r="L491" s="7">
        <v>8</v>
      </c>
      <c r="M491">
        <f>ROUND(TTrainingSource[[#This Row],[Satisfaction_Score2]],0)</f>
        <v>3</v>
      </c>
      <c r="N491">
        <v>3.4</v>
      </c>
    </row>
    <row r="492" spans="1:14" x14ac:dyDescent="0.3">
      <c r="A492" t="s">
        <v>108</v>
      </c>
      <c r="B492" t="str">
        <f>TRIM(TTrainingSource[[#This Row],[EMPloyee_ID2]])</f>
        <v>EMP10243</v>
      </c>
      <c r="C492" t="str">
        <f>IFERROR(VLOOKUP(TTrainingSource[[#This Row],[Employee_ID]],THrList[],3,FALSE),"")</f>
        <v>JONES</v>
      </c>
      <c r="D492" t="str">
        <f>IFERROR(VLOOKUP(TTrainingSource[[#This Row],[Employee_ID]],THrList[],4,FALSE),"")</f>
        <v>Noah</v>
      </c>
      <c r="E492" t="str">
        <f>IFERROR(VLOOKUP(TTrainingSource[[#This Row],[Employee_ID]],THrList[],10,FALSE),"")</f>
        <v>Compliance</v>
      </c>
      <c r="F492" t="str">
        <f>TRIM(PROPER(TTrainingSource[[#This Row],[Training_Status2]]))</f>
        <v>Completed</v>
      </c>
      <c r="G492" t="s">
        <v>17</v>
      </c>
      <c r="H492" t="str">
        <f>TRIM(PROPER(TTrainingSource[[#This Row],[Training_Title2]]))</f>
        <v>Power Bi Reporting</v>
      </c>
      <c r="I492" t="s">
        <v>24</v>
      </c>
      <c r="J492" s="1">
        <v>44707</v>
      </c>
      <c r="K492" t="s">
        <v>39</v>
      </c>
      <c r="L492" s="7">
        <v>16</v>
      </c>
      <c r="M492">
        <f>ROUND(TTrainingSource[[#This Row],[Satisfaction_Score2]],0)</f>
        <v>3</v>
      </c>
      <c r="N492">
        <v>2.5</v>
      </c>
    </row>
    <row r="493" spans="1:14" x14ac:dyDescent="0.3">
      <c r="A493" t="s">
        <v>108</v>
      </c>
      <c r="B493" t="str">
        <f>TRIM(TTrainingSource[[#This Row],[EMPloyee_ID2]])</f>
        <v>EMP10243</v>
      </c>
      <c r="C493" t="str">
        <f>IFERROR(VLOOKUP(TTrainingSource[[#This Row],[Employee_ID]],THrList[],3,FALSE),"")</f>
        <v>JONES</v>
      </c>
      <c r="D493" t="str">
        <f>IFERROR(VLOOKUP(TTrainingSource[[#This Row],[Employee_ID]],THrList[],4,FALSE),"")</f>
        <v>Noah</v>
      </c>
      <c r="E493" t="str">
        <f>IFERROR(VLOOKUP(TTrainingSource[[#This Row],[Employee_ID]],THrList[],10,FALSE),"")</f>
        <v>Compliance</v>
      </c>
      <c r="F493" t="str">
        <f>TRIM(PROPER(TTrainingSource[[#This Row],[Training_Status2]]))</f>
        <v>In Progress</v>
      </c>
      <c r="G493" t="s">
        <v>8</v>
      </c>
      <c r="H493" t="str">
        <f>TRIM(PROPER(TTrainingSource[[#This Row],[Training_Title2]]))</f>
        <v>Data Analysis Fundamentals</v>
      </c>
      <c r="I493" t="s">
        <v>9</v>
      </c>
      <c r="J493" s="1">
        <v>45332</v>
      </c>
      <c r="K493" t="s">
        <v>46</v>
      </c>
      <c r="L493" s="7">
        <v>16</v>
      </c>
      <c r="M493">
        <f>ROUND(TTrainingSource[[#This Row],[Satisfaction_Score2]],0)</f>
        <v>4</v>
      </c>
      <c r="N493">
        <v>4.0999999999999996</v>
      </c>
    </row>
    <row r="494" spans="1:14" x14ac:dyDescent="0.3">
      <c r="A494" t="s">
        <v>108</v>
      </c>
      <c r="B494" t="str">
        <f>TRIM(TTrainingSource[[#This Row],[EMPloyee_ID2]])</f>
        <v>EMP10243</v>
      </c>
      <c r="C494" t="str">
        <f>IFERROR(VLOOKUP(TTrainingSource[[#This Row],[Employee_ID]],THrList[],3,FALSE),"")</f>
        <v>JONES</v>
      </c>
      <c r="D494" t="str">
        <f>IFERROR(VLOOKUP(TTrainingSource[[#This Row],[Employee_ID]],THrList[],4,FALSE),"")</f>
        <v>Noah</v>
      </c>
      <c r="E494" t="str">
        <f>IFERROR(VLOOKUP(TTrainingSource[[#This Row],[Employee_ID]],THrList[],10,FALSE),"")</f>
        <v>Compliance</v>
      </c>
      <c r="F494" t="str">
        <f>TRIM(PROPER(TTrainingSource[[#This Row],[Training_Status2]]))</f>
        <v>Planned</v>
      </c>
      <c r="G494" t="s">
        <v>19</v>
      </c>
      <c r="H494" t="str">
        <f>TRIM(PROPER(TTrainingSource[[#This Row],[Training_Title2]]))</f>
        <v>Financial Modeling Basics</v>
      </c>
      <c r="I494" t="s">
        <v>331</v>
      </c>
      <c r="J494" s="1">
        <v>45689</v>
      </c>
      <c r="K494" t="s">
        <v>46</v>
      </c>
      <c r="L494" s="7">
        <v>16</v>
      </c>
      <c r="M494">
        <f>ROUND(TTrainingSource[[#This Row],[Satisfaction_Score2]],0)</f>
        <v>5</v>
      </c>
      <c r="N494">
        <v>4.8</v>
      </c>
    </row>
    <row r="495" spans="1:14" x14ac:dyDescent="0.3">
      <c r="A495" t="s">
        <v>454</v>
      </c>
      <c r="B495" t="str">
        <f>TRIM(TTrainingSource[[#This Row],[EMPloyee_ID2]])</f>
        <v>EMP10244</v>
      </c>
      <c r="C495" t="str">
        <f>IFERROR(VLOOKUP(TTrainingSource[[#This Row],[Employee_ID]],THrList[],3,FALSE),"")</f>
        <v xml:space="preserve"> MARTINEZ</v>
      </c>
      <c r="D495" t="str">
        <f>IFERROR(VLOOKUP(TTrainingSource[[#This Row],[Employee_ID]],THrList[],4,FALSE),"")</f>
        <v>Olivia</v>
      </c>
      <c r="E495" t="str">
        <f>IFERROR(VLOOKUP(TTrainingSource[[#This Row],[Employee_ID]],THrList[],10,FALSE),"")</f>
        <v>Operations</v>
      </c>
      <c r="F495" t="str">
        <f>TRIM(PROPER(TTrainingSource[[#This Row],[Training_Status2]]))</f>
        <v>Completed</v>
      </c>
      <c r="G495" t="s">
        <v>17</v>
      </c>
      <c r="H495" t="str">
        <f>TRIM(PROPER(TTrainingSource[[#This Row],[Training_Title2]]))</f>
        <v>Introduction To Python For Data</v>
      </c>
      <c r="I495" t="s">
        <v>62</v>
      </c>
      <c r="J495" s="1">
        <v>45147</v>
      </c>
      <c r="K495" t="s">
        <v>42</v>
      </c>
      <c r="L495" s="7">
        <v>12</v>
      </c>
      <c r="M495">
        <f>ROUND(TTrainingSource[[#This Row],[Satisfaction_Score2]],0)</f>
        <v>4</v>
      </c>
      <c r="N495">
        <v>3.9</v>
      </c>
    </row>
    <row r="496" spans="1:14" x14ac:dyDescent="0.3">
      <c r="A496" t="s">
        <v>382</v>
      </c>
      <c r="B496" t="str">
        <f>TRIM(TTrainingSource[[#This Row],[EMPloyee_ID2]])</f>
        <v>EMP10245</v>
      </c>
      <c r="C496" t="str">
        <f>IFERROR(VLOOKUP(TTrainingSource[[#This Row],[Employee_ID]],THrList[],3,FALSE),"")</f>
        <v>HASSAN</v>
      </c>
      <c r="D496" t="str">
        <f>IFERROR(VLOOKUP(TTrainingSource[[#This Row],[Employee_ID]],THrList[],4,FALSE),"")</f>
        <v>Noah</v>
      </c>
      <c r="E496" t="str">
        <f>IFERROR(VLOOKUP(TTrainingSource[[#This Row],[Employee_ID]],THrList[],10,FALSE),"")</f>
        <v>Marketing</v>
      </c>
      <c r="F496" t="str">
        <f>TRIM(PROPER(TTrainingSource[[#This Row],[Training_Status2]]))</f>
        <v>Planned</v>
      </c>
      <c r="G496" t="s">
        <v>19</v>
      </c>
      <c r="H496" t="str">
        <f>TRIM(PROPER(TTrainingSource[[#This Row],[Training_Title2]]))</f>
        <v>Business Intelligence With Tableau</v>
      </c>
      <c r="I496" t="s">
        <v>22</v>
      </c>
      <c r="J496" s="1">
        <v>44591</v>
      </c>
      <c r="K496" t="s">
        <v>32</v>
      </c>
      <c r="L496" s="7">
        <v>4</v>
      </c>
      <c r="M496">
        <f>ROUND(TTrainingSource[[#This Row],[Satisfaction_Score2]],0)</f>
        <v>4</v>
      </c>
      <c r="N496">
        <v>3.6</v>
      </c>
    </row>
    <row r="497" spans="1:14" x14ac:dyDescent="0.3">
      <c r="A497" t="s">
        <v>382</v>
      </c>
      <c r="B497" t="str">
        <f>TRIM(TTrainingSource[[#This Row],[EMPloyee_ID2]])</f>
        <v>EMP10245</v>
      </c>
      <c r="C497" t="str">
        <f>IFERROR(VLOOKUP(TTrainingSource[[#This Row],[Employee_ID]],THrList[],3,FALSE),"")</f>
        <v>HASSAN</v>
      </c>
      <c r="D497" t="str">
        <f>IFERROR(VLOOKUP(TTrainingSource[[#This Row],[Employee_ID]],THrList[],4,FALSE),"")</f>
        <v>Noah</v>
      </c>
      <c r="E497" t="str">
        <f>IFERROR(VLOOKUP(TTrainingSource[[#This Row],[Employee_ID]],THrList[],10,FALSE),"")</f>
        <v>Marketing</v>
      </c>
      <c r="F497" t="str">
        <f>TRIM(PROPER(TTrainingSource[[#This Row],[Training_Status2]]))</f>
        <v>Completed</v>
      </c>
      <c r="G497" t="s">
        <v>17</v>
      </c>
      <c r="H497" t="str">
        <f>TRIM(PROPER(TTrainingSource[[#This Row],[Training_Title2]]))</f>
        <v>Advanced Excel For Business</v>
      </c>
      <c r="I497" t="s">
        <v>52</v>
      </c>
      <c r="J497" s="1">
        <v>45617</v>
      </c>
      <c r="K497" t="s">
        <v>32</v>
      </c>
      <c r="L497" s="7">
        <v>40</v>
      </c>
      <c r="M497">
        <f>ROUND(TTrainingSource[[#This Row],[Satisfaction_Score2]],0)</f>
        <v>4</v>
      </c>
      <c r="N497">
        <v>4</v>
      </c>
    </row>
    <row r="498" spans="1:14" x14ac:dyDescent="0.3">
      <c r="A498" t="s">
        <v>382</v>
      </c>
      <c r="B498" t="str">
        <f>TRIM(TTrainingSource[[#This Row],[EMPloyee_ID2]])</f>
        <v>EMP10245</v>
      </c>
      <c r="C498" t="str">
        <f>IFERROR(VLOOKUP(TTrainingSource[[#This Row],[Employee_ID]],THrList[],3,FALSE),"")</f>
        <v>HASSAN</v>
      </c>
      <c r="D498" t="str">
        <f>IFERROR(VLOOKUP(TTrainingSource[[#This Row],[Employee_ID]],THrList[],4,FALSE),"")</f>
        <v>Noah</v>
      </c>
      <c r="E498" t="str">
        <f>IFERROR(VLOOKUP(TTrainingSource[[#This Row],[Employee_ID]],THrList[],10,FALSE),"")</f>
        <v>Marketing</v>
      </c>
      <c r="F498" t="str">
        <f>TRIM(PROPER(TTrainingSource[[#This Row],[Training_Status2]]))</f>
        <v>Completed</v>
      </c>
      <c r="G498" t="s">
        <v>17</v>
      </c>
      <c r="H498" t="str">
        <f>TRIM(PROPER(TTrainingSource[[#This Row],[Training_Title2]]))</f>
        <v>Communication For Analysts</v>
      </c>
      <c r="I498" t="s">
        <v>28</v>
      </c>
      <c r="J498" s="1">
        <v>45819</v>
      </c>
      <c r="K498" t="s">
        <v>32</v>
      </c>
      <c r="L498" s="7">
        <v>40</v>
      </c>
      <c r="M498">
        <f>ROUND(TTrainingSource[[#This Row],[Satisfaction_Score2]],0)</f>
        <v>3</v>
      </c>
      <c r="N498">
        <v>3</v>
      </c>
    </row>
    <row r="499" spans="1:14" x14ac:dyDescent="0.3">
      <c r="A499" t="s">
        <v>674</v>
      </c>
      <c r="B499" t="str">
        <f>TRIM(TTrainingSource[[#This Row],[EMPloyee_ID2]])</f>
        <v>EMP10246</v>
      </c>
      <c r="C499" t="str">
        <f>IFERROR(VLOOKUP(TTrainingSource[[#This Row],[Employee_ID]],THrList[],3,FALSE),"")</f>
        <v>SOW</v>
      </c>
      <c r="D499" t="str">
        <f>IFERROR(VLOOKUP(TTrainingSource[[#This Row],[Employee_ID]],THrList[],4,FALSE),"")</f>
        <v xml:space="preserve"> Omar</v>
      </c>
      <c r="E499" t="str">
        <f>IFERROR(VLOOKUP(TTrainingSource[[#This Row],[Employee_ID]],THrList[],10,FALSE),"")</f>
        <v>Human Resources</v>
      </c>
      <c r="F499" t="str">
        <f>TRIM(PROPER(TTrainingSource[[#This Row],[Training_Status2]]))</f>
        <v>Completed</v>
      </c>
      <c r="G499" t="s">
        <v>17</v>
      </c>
      <c r="H499" t="str">
        <f>TRIM(PROPER(TTrainingSource[[#This Row],[Training_Title2]]))</f>
        <v>Introduction To Python For Data</v>
      </c>
      <c r="I499" t="s">
        <v>62</v>
      </c>
      <c r="J499" s="1">
        <v>45400</v>
      </c>
      <c r="K499" t="s">
        <v>32</v>
      </c>
      <c r="L499" s="7">
        <v>4</v>
      </c>
      <c r="M499">
        <f>ROUND(TTrainingSource[[#This Row],[Satisfaction_Score2]],0)</f>
        <v>3</v>
      </c>
      <c r="N499">
        <v>3.1</v>
      </c>
    </row>
    <row r="500" spans="1:14" x14ac:dyDescent="0.3">
      <c r="A500" t="s">
        <v>222</v>
      </c>
      <c r="B500" t="str">
        <f>TRIM(TTrainingSource[[#This Row],[EMPloyee_ID2]])</f>
        <v>EMP10247</v>
      </c>
      <c r="C500" t="str">
        <f>IFERROR(VLOOKUP(TTrainingSource[[#This Row],[Employee_ID]],THrList[],3,FALSE),"")</f>
        <v>DIOP</v>
      </c>
      <c r="D500" t="str">
        <f>IFERROR(VLOOKUP(TTrainingSource[[#This Row],[Employee_ID]],THrList[],4,FALSE),"")</f>
        <v>Akosua</v>
      </c>
      <c r="E500" t="str">
        <f>IFERROR(VLOOKUP(TTrainingSource[[#This Row],[Employee_ID]],THrList[],10,FALSE),"")</f>
        <v>Operations</v>
      </c>
      <c r="F500" t="str">
        <f>TRIM(PROPER(TTrainingSource[[#This Row],[Training_Status2]]))</f>
        <v>Completed</v>
      </c>
      <c r="G500" t="s">
        <v>17</v>
      </c>
      <c r="H500" t="str">
        <f>TRIM(PROPER(TTrainingSource[[#This Row],[Training_Title2]]))</f>
        <v>Financial Modeling Basics</v>
      </c>
      <c r="I500" t="s">
        <v>94</v>
      </c>
      <c r="J500" s="1">
        <v>45240</v>
      </c>
      <c r="K500" t="s">
        <v>39</v>
      </c>
      <c r="L500" s="7">
        <v>0</v>
      </c>
      <c r="M500">
        <f>ROUND(TTrainingSource[[#This Row],[Satisfaction_Score2]],0)</f>
        <v>5</v>
      </c>
      <c r="N500">
        <v>4.7</v>
      </c>
    </row>
    <row r="501" spans="1:14" x14ac:dyDescent="0.3">
      <c r="A501" t="s">
        <v>222</v>
      </c>
      <c r="B501" t="str">
        <f>TRIM(TTrainingSource[[#This Row],[EMPloyee_ID2]])</f>
        <v>EMP10247</v>
      </c>
      <c r="C501" t="str">
        <f>IFERROR(VLOOKUP(TTrainingSource[[#This Row],[Employee_ID]],THrList[],3,FALSE),"")</f>
        <v>DIOP</v>
      </c>
      <c r="D501" t="str">
        <f>IFERROR(VLOOKUP(TTrainingSource[[#This Row],[Employee_ID]],THrList[],4,FALSE),"")</f>
        <v>Akosua</v>
      </c>
      <c r="E501" t="str">
        <f>IFERROR(VLOOKUP(TTrainingSource[[#This Row],[Employee_ID]],THrList[],10,FALSE),"")</f>
        <v>Operations</v>
      </c>
      <c r="F501" t="str">
        <f>TRIM(PROPER(TTrainingSource[[#This Row],[Training_Status2]]))</f>
        <v>Completed</v>
      </c>
      <c r="G501" t="s">
        <v>17</v>
      </c>
      <c r="H501" t="str">
        <f>TRIM(PROPER(TTrainingSource[[#This Row],[Training_Title2]]))</f>
        <v>Introduction To Python For Data</v>
      </c>
      <c r="I501" t="s">
        <v>307</v>
      </c>
      <c r="J501" s="1">
        <v>44727</v>
      </c>
      <c r="K501" t="s">
        <v>39</v>
      </c>
      <c r="L501" s="7">
        <v>20</v>
      </c>
      <c r="M501">
        <f>ROUND(TTrainingSource[[#This Row],[Satisfaction_Score2]],0)</f>
        <v>5</v>
      </c>
      <c r="N501">
        <v>5</v>
      </c>
    </row>
    <row r="502" spans="1:14" x14ac:dyDescent="0.3">
      <c r="A502" t="s">
        <v>222</v>
      </c>
      <c r="B502" t="str">
        <f>TRIM(TTrainingSource[[#This Row],[EMPloyee_ID2]])</f>
        <v>EMP10247</v>
      </c>
      <c r="C502" t="str">
        <f>IFERROR(VLOOKUP(TTrainingSource[[#This Row],[Employee_ID]],THrList[],3,FALSE),"")</f>
        <v>DIOP</v>
      </c>
      <c r="D502" t="str">
        <f>IFERROR(VLOOKUP(TTrainingSource[[#This Row],[Employee_ID]],THrList[],4,FALSE),"")</f>
        <v>Akosua</v>
      </c>
      <c r="E502" t="str">
        <f>IFERROR(VLOOKUP(TTrainingSource[[#This Row],[Employee_ID]],THrList[],10,FALSE),"")</f>
        <v>Operations</v>
      </c>
      <c r="F502" t="str">
        <f>TRIM(PROPER(TTrainingSource[[#This Row],[Training_Status2]]))</f>
        <v>Completed</v>
      </c>
      <c r="G502" t="s">
        <v>17</v>
      </c>
      <c r="H502" t="str">
        <f>TRIM(PROPER(TTrainingSource[[#This Row],[Training_Title2]]))</f>
        <v>Advanced Excel For Business</v>
      </c>
      <c r="I502" t="s">
        <v>124</v>
      </c>
      <c r="J502" s="1">
        <v>45722</v>
      </c>
      <c r="K502" t="s">
        <v>44</v>
      </c>
      <c r="L502" s="7">
        <v>40</v>
      </c>
      <c r="M502">
        <f>ROUND(TTrainingSource[[#This Row],[Satisfaction_Score2]],0)</f>
        <v>4</v>
      </c>
      <c r="N502">
        <v>4.4000000000000004</v>
      </c>
    </row>
    <row r="503" spans="1:14" x14ac:dyDescent="0.3">
      <c r="A503" t="s">
        <v>59</v>
      </c>
      <c r="B503" t="str">
        <f>TRIM(TTrainingSource[[#This Row],[EMPloyee_ID2]])</f>
        <v>EMP10248</v>
      </c>
      <c r="C503" t="str">
        <f>IFERROR(VLOOKUP(TTrainingSource[[#This Row],[Employee_ID]],THrList[],3,FALSE),"")</f>
        <v>JACKSON</v>
      </c>
      <c r="D503" t="str">
        <f>IFERROR(VLOOKUP(TTrainingSource[[#This Row],[Employee_ID]],THrList[],4,FALSE),"")</f>
        <v>Emily</v>
      </c>
      <c r="E503" t="str">
        <f>IFERROR(VLOOKUP(TTrainingSource[[#This Row],[Employee_ID]],THrList[],10,FALSE),"")</f>
        <v>IT</v>
      </c>
      <c r="F503" t="str">
        <f>TRIM(PROPER(TTrainingSource[[#This Row],[Training_Status2]]))</f>
        <v>Completed</v>
      </c>
      <c r="G503" t="s">
        <v>17</v>
      </c>
      <c r="H503" t="str">
        <f>TRIM(PROPER(TTrainingSource[[#This Row],[Training_Title2]]))</f>
        <v>Project Management Essentials</v>
      </c>
      <c r="I503" t="s">
        <v>60</v>
      </c>
      <c r="J503" s="1">
        <v>44751</v>
      </c>
      <c r="K503" t="s">
        <v>98</v>
      </c>
      <c r="L503" s="7">
        <v>4</v>
      </c>
      <c r="M503">
        <f>ROUND(TTrainingSource[[#This Row],[Satisfaction_Score2]],0)</f>
        <v>3</v>
      </c>
      <c r="N503">
        <v>2.7</v>
      </c>
    </row>
    <row r="504" spans="1:14" x14ac:dyDescent="0.3">
      <c r="A504" t="s">
        <v>59</v>
      </c>
      <c r="B504" t="str">
        <f>TRIM(TTrainingSource[[#This Row],[EMPloyee_ID2]])</f>
        <v>EMP10248</v>
      </c>
      <c r="C504" t="str">
        <f>IFERROR(VLOOKUP(TTrainingSource[[#This Row],[Employee_ID]],THrList[],3,FALSE),"")</f>
        <v>JACKSON</v>
      </c>
      <c r="D504" t="str">
        <f>IFERROR(VLOOKUP(TTrainingSource[[#This Row],[Employee_ID]],THrList[],4,FALSE),"")</f>
        <v>Emily</v>
      </c>
      <c r="E504" t="str">
        <f>IFERROR(VLOOKUP(TTrainingSource[[#This Row],[Employee_ID]],THrList[],10,FALSE),"")</f>
        <v>IT</v>
      </c>
      <c r="F504" t="str">
        <f>TRIM(PROPER(TTrainingSource[[#This Row],[Training_Status2]]))</f>
        <v>Completed</v>
      </c>
      <c r="G504" t="s">
        <v>17</v>
      </c>
      <c r="H504" t="str">
        <f>TRIM(PROPER(TTrainingSource[[#This Row],[Training_Title2]]))</f>
        <v>Customer Data Analysis</v>
      </c>
      <c r="I504" t="s">
        <v>320</v>
      </c>
      <c r="J504" s="1">
        <v>45603</v>
      </c>
      <c r="K504" t="s">
        <v>132</v>
      </c>
      <c r="L504" s="7">
        <v>8</v>
      </c>
      <c r="M504">
        <f>ROUND(TTrainingSource[[#This Row],[Satisfaction_Score2]],0)</f>
        <v>3</v>
      </c>
      <c r="N504">
        <v>3.1</v>
      </c>
    </row>
    <row r="505" spans="1:14" x14ac:dyDescent="0.3">
      <c r="A505" t="s">
        <v>59</v>
      </c>
      <c r="B505" t="str">
        <f>TRIM(TTrainingSource[[#This Row],[EMPloyee_ID2]])</f>
        <v>EMP10248</v>
      </c>
      <c r="C505" t="str">
        <f>IFERROR(VLOOKUP(TTrainingSource[[#This Row],[Employee_ID]],THrList[],3,FALSE),"")</f>
        <v>JACKSON</v>
      </c>
      <c r="D505" t="str">
        <f>IFERROR(VLOOKUP(TTrainingSource[[#This Row],[Employee_ID]],THrList[],4,FALSE),"")</f>
        <v>Emily</v>
      </c>
      <c r="E505" t="str">
        <f>IFERROR(VLOOKUP(TTrainingSource[[#This Row],[Employee_ID]],THrList[],10,FALSE),"")</f>
        <v>IT</v>
      </c>
      <c r="F505" t="str">
        <f>TRIM(PROPER(TTrainingSource[[#This Row],[Training_Status2]]))</f>
        <v>Completed</v>
      </c>
      <c r="G505" t="s">
        <v>17</v>
      </c>
      <c r="H505" t="str">
        <f>TRIM(PROPER(TTrainingSource[[#This Row],[Training_Title2]]))</f>
        <v>Sql For Data Analytics</v>
      </c>
      <c r="I505" t="s">
        <v>277</v>
      </c>
      <c r="J505" s="1">
        <v>45389</v>
      </c>
      <c r="K505" t="s">
        <v>98</v>
      </c>
      <c r="L505" s="7">
        <v>24</v>
      </c>
      <c r="M505">
        <f>ROUND(TTrainingSource[[#This Row],[Satisfaction_Score2]],0)</f>
        <v>4</v>
      </c>
      <c r="N505">
        <v>4.0999999999999996</v>
      </c>
    </row>
    <row r="506" spans="1:14" x14ac:dyDescent="0.3">
      <c r="A506" t="s">
        <v>966</v>
      </c>
      <c r="B506" t="str">
        <f>TRIM(TTrainingSource[[#This Row],[EMPloyee_ID2]])</f>
        <v>EMP10250</v>
      </c>
      <c r="C506" t="str">
        <f>IFERROR(VLOOKUP(TTrainingSource[[#This Row],[Employee_ID]],THrList[],3,FALSE),"")</f>
        <v>RODRIGUEZ</v>
      </c>
      <c r="D506" t="str">
        <f>IFERROR(VLOOKUP(TTrainingSource[[#This Row],[Employee_ID]],THrList[],4,FALSE),"")</f>
        <v>Mia</v>
      </c>
      <c r="E506" t="str">
        <f>IFERROR(VLOOKUP(TTrainingSource[[#This Row],[Employee_ID]],THrList[],10,FALSE),"")</f>
        <v>Finance</v>
      </c>
      <c r="F506" t="str">
        <f>TRIM(PROPER(TTrainingSource[[#This Row],[Training_Status2]]))</f>
        <v>In Progress</v>
      </c>
      <c r="G506" t="s">
        <v>8</v>
      </c>
      <c r="H506" t="str">
        <f>TRIM(PROPER(TTrainingSource[[#This Row],[Training_Title2]]))</f>
        <v>Project Management Essentials</v>
      </c>
      <c r="I506" t="s">
        <v>14</v>
      </c>
      <c r="J506" s="1">
        <v>45219</v>
      </c>
      <c r="K506" t="s">
        <v>29</v>
      </c>
      <c r="L506" s="7">
        <v>4</v>
      </c>
      <c r="M506">
        <f>ROUND(TTrainingSource[[#This Row],[Satisfaction_Score2]],0)</f>
        <v>3</v>
      </c>
      <c r="N506">
        <v>2.8</v>
      </c>
    </row>
    <row r="507" spans="1:14" x14ac:dyDescent="0.3">
      <c r="A507" t="s">
        <v>760</v>
      </c>
      <c r="B507" t="str">
        <f>TRIM(TTrainingSource[[#This Row],[EMPloyee_ID2]])</f>
        <v>EMP10251</v>
      </c>
      <c r="C507" t="str">
        <f>IFERROR(VLOOKUP(TTrainingSource[[#This Row],[Employee_ID]],THrList[],3,FALSE),"")</f>
        <v>IBRAHIM</v>
      </c>
      <c r="D507" t="str">
        <f>IFERROR(VLOOKUP(TTrainingSource[[#This Row],[Employee_ID]],THrList[],4,FALSE),"")</f>
        <v>Sophie</v>
      </c>
      <c r="E507" t="str">
        <f>IFERROR(VLOOKUP(TTrainingSource[[#This Row],[Employee_ID]],THrList[],10,FALSE),"")</f>
        <v>IT</v>
      </c>
      <c r="F507" t="str">
        <f>TRIM(PROPER(TTrainingSource[[#This Row],[Training_Status2]]))</f>
        <v>In Progress</v>
      </c>
      <c r="G507" t="s">
        <v>8</v>
      </c>
      <c r="H507" t="str">
        <f>TRIM(PROPER(TTrainingSource[[#This Row],[Training_Title2]]))</f>
        <v>Project Management Essentials</v>
      </c>
      <c r="I507" t="s">
        <v>224</v>
      </c>
      <c r="J507" s="1">
        <v>45284</v>
      </c>
      <c r="K507" t="s">
        <v>46</v>
      </c>
      <c r="L507" s="7">
        <v>6</v>
      </c>
      <c r="M507">
        <f>ROUND(TTrainingSource[[#This Row],[Satisfaction_Score2]],0)</f>
        <v>4</v>
      </c>
      <c r="N507">
        <v>4.3</v>
      </c>
    </row>
    <row r="508" spans="1:14" x14ac:dyDescent="0.3">
      <c r="A508" t="s">
        <v>13</v>
      </c>
      <c r="B508" t="str">
        <f>TRIM(TTrainingSource[[#This Row],[EMPloyee_ID2]])</f>
        <v>EMP10252</v>
      </c>
      <c r="C508" t="str">
        <f>IFERROR(VLOOKUP(TTrainingSource[[#This Row],[Employee_ID]],THrList[],3,FALSE),"")</f>
        <v>KIM</v>
      </c>
      <c r="D508" t="str">
        <f>IFERROR(VLOOKUP(TTrainingSource[[#This Row],[Employee_ID]],THrList[],4,FALSE),"")</f>
        <v>Chinedu</v>
      </c>
      <c r="E508" t="str">
        <f>IFERROR(VLOOKUP(TTrainingSource[[#This Row],[Employee_ID]],THrList[],10,FALSE),"")</f>
        <v>Finance</v>
      </c>
      <c r="F508" t="str">
        <f>TRIM(PROPER(TTrainingSource[[#This Row],[Training_Status2]]))</f>
        <v>In Progress</v>
      </c>
      <c r="G508" t="s">
        <v>8</v>
      </c>
      <c r="H508" t="str">
        <f>TRIM(PROPER(TTrainingSource[[#This Row],[Training_Title2]]))</f>
        <v>Project Management Essentials</v>
      </c>
      <c r="I508" t="s">
        <v>14</v>
      </c>
      <c r="J508" s="1">
        <v>45806</v>
      </c>
      <c r="K508" t="s">
        <v>15</v>
      </c>
      <c r="L508" s="7">
        <v>8</v>
      </c>
      <c r="M508">
        <f>ROUND(TTrainingSource[[#This Row],[Satisfaction_Score2]],0)</f>
        <v>4</v>
      </c>
      <c r="N508">
        <v>4</v>
      </c>
    </row>
    <row r="509" spans="1:14" x14ac:dyDescent="0.3">
      <c r="A509" t="s">
        <v>13</v>
      </c>
      <c r="B509" t="str">
        <f>TRIM(TTrainingSource[[#This Row],[EMPloyee_ID2]])</f>
        <v>EMP10252</v>
      </c>
      <c r="C509" t="str">
        <f>IFERROR(VLOOKUP(TTrainingSource[[#This Row],[Employee_ID]],THrList[],3,FALSE),"")</f>
        <v>KIM</v>
      </c>
      <c r="D509" t="str">
        <f>IFERROR(VLOOKUP(TTrainingSource[[#This Row],[Employee_ID]],THrList[],4,FALSE),"")</f>
        <v>Chinedu</v>
      </c>
      <c r="E509" t="str">
        <f>IFERROR(VLOOKUP(TTrainingSource[[#This Row],[Employee_ID]],THrList[],10,FALSE),"")</f>
        <v>Finance</v>
      </c>
      <c r="F509" t="str">
        <f>TRIM(PROPER(TTrainingSource[[#This Row],[Training_Status2]]))</f>
        <v>Completed</v>
      </c>
      <c r="G509" t="s">
        <v>17</v>
      </c>
      <c r="H509" t="str">
        <f>TRIM(PROPER(TTrainingSource[[#This Row],[Training_Title2]]))</f>
        <v>Financial Modeling Basics</v>
      </c>
      <c r="I509" t="s">
        <v>38</v>
      </c>
      <c r="J509" s="1">
        <v>45484</v>
      </c>
      <c r="K509" t="s">
        <v>46</v>
      </c>
      <c r="L509" s="7">
        <v>0</v>
      </c>
      <c r="M509">
        <f>ROUND(TTrainingSource[[#This Row],[Satisfaction_Score2]],0)</f>
        <v>3</v>
      </c>
      <c r="N509">
        <v>3</v>
      </c>
    </row>
    <row r="510" spans="1:14" x14ac:dyDescent="0.3">
      <c r="A510" t="s">
        <v>13</v>
      </c>
      <c r="B510" t="str">
        <f>TRIM(TTrainingSource[[#This Row],[EMPloyee_ID2]])</f>
        <v>EMP10252</v>
      </c>
      <c r="C510" t="str">
        <f>IFERROR(VLOOKUP(TTrainingSource[[#This Row],[Employee_ID]],THrList[],3,FALSE),"")</f>
        <v>KIM</v>
      </c>
      <c r="D510" t="str">
        <f>IFERROR(VLOOKUP(TTrainingSource[[#This Row],[Employee_ID]],THrList[],4,FALSE),"")</f>
        <v>Chinedu</v>
      </c>
      <c r="E510" t="str">
        <f>IFERROR(VLOOKUP(TTrainingSource[[#This Row],[Employee_ID]],THrList[],10,FALSE),"")</f>
        <v>Finance</v>
      </c>
      <c r="F510" t="str">
        <f>TRIM(PROPER(TTrainingSource[[#This Row],[Training_Status2]]))</f>
        <v>In Progress</v>
      </c>
      <c r="G510" t="s">
        <v>8</v>
      </c>
      <c r="H510" t="str">
        <f>TRIM(PROPER(TTrainingSource[[#This Row],[Training_Title2]]))</f>
        <v>Data Visualization Best Practices</v>
      </c>
      <c r="I510" t="s">
        <v>20</v>
      </c>
      <c r="J510" s="1">
        <v>45383</v>
      </c>
      <c r="K510" t="s">
        <v>98</v>
      </c>
      <c r="L510" s="7">
        <v>4</v>
      </c>
      <c r="M510">
        <f>ROUND(TTrainingSource[[#This Row],[Satisfaction_Score2]],0)</f>
        <v>5</v>
      </c>
      <c r="N510">
        <v>4.9000000000000004</v>
      </c>
    </row>
    <row r="511" spans="1:14" x14ac:dyDescent="0.3">
      <c r="A511" t="s">
        <v>762</v>
      </c>
      <c r="B511" t="str">
        <f>TRIM(TTrainingSource[[#This Row],[EMPloyee_ID2]])</f>
        <v>EMP10253</v>
      </c>
      <c r="C511" t="str">
        <f>IFERROR(VLOOKUP(TTrainingSource[[#This Row],[Employee_ID]],THrList[],3,FALSE),"")</f>
        <v>DIOP</v>
      </c>
      <c r="D511" t="str">
        <f>IFERROR(VLOOKUP(TTrainingSource[[#This Row],[Employee_ID]],THrList[],4,FALSE),"")</f>
        <v>Ama</v>
      </c>
      <c r="E511" t="str">
        <f>IFERROR(VLOOKUP(TTrainingSource[[#This Row],[Employee_ID]],THrList[],10,FALSE),"")</f>
        <v>IT</v>
      </c>
      <c r="F511" t="str">
        <f>TRIM(PROPER(TTrainingSource[[#This Row],[Training_Status2]]))</f>
        <v>Completed</v>
      </c>
      <c r="G511" t="s">
        <v>17</v>
      </c>
      <c r="H511" t="str">
        <f>TRIM(PROPER(TTrainingSource[[#This Row],[Training_Title2]]))</f>
        <v>Digital Marketing Strategy</v>
      </c>
      <c r="I511" t="s">
        <v>43</v>
      </c>
      <c r="J511" s="1">
        <v>45218</v>
      </c>
      <c r="K511" t="s">
        <v>98</v>
      </c>
      <c r="L511" s="7">
        <v>20</v>
      </c>
      <c r="M511">
        <f>ROUND(TTrainingSource[[#This Row],[Satisfaction_Score2]],0)</f>
        <v>4</v>
      </c>
      <c r="N511">
        <v>4.0999999999999996</v>
      </c>
    </row>
    <row r="512" spans="1:14" x14ac:dyDescent="0.3">
      <c r="A512" t="s">
        <v>555</v>
      </c>
      <c r="B512" t="str">
        <f>TRIM(TTrainingSource[[#This Row],[EMPloyee_ID2]])</f>
        <v>EMP10254</v>
      </c>
      <c r="C512" t="str">
        <f>IFERROR(VLOOKUP(TTrainingSource[[#This Row],[Employee_ID]],THrList[],3,FALSE),"")</f>
        <v>WILLIAMS</v>
      </c>
      <c r="D512" t="str">
        <f>IFERROR(VLOOKUP(TTrainingSource[[#This Row],[Employee_ID]],THrList[],4,FALSE),"")</f>
        <v>Claire</v>
      </c>
      <c r="E512" t="str">
        <f>IFERROR(VLOOKUP(TTrainingSource[[#This Row],[Employee_ID]],THrList[],10,FALSE),"")</f>
        <v>Customer Support</v>
      </c>
      <c r="F512" t="str">
        <f>TRIM(PROPER(TTrainingSource[[#This Row],[Training_Status2]]))</f>
        <v>Completed</v>
      </c>
      <c r="G512" t="s">
        <v>17</v>
      </c>
      <c r="H512" t="str">
        <f>TRIM(PROPER(TTrainingSource[[#This Row],[Training_Title2]]))</f>
        <v>Introduction To Python For Data</v>
      </c>
      <c r="I512" t="s">
        <v>62</v>
      </c>
      <c r="J512" s="1">
        <v>45803</v>
      </c>
      <c r="K512" t="s">
        <v>42</v>
      </c>
      <c r="L512" s="7">
        <v>20</v>
      </c>
      <c r="M512">
        <f>ROUND(TTrainingSource[[#This Row],[Satisfaction_Score2]],0)</f>
        <v>5</v>
      </c>
      <c r="N512">
        <v>4.8</v>
      </c>
    </row>
    <row r="513" spans="1:14" x14ac:dyDescent="0.3">
      <c r="A513" t="s">
        <v>555</v>
      </c>
      <c r="B513" t="str">
        <f>TRIM(TTrainingSource[[#This Row],[EMPloyee_ID2]])</f>
        <v>EMP10254</v>
      </c>
      <c r="C513" t="str">
        <f>IFERROR(VLOOKUP(TTrainingSource[[#This Row],[Employee_ID]],THrList[],3,FALSE),"")</f>
        <v>WILLIAMS</v>
      </c>
      <c r="D513" t="str">
        <f>IFERROR(VLOOKUP(TTrainingSource[[#This Row],[Employee_ID]],THrList[],4,FALSE),"")</f>
        <v>Claire</v>
      </c>
      <c r="E513" t="str">
        <f>IFERROR(VLOOKUP(TTrainingSource[[#This Row],[Employee_ID]],THrList[],10,FALSE),"")</f>
        <v>Customer Support</v>
      </c>
      <c r="F513" t="str">
        <f>TRIM(PROPER(TTrainingSource[[#This Row],[Training_Status2]]))</f>
        <v>Planned</v>
      </c>
      <c r="G513" t="s">
        <v>19</v>
      </c>
      <c r="H513" t="str">
        <f>TRIM(PROPER(TTrainingSource[[#This Row],[Training_Title2]]))</f>
        <v>Data Visualization Best Practices</v>
      </c>
      <c r="I513" t="s">
        <v>20</v>
      </c>
      <c r="J513" s="1">
        <v>44700</v>
      </c>
      <c r="K513" t="s">
        <v>39</v>
      </c>
      <c r="L513" s="7">
        <v>4</v>
      </c>
      <c r="M513">
        <f>ROUND(TTrainingSource[[#This Row],[Satisfaction_Score2]],0)</f>
        <v>3</v>
      </c>
      <c r="N513">
        <v>2.9</v>
      </c>
    </row>
    <row r="514" spans="1:14" x14ac:dyDescent="0.3">
      <c r="A514" t="s">
        <v>745</v>
      </c>
      <c r="B514" t="str">
        <f>TRIM(TTrainingSource[[#This Row],[EMPloyee_ID2]])</f>
        <v>EMP10255</v>
      </c>
      <c r="C514" t="str">
        <f>IFERROR(VLOOKUP(TTrainingSource[[#This Row],[Employee_ID]],THrList[],3,FALSE),"")</f>
        <v>LAURENT</v>
      </c>
      <c r="D514" t="str">
        <f>IFERROR(VLOOKUP(TTrainingSource[[#This Row],[Employee_ID]],THrList[],4,FALSE),"")</f>
        <v>Harper</v>
      </c>
      <c r="E514" t="str">
        <f>IFERROR(VLOOKUP(TTrainingSource[[#This Row],[Employee_ID]],THrList[],10,FALSE),"")</f>
        <v>Operations</v>
      </c>
      <c r="F514" t="str">
        <f>TRIM(PROPER(TTrainingSource[[#This Row],[Training_Status2]]))</f>
        <v>Completed</v>
      </c>
      <c r="G514" t="s">
        <v>17</v>
      </c>
      <c r="H514" t="str">
        <f>TRIM(PROPER(TTrainingSource[[#This Row],[Training_Title2]]))</f>
        <v>Data Analysis Fundamentals</v>
      </c>
      <c r="I514" t="s">
        <v>238</v>
      </c>
      <c r="J514" s="1">
        <v>45651</v>
      </c>
      <c r="K514" t="s">
        <v>44</v>
      </c>
      <c r="L514" s="7">
        <v>16</v>
      </c>
      <c r="M514">
        <f>ROUND(TTrainingSource[[#This Row],[Satisfaction_Score2]],0)</f>
        <v>4</v>
      </c>
      <c r="N514">
        <v>4.0999999999999996</v>
      </c>
    </row>
    <row r="515" spans="1:14" x14ac:dyDescent="0.3">
      <c r="A515" t="s">
        <v>745</v>
      </c>
      <c r="B515" t="str">
        <f>TRIM(TTrainingSource[[#This Row],[EMPloyee_ID2]])</f>
        <v>EMP10255</v>
      </c>
      <c r="C515" t="str">
        <f>IFERROR(VLOOKUP(TTrainingSource[[#This Row],[Employee_ID]],THrList[],3,FALSE),"")</f>
        <v>LAURENT</v>
      </c>
      <c r="D515" t="str">
        <f>IFERROR(VLOOKUP(TTrainingSource[[#This Row],[Employee_ID]],THrList[],4,FALSE),"")</f>
        <v>Harper</v>
      </c>
      <c r="E515" t="str">
        <f>IFERROR(VLOOKUP(TTrainingSource[[#This Row],[Employee_ID]],THrList[],10,FALSE),"")</f>
        <v>Operations</v>
      </c>
      <c r="F515" t="str">
        <f>TRIM(PROPER(TTrainingSource[[#This Row],[Training_Status2]]))</f>
        <v>Planned</v>
      </c>
      <c r="G515" t="s">
        <v>10</v>
      </c>
      <c r="H515" t="str">
        <f>TRIM(PROPER(TTrainingSource[[#This Row],[Training_Title2]]))</f>
        <v>Power Bi Reporting</v>
      </c>
      <c r="I515" t="s">
        <v>130</v>
      </c>
      <c r="J515" s="1">
        <v>45911</v>
      </c>
      <c r="K515" t="s">
        <v>15</v>
      </c>
      <c r="L515" s="7">
        <v>6</v>
      </c>
      <c r="M515">
        <f>ROUND(TTrainingSource[[#This Row],[Satisfaction_Score2]],0)</f>
        <v>3</v>
      </c>
      <c r="N515">
        <v>2.7</v>
      </c>
    </row>
    <row r="516" spans="1:14" x14ac:dyDescent="0.3">
      <c r="A516" t="s">
        <v>745</v>
      </c>
      <c r="B516" t="str">
        <f>TRIM(TTrainingSource[[#This Row],[EMPloyee_ID2]])</f>
        <v>EMP10255</v>
      </c>
      <c r="C516" t="str">
        <f>IFERROR(VLOOKUP(TTrainingSource[[#This Row],[Employee_ID]],THrList[],3,FALSE),"")</f>
        <v>LAURENT</v>
      </c>
      <c r="D516" t="str">
        <f>IFERROR(VLOOKUP(TTrainingSource[[#This Row],[Employee_ID]],THrList[],4,FALSE),"")</f>
        <v>Harper</v>
      </c>
      <c r="E516" t="str">
        <f>IFERROR(VLOOKUP(TTrainingSource[[#This Row],[Employee_ID]],THrList[],10,FALSE),"")</f>
        <v>Operations</v>
      </c>
      <c r="F516" t="str">
        <f>TRIM(PROPER(TTrainingSource[[#This Row],[Training_Status2]]))</f>
        <v>In Progress</v>
      </c>
      <c r="G516" t="s">
        <v>8</v>
      </c>
      <c r="H516" t="str">
        <f>TRIM(PROPER(TTrainingSource[[#This Row],[Training_Title2]]))</f>
        <v>Customer Data Analysis</v>
      </c>
      <c r="I516" t="s">
        <v>31</v>
      </c>
      <c r="J516" s="1">
        <v>45012</v>
      </c>
      <c r="K516" t="s">
        <v>32</v>
      </c>
      <c r="L516" s="7">
        <v>20</v>
      </c>
      <c r="M516">
        <f>ROUND(TTrainingSource[[#This Row],[Satisfaction_Score2]],0)</f>
        <v>3</v>
      </c>
      <c r="N516">
        <v>2.9</v>
      </c>
    </row>
    <row r="517" spans="1:14" x14ac:dyDescent="0.3">
      <c r="A517" t="s">
        <v>392</v>
      </c>
      <c r="B517" t="str">
        <f>TRIM(TTrainingSource[[#This Row],[EMPloyee_ID2]])</f>
        <v>EMP10256</v>
      </c>
      <c r="C517" t="str">
        <f>IFERROR(VLOOKUP(TTrainingSource[[#This Row],[Employee_ID]],THrList[],3,FALSE),"")</f>
        <v>JONES</v>
      </c>
      <c r="D517" t="str">
        <f>IFERROR(VLOOKUP(TTrainingSource[[#This Row],[Employee_ID]],THrList[],4,FALSE),"")</f>
        <v>James</v>
      </c>
      <c r="E517" t="str">
        <f>IFERROR(VLOOKUP(TTrainingSource[[#This Row],[Employee_ID]],THrList[],10,FALSE),"")</f>
        <v>Human Resources</v>
      </c>
      <c r="F517" t="str">
        <f>TRIM(PROPER(TTrainingSource[[#This Row],[Training_Status2]]))</f>
        <v>Planned</v>
      </c>
      <c r="G517" t="s">
        <v>19</v>
      </c>
      <c r="H517" t="str">
        <f>TRIM(PROPER(TTrainingSource[[#This Row],[Training_Title2]]))</f>
        <v>Customer Data Analysis</v>
      </c>
      <c r="I517" t="s">
        <v>31</v>
      </c>
      <c r="J517" s="1">
        <v>44718</v>
      </c>
      <c r="K517" t="s">
        <v>29</v>
      </c>
      <c r="L517" s="7">
        <v>32</v>
      </c>
      <c r="M517">
        <f>ROUND(TTrainingSource[[#This Row],[Satisfaction_Score2]],0)</f>
        <v>5</v>
      </c>
      <c r="N517">
        <v>5</v>
      </c>
    </row>
    <row r="518" spans="1:14" x14ac:dyDescent="0.3">
      <c r="A518" t="s">
        <v>392</v>
      </c>
      <c r="B518" t="str">
        <f>TRIM(TTrainingSource[[#This Row],[EMPloyee_ID2]])</f>
        <v>EMP10256</v>
      </c>
      <c r="C518" t="str">
        <f>IFERROR(VLOOKUP(TTrainingSource[[#This Row],[Employee_ID]],THrList[],3,FALSE),"")</f>
        <v>JONES</v>
      </c>
      <c r="D518" t="str">
        <f>IFERROR(VLOOKUP(TTrainingSource[[#This Row],[Employee_ID]],THrList[],4,FALSE),"")</f>
        <v>James</v>
      </c>
      <c r="E518" t="str">
        <f>IFERROR(VLOOKUP(TTrainingSource[[#This Row],[Employee_ID]],THrList[],10,FALSE),"")</f>
        <v>Human Resources</v>
      </c>
      <c r="F518" t="str">
        <f>TRIM(PROPER(TTrainingSource[[#This Row],[Training_Status2]]))</f>
        <v>Planned</v>
      </c>
      <c r="G518" t="s">
        <v>19</v>
      </c>
      <c r="H518" t="str">
        <f>TRIM(PROPER(TTrainingSource[[#This Row],[Training_Title2]]))</f>
        <v>Data Visualization Best Practices</v>
      </c>
      <c r="I518" t="s">
        <v>20</v>
      </c>
      <c r="J518" s="1">
        <v>45148</v>
      </c>
      <c r="K518" t="s">
        <v>71</v>
      </c>
      <c r="L518" s="7">
        <v>4</v>
      </c>
      <c r="M518">
        <f>ROUND(TTrainingSource[[#This Row],[Satisfaction_Score2]],0)</f>
        <v>3</v>
      </c>
      <c r="N518">
        <v>3.3</v>
      </c>
    </row>
    <row r="519" spans="1:14" x14ac:dyDescent="0.3">
      <c r="A519" t="s">
        <v>392</v>
      </c>
      <c r="B519" t="str">
        <f>TRIM(TTrainingSource[[#This Row],[EMPloyee_ID2]])</f>
        <v>EMP10256</v>
      </c>
      <c r="C519" t="str">
        <f>IFERROR(VLOOKUP(TTrainingSource[[#This Row],[Employee_ID]],THrList[],3,FALSE),"")</f>
        <v>JONES</v>
      </c>
      <c r="D519" t="str">
        <f>IFERROR(VLOOKUP(TTrainingSource[[#This Row],[Employee_ID]],THrList[],4,FALSE),"")</f>
        <v>James</v>
      </c>
      <c r="E519" t="str">
        <f>IFERROR(VLOOKUP(TTrainingSource[[#This Row],[Employee_ID]],THrList[],10,FALSE),"")</f>
        <v>Human Resources</v>
      </c>
      <c r="F519" t="str">
        <f>TRIM(PROPER(TTrainingSource[[#This Row],[Training_Status2]]))</f>
        <v>In Progress</v>
      </c>
      <c r="G519" t="s">
        <v>8</v>
      </c>
      <c r="H519" t="str">
        <f>TRIM(PROPER(TTrainingSource[[#This Row],[Training_Title2]]))</f>
        <v>Business Intelligence With Tableau</v>
      </c>
      <c r="I519" t="s">
        <v>517</v>
      </c>
      <c r="J519" s="1">
        <v>44949</v>
      </c>
      <c r="K519" t="s">
        <v>42</v>
      </c>
      <c r="L519" s="7">
        <v>16</v>
      </c>
      <c r="M519">
        <f>ROUND(TTrainingSource[[#This Row],[Satisfaction_Score2]],0)</f>
        <v>3</v>
      </c>
      <c r="N519">
        <v>3.1</v>
      </c>
    </row>
    <row r="520" spans="1:14" x14ac:dyDescent="0.3">
      <c r="A520" t="s">
        <v>635</v>
      </c>
      <c r="B520" t="str">
        <f>TRIM(TTrainingSource[[#This Row],[EMPloyee_ID2]])</f>
        <v>EMP10257</v>
      </c>
      <c r="C520" t="str">
        <f>IFERROR(VLOOKUP(TTrainingSource[[#This Row],[Employee_ID]],THrList[],3,FALSE),"")</f>
        <v>BROWN</v>
      </c>
      <c r="D520" t="str">
        <f>IFERROR(VLOOKUP(TTrainingSource[[#This Row],[Employee_ID]],THrList[],4,FALSE),"")</f>
        <v>Charlotte</v>
      </c>
      <c r="E520" t="str">
        <f>IFERROR(VLOOKUP(TTrainingSource[[#This Row],[Employee_ID]],THrList[],10,FALSE),"")</f>
        <v>Compliance</v>
      </c>
      <c r="F520" t="str">
        <f>TRIM(PROPER(TTrainingSource[[#This Row],[Training_Status2]]))</f>
        <v>Completed</v>
      </c>
      <c r="G520" t="s">
        <v>17</v>
      </c>
      <c r="H520" t="str">
        <f>TRIM(PROPER(TTrainingSource[[#This Row],[Training_Title2]]))</f>
        <v>Data Analysis Fundamentals</v>
      </c>
      <c r="I520" t="s">
        <v>9</v>
      </c>
      <c r="J520" s="1">
        <v>45387</v>
      </c>
      <c r="K520" t="s">
        <v>15</v>
      </c>
      <c r="L520" s="7">
        <v>32</v>
      </c>
      <c r="M520">
        <f>ROUND(TTrainingSource[[#This Row],[Satisfaction_Score2]],0)</f>
        <v>3</v>
      </c>
      <c r="N520">
        <v>2.5</v>
      </c>
    </row>
    <row r="521" spans="1:14" x14ac:dyDescent="0.3">
      <c r="A521" t="s">
        <v>635</v>
      </c>
      <c r="B521" t="str">
        <f>TRIM(TTrainingSource[[#This Row],[EMPloyee_ID2]])</f>
        <v>EMP10257</v>
      </c>
      <c r="C521" t="str">
        <f>IFERROR(VLOOKUP(TTrainingSource[[#This Row],[Employee_ID]],THrList[],3,FALSE),"")</f>
        <v>BROWN</v>
      </c>
      <c r="D521" t="str">
        <f>IFERROR(VLOOKUP(TTrainingSource[[#This Row],[Employee_ID]],THrList[],4,FALSE),"")</f>
        <v>Charlotte</v>
      </c>
      <c r="E521" t="str">
        <f>IFERROR(VLOOKUP(TTrainingSource[[#This Row],[Employee_ID]],THrList[],10,FALSE),"")</f>
        <v>Compliance</v>
      </c>
      <c r="F521" t="str">
        <f>TRIM(PROPER(TTrainingSource[[#This Row],[Training_Status2]]))</f>
        <v>In Progress</v>
      </c>
      <c r="G521" t="s">
        <v>8</v>
      </c>
      <c r="H521" t="str">
        <f>TRIM(PROPER(TTrainingSource[[#This Row],[Training_Title2]]))</f>
        <v>Data Analysis Fundamentals</v>
      </c>
      <c r="I521" t="s">
        <v>9</v>
      </c>
      <c r="J521" s="1">
        <v>44857</v>
      </c>
      <c r="K521" t="s">
        <v>132</v>
      </c>
      <c r="L521" s="7">
        <v>0</v>
      </c>
      <c r="M521">
        <f>ROUND(TTrainingSource[[#This Row],[Satisfaction_Score2]],0)</f>
        <v>4</v>
      </c>
      <c r="N521">
        <v>3.5</v>
      </c>
    </row>
    <row r="522" spans="1:14" x14ac:dyDescent="0.3">
      <c r="A522" t="s">
        <v>166</v>
      </c>
      <c r="B522" t="str">
        <f>TRIM(TTrainingSource[[#This Row],[EMPloyee_ID2]])</f>
        <v>EMP10258</v>
      </c>
      <c r="C522" t="str">
        <f>IFERROR(VLOOKUP(TTrainingSource[[#This Row],[Employee_ID]],THrList[],3,FALSE),"")</f>
        <v>KIM</v>
      </c>
      <c r="D522" t="str">
        <f>IFERROR(VLOOKUP(TTrainingSource[[#This Row],[Employee_ID]],THrList[],4,FALSE),"")</f>
        <v>James</v>
      </c>
      <c r="E522" t="str">
        <f>IFERROR(VLOOKUP(TTrainingSource[[#This Row],[Employee_ID]],THrList[],10,FALSE),"")</f>
        <v>Operations</v>
      </c>
      <c r="F522" t="str">
        <f>TRIM(PROPER(TTrainingSource[[#This Row],[Training_Status2]]))</f>
        <v>Completed</v>
      </c>
      <c r="G522" t="s">
        <v>69</v>
      </c>
      <c r="H522" t="str">
        <f>TRIM(PROPER(TTrainingSource[[#This Row],[Training_Title2]]))</f>
        <v>Power Bi Reporting</v>
      </c>
      <c r="I522" t="s">
        <v>24</v>
      </c>
      <c r="J522" s="1">
        <v>45055</v>
      </c>
      <c r="K522" t="s">
        <v>46</v>
      </c>
      <c r="L522" s="7">
        <v>16</v>
      </c>
      <c r="M522">
        <f>ROUND(TTrainingSource[[#This Row],[Satisfaction_Score2]],0)</f>
        <v>3</v>
      </c>
      <c r="N522">
        <v>3.3</v>
      </c>
    </row>
    <row r="523" spans="1:14" x14ac:dyDescent="0.3">
      <c r="A523" t="s">
        <v>309</v>
      </c>
      <c r="B523" t="str">
        <f>TRIM(TTrainingSource[[#This Row],[EMPloyee_ID2]])</f>
        <v>EMP10258</v>
      </c>
      <c r="C523" t="str">
        <f>IFERROR(VLOOKUP(TTrainingSource[[#This Row],[Employee_ID]],THrList[],3,FALSE),"")</f>
        <v>KIM</v>
      </c>
      <c r="D523" t="str">
        <f>IFERROR(VLOOKUP(TTrainingSource[[#This Row],[Employee_ID]],THrList[],4,FALSE),"")</f>
        <v>James</v>
      </c>
      <c r="E523" t="str">
        <f>IFERROR(VLOOKUP(TTrainingSource[[#This Row],[Employee_ID]],THrList[],10,FALSE),"")</f>
        <v>Operations</v>
      </c>
      <c r="F523" t="str">
        <f>TRIM(PROPER(TTrainingSource[[#This Row],[Training_Status2]]))</f>
        <v>In Progress</v>
      </c>
      <c r="G523" t="s">
        <v>8</v>
      </c>
      <c r="H523" t="str">
        <f>TRIM(PROPER(TTrainingSource[[#This Row],[Training_Title2]]))</f>
        <v>Data Analysis Fundamentals</v>
      </c>
      <c r="I523" t="s">
        <v>9</v>
      </c>
      <c r="J523" s="1">
        <v>45593</v>
      </c>
      <c r="K523" t="s">
        <v>12</v>
      </c>
      <c r="L523" s="7">
        <v>4</v>
      </c>
      <c r="M523">
        <f>ROUND(TTrainingSource[[#This Row],[Satisfaction_Score2]],0)</f>
        <v>3</v>
      </c>
      <c r="N523">
        <v>3.3</v>
      </c>
    </row>
    <row r="524" spans="1:14" x14ac:dyDescent="0.3">
      <c r="A524" t="s">
        <v>529</v>
      </c>
      <c r="B524" t="str">
        <f>TRIM(TTrainingSource[[#This Row],[EMPloyee_ID2]])</f>
        <v>EMP10259</v>
      </c>
      <c r="C524" t="str">
        <f>IFERROR(VLOOKUP(TTrainingSource[[#This Row],[Employee_ID]],THrList[],3,FALSE),"")</f>
        <v>DIOP</v>
      </c>
      <c r="D524" t="str">
        <f>IFERROR(VLOOKUP(TTrainingSource[[#This Row],[Employee_ID]],THrList[],4,FALSE),"")</f>
        <v>Evelyn</v>
      </c>
      <c r="E524" t="str">
        <f>IFERROR(VLOOKUP(TTrainingSource[[#This Row],[Employee_ID]],THrList[],10,FALSE),"")</f>
        <v>Procurement</v>
      </c>
      <c r="F524" t="str">
        <f>TRIM(PROPER(TTrainingSource[[#This Row],[Training_Status2]]))</f>
        <v>Planned</v>
      </c>
      <c r="G524" t="s">
        <v>19</v>
      </c>
      <c r="H524" t="str">
        <f>TRIM(PROPER(TTrainingSource[[#This Row],[Training_Title2]]))</f>
        <v>Financial Modeling Basics</v>
      </c>
      <c r="I524" t="s">
        <v>530</v>
      </c>
      <c r="J524" s="1">
        <v>45397</v>
      </c>
      <c r="K524" t="s">
        <v>46</v>
      </c>
      <c r="L524" s="7">
        <v>24</v>
      </c>
      <c r="M524">
        <f>ROUND(TTrainingSource[[#This Row],[Satisfaction_Score2]],0)</f>
        <v>5</v>
      </c>
      <c r="N524">
        <v>4.5999999999999996</v>
      </c>
    </row>
    <row r="525" spans="1:14" x14ac:dyDescent="0.3">
      <c r="A525" t="s">
        <v>529</v>
      </c>
      <c r="B525" t="str">
        <f>TRIM(TTrainingSource[[#This Row],[EMPloyee_ID2]])</f>
        <v>EMP10259</v>
      </c>
      <c r="C525" t="str">
        <f>IFERROR(VLOOKUP(TTrainingSource[[#This Row],[Employee_ID]],THrList[],3,FALSE),"")</f>
        <v>DIOP</v>
      </c>
      <c r="D525" t="str">
        <f>IFERROR(VLOOKUP(TTrainingSource[[#This Row],[Employee_ID]],THrList[],4,FALSE),"")</f>
        <v>Evelyn</v>
      </c>
      <c r="E525" t="str">
        <f>IFERROR(VLOOKUP(TTrainingSource[[#This Row],[Employee_ID]],THrList[],10,FALSE),"")</f>
        <v>Procurement</v>
      </c>
      <c r="F525" t="str">
        <f>TRIM(PROPER(TTrainingSource[[#This Row],[Training_Status2]]))</f>
        <v>In Progress</v>
      </c>
      <c r="G525" t="s">
        <v>8</v>
      </c>
      <c r="H525" t="str">
        <f>TRIM(PROPER(TTrainingSource[[#This Row],[Training_Title2]]))</f>
        <v>Sql For Data Analytics</v>
      </c>
      <c r="I525" t="s">
        <v>11</v>
      </c>
      <c r="J525" s="1">
        <v>44601</v>
      </c>
      <c r="K525" t="s">
        <v>32</v>
      </c>
      <c r="L525" s="7">
        <v>32</v>
      </c>
      <c r="M525">
        <f>ROUND(TTrainingSource[[#This Row],[Satisfaction_Score2]],0)</f>
        <v>3</v>
      </c>
      <c r="N525">
        <v>3.4</v>
      </c>
    </row>
    <row r="526" spans="1:14" x14ac:dyDescent="0.3">
      <c r="A526" t="s">
        <v>378</v>
      </c>
      <c r="B526" t="str">
        <f>TRIM(TTrainingSource[[#This Row],[EMPloyee_ID2]])</f>
        <v>EMP10260</v>
      </c>
      <c r="C526" t="str">
        <f>IFERROR(VLOOKUP(TTrainingSource[[#This Row],[Employee_ID]],THrList[],3,FALSE),"")</f>
        <v>MILLER</v>
      </c>
      <c r="D526" t="str">
        <f>IFERROR(VLOOKUP(TTrainingSource[[#This Row],[Employee_ID]],THrList[],4,FALSE),"")</f>
        <v>Nadia</v>
      </c>
      <c r="E526" t="str">
        <f>IFERROR(VLOOKUP(TTrainingSource[[#This Row],[Employee_ID]],THrList[],10,FALSE),"")</f>
        <v>IT</v>
      </c>
      <c r="F526" t="str">
        <f>TRIM(PROPER(TTrainingSource[[#This Row],[Training_Status2]]))</f>
        <v>Planned</v>
      </c>
      <c r="G526" t="s">
        <v>19</v>
      </c>
      <c r="H526" t="str">
        <f>TRIM(PROPER(TTrainingSource[[#This Row],[Training_Title2]]))</f>
        <v>Sql For Data Analytics</v>
      </c>
      <c r="I526" t="s">
        <v>26</v>
      </c>
      <c r="J526" s="1">
        <v>44845</v>
      </c>
      <c r="K526" t="s">
        <v>71</v>
      </c>
      <c r="L526" s="7">
        <v>6</v>
      </c>
      <c r="M526">
        <f>ROUND(TTrainingSource[[#This Row],[Satisfaction_Score2]],0)</f>
        <v>3</v>
      </c>
      <c r="N526">
        <v>3.2</v>
      </c>
    </row>
    <row r="527" spans="1:14" x14ac:dyDescent="0.3">
      <c r="A527" t="s">
        <v>378</v>
      </c>
      <c r="B527" t="str">
        <f>TRIM(TTrainingSource[[#This Row],[EMPloyee_ID2]])</f>
        <v>EMP10260</v>
      </c>
      <c r="C527" t="str">
        <f>IFERROR(VLOOKUP(TTrainingSource[[#This Row],[Employee_ID]],THrList[],3,FALSE),"")</f>
        <v>MILLER</v>
      </c>
      <c r="D527" t="str">
        <f>IFERROR(VLOOKUP(TTrainingSource[[#This Row],[Employee_ID]],THrList[],4,FALSE),"")</f>
        <v>Nadia</v>
      </c>
      <c r="E527" t="str">
        <f>IFERROR(VLOOKUP(TTrainingSource[[#This Row],[Employee_ID]],THrList[],10,FALSE),"")</f>
        <v>IT</v>
      </c>
      <c r="F527" t="str">
        <f>TRIM(PROPER(TTrainingSource[[#This Row],[Training_Status2]]))</f>
        <v>Completed</v>
      </c>
      <c r="G527" t="s">
        <v>17</v>
      </c>
      <c r="H527" t="str">
        <f>TRIM(PROPER(TTrainingSource[[#This Row],[Training_Title2]]))</f>
        <v>Sql For Data Analytics</v>
      </c>
      <c r="I527" t="s">
        <v>11</v>
      </c>
      <c r="J527" s="1">
        <v>44572</v>
      </c>
      <c r="K527" t="s">
        <v>29</v>
      </c>
      <c r="L527" s="7">
        <v>20</v>
      </c>
      <c r="M527">
        <f>ROUND(TTrainingSource[[#This Row],[Satisfaction_Score2]],0)</f>
        <v>4</v>
      </c>
      <c r="N527">
        <v>4.3</v>
      </c>
    </row>
    <row r="528" spans="1:14" x14ac:dyDescent="0.3">
      <c r="A528" t="s">
        <v>378</v>
      </c>
      <c r="B528" t="str">
        <f>TRIM(TTrainingSource[[#This Row],[EMPloyee_ID2]])</f>
        <v>EMP10260</v>
      </c>
      <c r="C528" t="str">
        <f>IFERROR(VLOOKUP(TTrainingSource[[#This Row],[Employee_ID]],THrList[],3,FALSE),"")</f>
        <v>MILLER</v>
      </c>
      <c r="D528" t="str">
        <f>IFERROR(VLOOKUP(TTrainingSource[[#This Row],[Employee_ID]],THrList[],4,FALSE),"")</f>
        <v>Nadia</v>
      </c>
      <c r="E528" t="str">
        <f>IFERROR(VLOOKUP(TTrainingSource[[#This Row],[Employee_ID]],THrList[],10,FALSE),"")</f>
        <v>IT</v>
      </c>
      <c r="F528" t="str">
        <f>TRIM(PROPER(TTrainingSource[[#This Row],[Training_Status2]]))</f>
        <v>Completed</v>
      </c>
      <c r="G528" t="s">
        <v>17</v>
      </c>
      <c r="H528" t="str">
        <f>TRIM(PROPER(TTrainingSource[[#This Row],[Training_Title2]]))</f>
        <v>Communication For Analysts</v>
      </c>
      <c r="I528" t="s">
        <v>28</v>
      </c>
      <c r="J528" s="1">
        <v>44577</v>
      </c>
      <c r="K528" t="s">
        <v>32</v>
      </c>
      <c r="L528" s="7">
        <v>4</v>
      </c>
      <c r="M528">
        <f>ROUND(TTrainingSource[[#This Row],[Satisfaction_Score2]],0)</f>
        <v>3</v>
      </c>
      <c r="N528">
        <v>3</v>
      </c>
    </row>
    <row r="529" spans="1:14" x14ac:dyDescent="0.3">
      <c r="A529" t="s">
        <v>487</v>
      </c>
      <c r="B529" t="str">
        <f>TRIM(TTrainingSource[[#This Row],[EMPloyee_ID2]])</f>
        <v>EMP10261</v>
      </c>
      <c r="C529" t="str">
        <f>IFERROR(VLOOKUP(TTrainingSource[[#This Row],[Employee_ID]],THrList[],3,FALSE),"")</f>
        <v>RODRIGUEZ</v>
      </c>
      <c r="D529" t="str">
        <f>IFERROR(VLOOKUP(TTrainingSource[[#This Row],[Employee_ID]],THrList[],4,FALSE),"")</f>
        <v>Ethan</v>
      </c>
      <c r="E529" t="str">
        <f>IFERROR(VLOOKUP(TTrainingSource[[#This Row],[Employee_ID]],THrList[],10,FALSE),"")</f>
        <v>Human Resources</v>
      </c>
      <c r="F529" t="str">
        <f>TRIM(PROPER(TTrainingSource[[#This Row],[Training_Status2]]))</f>
        <v>In Progress</v>
      </c>
      <c r="G529" t="s">
        <v>8</v>
      </c>
      <c r="H529" t="str">
        <f>TRIM(PROPER(TTrainingSource[[#This Row],[Training_Title2]]))</f>
        <v>Business Intelligence With Tableau</v>
      </c>
      <c r="I529" t="s">
        <v>22</v>
      </c>
      <c r="J529" s="1">
        <v>44822</v>
      </c>
      <c r="K529" t="s">
        <v>42</v>
      </c>
      <c r="L529" s="7">
        <v>16</v>
      </c>
      <c r="M529">
        <f>ROUND(TTrainingSource[[#This Row],[Satisfaction_Score2]],0)</f>
        <v>3</v>
      </c>
      <c r="N529">
        <v>2.5</v>
      </c>
    </row>
    <row r="530" spans="1:14" x14ac:dyDescent="0.3">
      <c r="A530" t="s">
        <v>578</v>
      </c>
      <c r="B530" t="str">
        <f>TRIM(TTrainingSource[[#This Row],[EMPloyee_ID2]])</f>
        <v>EMP10262</v>
      </c>
      <c r="C530" t="str">
        <f>IFERROR(VLOOKUP(TTrainingSource[[#This Row],[Employee_ID]],THrList[],3,FALSE),"")</f>
        <v>BROWN</v>
      </c>
      <c r="D530" t="str">
        <f>IFERROR(VLOOKUP(TTrainingSource[[#This Row],[Employee_ID]],THrList[],4,FALSE),"")</f>
        <v>Abigail</v>
      </c>
      <c r="E530" t="str">
        <f>IFERROR(VLOOKUP(TTrainingSource[[#This Row],[Employee_ID]],THrList[],10,FALSE),"")</f>
        <v>Sales</v>
      </c>
      <c r="F530" t="str">
        <f>TRIM(PROPER(TTrainingSource[[#This Row],[Training_Status2]]))</f>
        <v>Completed</v>
      </c>
      <c r="G530" t="s">
        <v>17</v>
      </c>
      <c r="H530" t="str">
        <f>TRIM(PROPER(TTrainingSource[[#This Row],[Training_Title2]]))</f>
        <v>Financial Modeling Basics</v>
      </c>
      <c r="I530" t="s">
        <v>94</v>
      </c>
      <c r="J530" s="1">
        <v>44579</v>
      </c>
      <c r="K530" t="s">
        <v>42</v>
      </c>
      <c r="L530" s="7">
        <v>40</v>
      </c>
      <c r="M530">
        <f>ROUND(TTrainingSource[[#This Row],[Satisfaction_Score2]],0)</f>
        <v>3</v>
      </c>
      <c r="N530">
        <v>2.8</v>
      </c>
    </row>
    <row r="531" spans="1:14" x14ac:dyDescent="0.3">
      <c r="A531" t="s">
        <v>578</v>
      </c>
      <c r="B531" t="str">
        <f>TRIM(TTrainingSource[[#This Row],[EMPloyee_ID2]])</f>
        <v>EMP10262</v>
      </c>
      <c r="C531" t="str">
        <f>IFERROR(VLOOKUP(TTrainingSource[[#This Row],[Employee_ID]],THrList[],3,FALSE),"")</f>
        <v>BROWN</v>
      </c>
      <c r="D531" t="str">
        <f>IFERROR(VLOOKUP(TTrainingSource[[#This Row],[Employee_ID]],THrList[],4,FALSE),"")</f>
        <v>Abigail</v>
      </c>
      <c r="E531" t="str">
        <f>IFERROR(VLOOKUP(TTrainingSource[[#This Row],[Employee_ID]],THrList[],10,FALSE),"")</f>
        <v>Sales</v>
      </c>
      <c r="F531" t="str">
        <f>TRIM(PROPER(TTrainingSource[[#This Row],[Training_Status2]]))</f>
        <v>Completed</v>
      </c>
      <c r="G531" t="s">
        <v>17</v>
      </c>
      <c r="H531" t="str">
        <f>TRIM(PROPER(TTrainingSource[[#This Row],[Training_Title2]]))</f>
        <v>Data Visualization Best Practices</v>
      </c>
      <c r="I531" t="s">
        <v>411</v>
      </c>
      <c r="J531" s="1">
        <v>45064</v>
      </c>
      <c r="K531" t="s">
        <v>1072</v>
      </c>
      <c r="L531" s="7">
        <v>6</v>
      </c>
      <c r="M531">
        <f>ROUND(TTrainingSource[[#This Row],[Satisfaction_Score2]],0)</f>
        <v>3</v>
      </c>
      <c r="N531">
        <v>2.8</v>
      </c>
    </row>
    <row r="532" spans="1:14" x14ac:dyDescent="0.3">
      <c r="A532" t="s">
        <v>697</v>
      </c>
      <c r="B532" t="str">
        <f>TRIM(TTrainingSource[[#This Row],[EMPloyee_ID2]])</f>
        <v>EMP10264</v>
      </c>
      <c r="C532" t="str">
        <f>IFERROR(VLOOKUP(TTrainingSource[[#This Row],[Employee_ID]],THrList[],3,FALSE),"")</f>
        <v>SOW</v>
      </c>
      <c r="D532" t="str">
        <f>IFERROR(VLOOKUP(TTrainingSource[[#This Row],[Employee_ID]],THrList[],4,FALSE),"")</f>
        <v>Camille</v>
      </c>
      <c r="E532" t="str">
        <f>IFERROR(VLOOKUP(TTrainingSource[[#This Row],[Employee_ID]],THrList[],10,FALSE),"")</f>
        <v>Finance</v>
      </c>
      <c r="F532" t="str">
        <f>TRIM(PROPER(TTrainingSource[[#This Row],[Training_Status2]]))</f>
        <v>Completed</v>
      </c>
      <c r="G532" t="s">
        <v>17</v>
      </c>
      <c r="H532" t="str">
        <f>TRIM(PROPER(TTrainingSource[[#This Row],[Training_Title2]]))</f>
        <v>Introduction To Python For Data</v>
      </c>
      <c r="I532" t="s">
        <v>62</v>
      </c>
      <c r="J532" s="1">
        <v>45162</v>
      </c>
      <c r="K532" t="s">
        <v>29</v>
      </c>
      <c r="L532" s="7">
        <v>6</v>
      </c>
      <c r="M532">
        <f>ROUND(TTrainingSource[[#This Row],[Satisfaction_Score2]],0)</f>
        <v>5</v>
      </c>
      <c r="N532">
        <v>4.5</v>
      </c>
    </row>
    <row r="533" spans="1:14" x14ac:dyDescent="0.3">
      <c r="A533" t="s">
        <v>697</v>
      </c>
      <c r="B533" t="str">
        <f>TRIM(TTrainingSource[[#This Row],[EMPloyee_ID2]])</f>
        <v>EMP10264</v>
      </c>
      <c r="C533" t="str">
        <f>IFERROR(VLOOKUP(TTrainingSource[[#This Row],[Employee_ID]],THrList[],3,FALSE),"")</f>
        <v>SOW</v>
      </c>
      <c r="D533" t="str">
        <f>IFERROR(VLOOKUP(TTrainingSource[[#This Row],[Employee_ID]],THrList[],4,FALSE),"")</f>
        <v>Camille</v>
      </c>
      <c r="E533" t="str">
        <f>IFERROR(VLOOKUP(TTrainingSource[[#This Row],[Employee_ID]],THrList[],10,FALSE),"")</f>
        <v>Finance</v>
      </c>
      <c r="F533" t="str">
        <f>TRIM(PROPER(TTrainingSource[[#This Row],[Training_Status2]]))</f>
        <v>Planned</v>
      </c>
      <c r="G533" t="s">
        <v>19</v>
      </c>
      <c r="H533" t="str">
        <f>TRIM(PROPER(TTrainingSource[[#This Row],[Training_Title2]]))</f>
        <v>Communication For Analysts</v>
      </c>
      <c r="I533" t="s">
        <v>153</v>
      </c>
      <c r="J533" s="1">
        <v>44599</v>
      </c>
      <c r="K533" t="s">
        <v>132</v>
      </c>
      <c r="L533" s="7">
        <v>32</v>
      </c>
      <c r="M533">
        <f>ROUND(TTrainingSource[[#This Row],[Satisfaction_Score2]],0)</f>
        <v>4</v>
      </c>
      <c r="N533">
        <v>4.2</v>
      </c>
    </row>
    <row r="534" spans="1:14" x14ac:dyDescent="0.3">
      <c r="A534" t="s">
        <v>171</v>
      </c>
      <c r="B534" t="str">
        <f>TRIM(TTrainingSource[[#This Row],[EMPloyee_ID2]])</f>
        <v>EMP10265</v>
      </c>
      <c r="C534" t="str">
        <f>IFERROR(VLOOKUP(TTrainingSource[[#This Row],[Employee_ID]],THrList[],3,FALSE),"")</f>
        <v>THOMAS</v>
      </c>
      <c r="D534" t="str">
        <f>IFERROR(VLOOKUP(TTrainingSource[[#This Row],[Employee_ID]],THrList[],4,FALSE),"")</f>
        <v>Nina</v>
      </c>
      <c r="E534" t="str">
        <f>IFERROR(VLOOKUP(TTrainingSource[[#This Row],[Employee_ID]],THrList[],10,FALSE),"")</f>
        <v>Sales</v>
      </c>
      <c r="F534" t="str">
        <f>TRIM(PROPER(TTrainingSource[[#This Row],[Training_Status2]]))</f>
        <v>Completed</v>
      </c>
      <c r="G534" t="s">
        <v>17</v>
      </c>
      <c r="H534" t="str">
        <f>TRIM(PROPER(TTrainingSource[[#This Row],[Training_Title2]]))</f>
        <v>Business Intelligence With Tableau</v>
      </c>
      <c r="I534" t="s">
        <v>22</v>
      </c>
      <c r="J534" s="1">
        <v>44668</v>
      </c>
      <c r="K534" t="s">
        <v>42</v>
      </c>
      <c r="L534" s="7">
        <v>24</v>
      </c>
      <c r="M534">
        <f>ROUND(TTrainingSource[[#This Row],[Satisfaction_Score2]],0)</f>
        <v>5</v>
      </c>
      <c r="N534">
        <v>4.7</v>
      </c>
    </row>
    <row r="535" spans="1:14" x14ac:dyDescent="0.3">
      <c r="A535" t="s">
        <v>171</v>
      </c>
      <c r="B535" t="str">
        <f>TRIM(TTrainingSource[[#This Row],[EMPloyee_ID2]])</f>
        <v>EMP10265</v>
      </c>
      <c r="C535" t="str">
        <f>IFERROR(VLOOKUP(TTrainingSource[[#This Row],[Employee_ID]],THrList[],3,FALSE),"")</f>
        <v>THOMAS</v>
      </c>
      <c r="D535" t="str">
        <f>IFERROR(VLOOKUP(TTrainingSource[[#This Row],[Employee_ID]],THrList[],4,FALSE),"")</f>
        <v>Nina</v>
      </c>
      <c r="E535" t="str">
        <f>IFERROR(VLOOKUP(TTrainingSource[[#This Row],[Employee_ID]],THrList[],10,FALSE),"")</f>
        <v>Sales</v>
      </c>
      <c r="F535" t="str">
        <f>TRIM(PROPER(TTrainingSource[[#This Row],[Training_Status2]]))</f>
        <v>In Progress</v>
      </c>
      <c r="G535" t="s">
        <v>8</v>
      </c>
      <c r="H535" t="str">
        <f>TRIM(PROPER(TTrainingSource[[#This Row],[Training_Title2]]))</f>
        <v>Advanced Excel For Business</v>
      </c>
      <c r="I535" t="s">
        <v>52</v>
      </c>
      <c r="J535" s="1">
        <v>45559</v>
      </c>
      <c r="K535" t="s">
        <v>98</v>
      </c>
      <c r="L535" s="7">
        <v>32</v>
      </c>
      <c r="M535">
        <f>ROUND(TTrainingSource[[#This Row],[Satisfaction_Score2]],0)</f>
        <v>4</v>
      </c>
      <c r="N535">
        <v>4.3</v>
      </c>
    </row>
    <row r="536" spans="1:14" x14ac:dyDescent="0.3">
      <c r="A536" t="s">
        <v>768</v>
      </c>
      <c r="B536" t="str">
        <f>TRIM(TTrainingSource[[#This Row],[EMPloyee_ID2]])</f>
        <v>EMP10267</v>
      </c>
      <c r="C536" t="str">
        <f>IFERROR(VLOOKUP(TTrainingSource[[#This Row],[Employee_ID]],THrList[],3,FALSE),"")</f>
        <v>MENSAH</v>
      </c>
      <c r="D536" t="str">
        <f>IFERROR(VLOOKUP(TTrainingSource[[#This Row],[Employee_ID]],THrList[],4,FALSE),"")</f>
        <v>Layla</v>
      </c>
      <c r="E536" t="str">
        <f>IFERROR(VLOOKUP(TTrainingSource[[#This Row],[Employee_ID]],THrList[],10,FALSE),"")</f>
        <v>Marketing</v>
      </c>
      <c r="F536" t="str">
        <f>TRIM(PROPER(TTrainingSource[[#This Row],[Training_Status2]]))</f>
        <v>Completed</v>
      </c>
      <c r="G536" t="s">
        <v>17</v>
      </c>
      <c r="H536" t="str">
        <f>TRIM(PROPER(TTrainingSource[[#This Row],[Training_Title2]]))</f>
        <v>Power Bi Reporting</v>
      </c>
      <c r="I536" t="s">
        <v>24</v>
      </c>
      <c r="J536" s="1">
        <v>44676</v>
      </c>
      <c r="K536" t="s">
        <v>44</v>
      </c>
      <c r="L536" s="7">
        <v>24</v>
      </c>
      <c r="M536">
        <f>ROUND(TTrainingSource[[#This Row],[Satisfaction_Score2]],0)</f>
        <v>5</v>
      </c>
      <c r="N536">
        <v>4.8</v>
      </c>
    </row>
    <row r="537" spans="1:14" x14ac:dyDescent="0.3">
      <c r="A537" t="s">
        <v>768</v>
      </c>
      <c r="B537" t="str">
        <f>TRIM(TTrainingSource[[#This Row],[EMPloyee_ID2]])</f>
        <v>EMP10267</v>
      </c>
      <c r="C537" t="str">
        <f>IFERROR(VLOOKUP(TTrainingSource[[#This Row],[Employee_ID]],THrList[],3,FALSE),"")</f>
        <v>MENSAH</v>
      </c>
      <c r="D537" t="str">
        <f>IFERROR(VLOOKUP(TTrainingSource[[#This Row],[Employee_ID]],THrList[],4,FALSE),"")</f>
        <v>Layla</v>
      </c>
      <c r="E537" t="str">
        <f>IFERROR(VLOOKUP(TTrainingSource[[#This Row],[Employee_ID]],THrList[],10,FALSE),"")</f>
        <v>Marketing</v>
      </c>
      <c r="F537" t="str">
        <f>TRIM(PROPER(TTrainingSource[[#This Row],[Training_Status2]]))</f>
        <v>Completed</v>
      </c>
      <c r="G537" t="s">
        <v>35</v>
      </c>
      <c r="H537" t="str">
        <f>TRIM(PROPER(TTrainingSource[[#This Row],[Training_Title2]]))</f>
        <v>Business Intelligence With Tableau</v>
      </c>
      <c r="I537" t="s">
        <v>162</v>
      </c>
      <c r="J537" s="1">
        <v>44615</v>
      </c>
      <c r="K537" t="s">
        <v>39</v>
      </c>
      <c r="L537" s="7">
        <v>16</v>
      </c>
      <c r="M537">
        <f>ROUND(TTrainingSource[[#This Row],[Satisfaction_Score2]],0)</f>
        <v>3</v>
      </c>
      <c r="N537">
        <v>2.7</v>
      </c>
    </row>
    <row r="538" spans="1:14" x14ac:dyDescent="0.3">
      <c r="A538" t="s">
        <v>322</v>
      </c>
      <c r="B538" t="str">
        <f>TRIM(TTrainingSource[[#This Row],[EMPloyee_ID2]])</f>
        <v>EMP10268</v>
      </c>
      <c r="C538" t="str">
        <f>IFERROR(VLOOKUP(TTrainingSource[[#This Row],[Employee_ID]],THrList[],3,FALSE),"")</f>
        <v>KONE</v>
      </c>
      <c r="D538" t="str">
        <f>IFERROR(VLOOKUP(TTrainingSource[[#This Row],[Employee_ID]],THrList[],4,FALSE),"")</f>
        <v>Harper</v>
      </c>
      <c r="E538" t="str">
        <f>IFERROR(VLOOKUP(TTrainingSource[[#This Row],[Employee_ID]],THrList[],10,FALSE),"")</f>
        <v>Sales</v>
      </c>
      <c r="F538" t="str">
        <f>TRIM(PROPER(TTrainingSource[[#This Row],[Training_Status2]]))</f>
        <v>Planned</v>
      </c>
      <c r="G538" t="s">
        <v>19</v>
      </c>
      <c r="H538" t="str">
        <f>TRIM(PROPER(TTrainingSource[[#This Row],[Training_Title2]]))</f>
        <v>Customer Data Analysis</v>
      </c>
      <c r="I538" t="s">
        <v>31</v>
      </c>
      <c r="J538" s="1">
        <v>45819</v>
      </c>
      <c r="K538" t="s">
        <v>44</v>
      </c>
      <c r="L538" s="7">
        <v>4</v>
      </c>
      <c r="M538">
        <f>ROUND(TTrainingSource[[#This Row],[Satisfaction_Score2]],0)</f>
        <v>3</v>
      </c>
      <c r="N538">
        <v>2.8</v>
      </c>
    </row>
    <row r="539" spans="1:14" x14ac:dyDescent="0.3">
      <c r="A539" t="s">
        <v>322</v>
      </c>
      <c r="B539" t="str">
        <f>TRIM(TTrainingSource[[#This Row],[EMPloyee_ID2]])</f>
        <v>EMP10268</v>
      </c>
      <c r="C539" t="str">
        <f>IFERROR(VLOOKUP(TTrainingSource[[#This Row],[Employee_ID]],THrList[],3,FALSE),"")</f>
        <v>KONE</v>
      </c>
      <c r="D539" t="str">
        <f>IFERROR(VLOOKUP(TTrainingSource[[#This Row],[Employee_ID]],THrList[],4,FALSE),"")</f>
        <v>Harper</v>
      </c>
      <c r="E539" t="str">
        <f>IFERROR(VLOOKUP(TTrainingSource[[#This Row],[Employee_ID]],THrList[],10,FALSE),"")</f>
        <v>Sales</v>
      </c>
      <c r="F539" t="str">
        <f>TRIM(PROPER(TTrainingSource[[#This Row],[Training_Status2]]))</f>
        <v>Planned</v>
      </c>
      <c r="G539" t="s">
        <v>19</v>
      </c>
      <c r="H539" t="str">
        <f>TRIM(PROPER(TTrainingSource[[#This Row],[Training_Title2]]))</f>
        <v>Communication For Analysts</v>
      </c>
      <c r="I539" t="s">
        <v>28</v>
      </c>
      <c r="J539" s="1">
        <v>44919</v>
      </c>
      <c r="K539" t="s">
        <v>32</v>
      </c>
      <c r="L539" s="7">
        <v>8</v>
      </c>
      <c r="M539">
        <f>ROUND(TTrainingSource[[#This Row],[Satisfaction_Score2]],0)</f>
        <v>3</v>
      </c>
      <c r="N539">
        <v>2.9</v>
      </c>
    </row>
    <row r="540" spans="1:14" x14ac:dyDescent="0.3">
      <c r="A540" t="s">
        <v>21</v>
      </c>
      <c r="B540" t="str">
        <f>TRIM(TTrainingSource[[#This Row],[EMPloyee_ID2]])</f>
        <v>EMP10269</v>
      </c>
      <c r="C540" t="str">
        <f>IFERROR(VLOOKUP(TTrainingSource[[#This Row],[Employee_ID]],THrList[],3,FALSE),"")</f>
        <v>SINGH</v>
      </c>
      <c r="D540" t="str">
        <f>IFERROR(VLOOKUP(TTrainingSource[[#This Row],[Employee_ID]],THrList[],4,FALSE),"")</f>
        <v xml:space="preserve">Mia </v>
      </c>
      <c r="E540" t="str">
        <f>IFERROR(VLOOKUP(TTrainingSource[[#This Row],[Employee_ID]],THrList[],10,FALSE),"")</f>
        <v>Operations</v>
      </c>
      <c r="F540" t="str">
        <f>TRIM(PROPER(TTrainingSource[[#This Row],[Training_Status2]]))</f>
        <v>Completed</v>
      </c>
      <c r="G540" t="s">
        <v>17</v>
      </c>
      <c r="H540" t="str">
        <f>TRIM(PROPER(TTrainingSource[[#This Row],[Training_Title2]]))</f>
        <v>Business Intelligence With Tableau</v>
      </c>
      <c r="I540" t="s">
        <v>22</v>
      </c>
      <c r="J540" s="1">
        <v>45718</v>
      </c>
      <c r="K540" t="s">
        <v>32</v>
      </c>
      <c r="L540" s="7">
        <v>20</v>
      </c>
      <c r="M540">
        <f>ROUND(TTrainingSource[[#This Row],[Satisfaction_Score2]],0)</f>
        <v>3</v>
      </c>
      <c r="N540">
        <v>3.3</v>
      </c>
    </row>
    <row r="541" spans="1:14" x14ac:dyDescent="0.3">
      <c r="A541" t="s">
        <v>21</v>
      </c>
      <c r="B541" t="str">
        <f>TRIM(TTrainingSource[[#This Row],[EMPloyee_ID2]])</f>
        <v>EMP10269</v>
      </c>
      <c r="C541" t="str">
        <f>IFERROR(VLOOKUP(TTrainingSource[[#This Row],[Employee_ID]],THrList[],3,FALSE),"")</f>
        <v>SINGH</v>
      </c>
      <c r="D541" t="str">
        <f>IFERROR(VLOOKUP(TTrainingSource[[#This Row],[Employee_ID]],THrList[],4,FALSE),"")</f>
        <v xml:space="preserve">Mia </v>
      </c>
      <c r="E541" t="str">
        <f>IFERROR(VLOOKUP(TTrainingSource[[#This Row],[Employee_ID]],THrList[],10,FALSE),"")</f>
        <v>Operations</v>
      </c>
      <c r="F541" t="str">
        <f>TRIM(PROPER(TTrainingSource[[#This Row],[Training_Status2]]))</f>
        <v>Completed</v>
      </c>
      <c r="G541" t="s">
        <v>17</v>
      </c>
      <c r="H541" t="str">
        <f>TRIM(PROPER(TTrainingSource[[#This Row],[Training_Title2]]))</f>
        <v>Sql For Data Analytics</v>
      </c>
      <c r="I541" t="s">
        <v>26</v>
      </c>
      <c r="J541" s="1">
        <v>45328</v>
      </c>
      <c r="K541" t="s">
        <v>46</v>
      </c>
      <c r="L541" s="7">
        <v>40</v>
      </c>
      <c r="M541">
        <f>ROUND(TTrainingSource[[#This Row],[Satisfaction_Score2]],0)</f>
        <v>4</v>
      </c>
      <c r="N541">
        <v>3.7</v>
      </c>
    </row>
    <row r="542" spans="1:14" x14ac:dyDescent="0.3">
      <c r="A542" t="s">
        <v>181</v>
      </c>
      <c r="B542" t="str">
        <f>TRIM(TTrainingSource[[#This Row],[EMPloyee_ID2]])</f>
        <v>EMP10272</v>
      </c>
      <c r="C542" t="str">
        <f>IFERROR(VLOOKUP(TTrainingSource[[#This Row],[Employee_ID]],THrList[],3,FALSE),"")</f>
        <v>GARCIA</v>
      </c>
      <c r="D542" t="str">
        <f>IFERROR(VLOOKUP(TTrainingSource[[#This Row],[Employee_ID]],THrList[],4,FALSE),"")</f>
        <v>Ngozi</v>
      </c>
      <c r="E542" t="str">
        <f>IFERROR(VLOOKUP(TTrainingSource[[#This Row],[Employee_ID]],THrList[],10,FALSE),"")</f>
        <v>Human Resources</v>
      </c>
      <c r="F542" t="str">
        <f>TRIM(PROPER(TTrainingSource[[#This Row],[Training_Status2]]))</f>
        <v>Completed</v>
      </c>
      <c r="G542" t="s">
        <v>17</v>
      </c>
      <c r="H542" t="str">
        <f>TRIM(PROPER(TTrainingSource[[#This Row],[Training_Title2]]))</f>
        <v>Project Management Essentials</v>
      </c>
      <c r="I542" t="s">
        <v>182</v>
      </c>
      <c r="J542" s="1">
        <v>45602</v>
      </c>
      <c r="K542" t="s">
        <v>44</v>
      </c>
      <c r="L542" s="7">
        <v>6</v>
      </c>
      <c r="M542">
        <f>ROUND(TTrainingSource[[#This Row],[Satisfaction_Score2]],0)</f>
        <v>4</v>
      </c>
      <c r="N542">
        <v>3.6</v>
      </c>
    </row>
    <row r="543" spans="1:14" x14ac:dyDescent="0.3">
      <c r="A543" t="s">
        <v>181</v>
      </c>
      <c r="B543" t="str">
        <f>TRIM(TTrainingSource[[#This Row],[EMPloyee_ID2]])</f>
        <v>EMP10272</v>
      </c>
      <c r="C543" t="str">
        <f>IFERROR(VLOOKUP(TTrainingSource[[#This Row],[Employee_ID]],THrList[],3,FALSE),"")</f>
        <v>GARCIA</v>
      </c>
      <c r="D543" t="str">
        <f>IFERROR(VLOOKUP(TTrainingSource[[#This Row],[Employee_ID]],THrList[],4,FALSE),"")</f>
        <v>Ngozi</v>
      </c>
      <c r="E543" t="str">
        <f>IFERROR(VLOOKUP(TTrainingSource[[#This Row],[Employee_ID]],THrList[],10,FALSE),"")</f>
        <v>Human Resources</v>
      </c>
      <c r="F543" t="str">
        <f>TRIM(PROPER(TTrainingSource[[#This Row],[Training_Status2]]))</f>
        <v>Completed</v>
      </c>
      <c r="G543" t="s">
        <v>17</v>
      </c>
      <c r="H543" t="str">
        <f>TRIM(PROPER(TTrainingSource[[#This Row],[Training_Title2]]))</f>
        <v>Business Intelligence With Tableau</v>
      </c>
      <c r="I543" t="s">
        <v>22</v>
      </c>
      <c r="J543" s="1">
        <v>45212</v>
      </c>
      <c r="K543" t="s">
        <v>46</v>
      </c>
      <c r="L543" s="7">
        <v>4</v>
      </c>
      <c r="M543">
        <f>ROUND(TTrainingSource[[#This Row],[Satisfaction_Score2]],0)</f>
        <v>3</v>
      </c>
      <c r="N543">
        <v>3.3</v>
      </c>
    </row>
    <row r="544" spans="1:14" x14ac:dyDescent="0.3">
      <c r="A544" t="s">
        <v>181</v>
      </c>
      <c r="B544" t="str">
        <f>TRIM(TTrainingSource[[#This Row],[EMPloyee_ID2]])</f>
        <v>EMP10272</v>
      </c>
      <c r="C544" t="str">
        <f>IFERROR(VLOOKUP(TTrainingSource[[#This Row],[Employee_ID]],THrList[],3,FALSE),"")</f>
        <v>GARCIA</v>
      </c>
      <c r="D544" t="str">
        <f>IFERROR(VLOOKUP(TTrainingSource[[#This Row],[Employee_ID]],THrList[],4,FALSE),"")</f>
        <v>Ngozi</v>
      </c>
      <c r="E544" t="str">
        <f>IFERROR(VLOOKUP(TTrainingSource[[#This Row],[Employee_ID]],THrList[],10,FALSE),"")</f>
        <v>Human Resources</v>
      </c>
      <c r="F544" t="str">
        <f>TRIM(PROPER(TTrainingSource[[#This Row],[Training_Status2]]))</f>
        <v>Planned</v>
      </c>
      <c r="G544" t="s">
        <v>128</v>
      </c>
      <c r="H544" t="str">
        <f>TRIM(PROPER(TTrainingSource[[#This Row],[Training_Title2]]))</f>
        <v>Advanced Excel For Business</v>
      </c>
      <c r="I544" t="s">
        <v>52</v>
      </c>
      <c r="J544" s="1">
        <v>45646</v>
      </c>
      <c r="K544" t="s">
        <v>12</v>
      </c>
      <c r="L544" s="7">
        <v>12</v>
      </c>
      <c r="M544">
        <f>ROUND(TTrainingSource[[#This Row],[Satisfaction_Score2]],0)</f>
        <v>3</v>
      </c>
      <c r="N544">
        <v>2.8</v>
      </c>
    </row>
    <row r="545" spans="1:14" x14ac:dyDescent="0.3">
      <c r="A545" t="s">
        <v>181</v>
      </c>
      <c r="B545" t="str">
        <f>TRIM(TTrainingSource[[#This Row],[EMPloyee_ID2]])</f>
        <v>EMP10272</v>
      </c>
      <c r="C545" t="str">
        <f>IFERROR(VLOOKUP(TTrainingSource[[#This Row],[Employee_ID]],THrList[],3,FALSE),"")</f>
        <v>GARCIA</v>
      </c>
      <c r="D545" t="str">
        <f>IFERROR(VLOOKUP(TTrainingSource[[#This Row],[Employee_ID]],THrList[],4,FALSE),"")</f>
        <v>Ngozi</v>
      </c>
      <c r="E545" t="str">
        <f>IFERROR(VLOOKUP(TTrainingSource[[#This Row],[Employee_ID]],THrList[],10,FALSE),"")</f>
        <v>Human Resources</v>
      </c>
      <c r="F545" t="str">
        <f>TRIM(PROPER(TTrainingSource[[#This Row],[Training_Status2]]))</f>
        <v>Completed</v>
      </c>
      <c r="G545" t="s">
        <v>17</v>
      </c>
      <c r="H545" t="str">
        <f>TRIM(PROPER(TTrainingSource[[#This Row],[Training_Title2]]))</f>
        <v>Business Intelligence With Tableau</v>
      </c>
      <c r="I545" t="s">
        <v>162</v>
      </c>
      <c r="J545" s="1">
        <v>45163</v>
      </c>
      <c r="K545" t="s">
        <v>46</v>
      </c>
      <c r="L545" s="7">
        <v>4</v>
      </c>
      <c r="M545">
        <f>ROUND(TTrainingSource[[#This Row],[Satisfaction_Score2]],0)</f>
        <v>4</v>
      </c>
      <c r="N545">
        <v>4</v>
      </c>
    </row>
    <row r="546" spans="1:14" x14ac:dyDescent="0.3">
      <c r="A546" t="s">
        <v>678</v>
      </c>
      <c r="B546" t="str">
        <f>TRIM(TTrainingSource[[#This Row],[EMPloyee_ID2]])</f>
        <v>EMP10273</v>
      </c>
      <c r="C546" t="str">
        <f>IFERROR(VLOOKUP(TTrainingSource[[#This Row],[Employee_ID]],THrList[],3,FALSE),"")</f>
        <v>DIALLO</v>
      </c>
      <c r="D546" t="str">
        <f>IFERROR(VLOOKUP(TTrainingSource[[#This Row],[Employee_ID]],THrList[],4,FALSE),"")</f>
        <v>Hugo</v>
      </c>
      <c r="E546" t="str">
        <f>IFERROR(VLOOKUP(TTrainingSource[[#This Row],[Employee_ID]],THrList[],10,FALSE),"")</f>
        <v>Marketing</v>
      </c>
      <c r="F546" t="str">
        <f>TRIM(PROPER(TTrainingSource[[#This Row],[Training_Status2]]))</f>
        <v>Completed</v>
      </c>
      <c r="G546" t="s">
        <v>17</v>
      </c>
      <c r="H546" t="str">
        <f>TRIM(PROPER(TTrainingSource[[#This Row],[Training_Title2]]))</f>
        <v>Customer Data Analysis</v>
      </c>
      <c r="I546" t="s">
        <v>31</v>
      </c>
      <c r="J546" s="1">
        <v>45132</v>
      </c>
      <c r="K546" t="s">
        <v>39</v>
      </c>
      <c r="L546" s="7">
        <v>24</v>
      </c>
      <c r="M546">
        <f>ROUND(TTrainingSource[[#This Row],[Satisfaction_Score2]],0)</f>
        <v>4</v>
      </c>
      <c r="N546">
        <v>4.4000000000000004</v>
      </c>
    </row>
    <row r="547" spans="1:14" x14ac:dyDescent="0.3">
      <c r="A547" t="s">
        <v>678</v>
      </c>
      <c r="B547" t="str">
        <f>TRIM(TTrainingSource[[#This Row],[EMPloyee_ID2]])</f>
        <v>EMP10273</v>
      </c>
      <c r="C547" t="str">
        <f>IFERROR(VLOOKUP(TTrainingSource[[#This Row],[Employee_ID]],THrList[],3,FALSE),"")</f>
        <v>DIALLO</v>
      </c>
      <c r="D547" t="str">
        <f>IFERROR(VLOOKUP(TTrainingSource[[#This Row],[Employee_ID]],THrList[],4,FALSE),"")</f>
        <v>Hugo</v>
      </c>
      <c r="E547" t="str">
        <f>IFERROR(VLOOKUP(TTrainingSource[[#This Row],[Employee_ID]],THrList[],10,FALSE),"")</f>
        <v>Marketing</v>
      </c>
      <c r="F547" t="str">
        <f>TRIM(PROPER(TTrainingSource[[#This Row],[Training_Status2]]))</f>
        <v>Planned</v>
      </c>
      <c r="G547" t="s">
        <v>10</v>
      </c>
      <c r="H547" t="str">
        <f>TRIM(PROPER(TTrainingSource[[#This Row],[Training_Title2]]))</f>
        <v>Power Bi Reporting</v>
      </c>
      <c r="I547" t="s">
        <v>24</v>
      </c>
      <c r="J547" s="1">
        <v>45751</v>
      </c>
      <c r="K547" t="s">
        <v>98</v>
      </c>
      <c r="L547" s="7">
        <v>32</v>
      </c>
      <c r="M547">
        <f>ROUND(TTrainingSource[[#This Row],[Satisfaction_Score2]],0)</f>
        <v>4</v>
      </c>
      <c r="N547">
        <v>3.9</v>
      </c>
    </row>
    <row r="548" spans="1:14" x14ac:dyDescent="0.3">
      <c r="A548" t="s">
        <v>236</v>
      </c>
      <c r="B548" t="str">
        <f>TRIM(TTrainingSource[[#This Row],[EMPloyee_ID2]])</f>
        <v>EMP10274</v>
      </c>
      <c r="C548" t="str">
        <f>IFERROR(VLOOKUP(TTrainingSource[[#This Row],[Employee_ID]],THrList[],3,FALSE),"")</f>
        <v>RODRIGUEZ</v>
      </c>
      <c r="D548" t="str">
        <f>IFERROR(VLOOKUP(TTrainingSource[[#This Row],[Employee_ID]],THrList[],4,FALSE),"")</f>
        <v>Hassan</v>
      </c>
      <c r="E548" t="str">
        <f>IFERROR(VLOOKUP(TTrainingSource[[#This Row],[Employee_ID]],THrList[],10,FALSE),"")</f>
        <v>Procurement</v>
      </c>
      <c r="F548" t="str">
        <f>TRIM(PROPER(TTrainingSource[[#This Row],[Training_Status2]]))</f>
        <v>Completed</v>
      </c>
      <c r="G548" t="s">
        <v>17</v>
      </c>
      <c r="H548" t="str">
        <f>TRIM(PROPER(TTrainingSource[[#This Row],[Training_Title2]]))</f>
        <v>Communication For Analysts</v>
      </c>
      <c r="I548" t="s">
        <v>28</v>
      </c>
      <c r="J548" s="1">
        <v>44863</v>
      </c>
      <c r="K548" t="s">
        <v>32</v>
      </c>
      <c r="L548" s="7">
        <v>24</v>
      </c>
      <c r="M548">
        <f>ROUND(TTrainingSource[[#This Row],[Satisfaction_Score2]],0)</f>
        <v>3</v>
      </c>
      <c r="N548">
        <v>3.1</v>
      </c>
    </row>
    <row r="549" spans="1:14" x14ac:dyDescent="0.3">
      <c r="A549" t="s">
        <v>377</v>
      </c>
      <c r="B549" t="str">
        <f>TRIM(TTrainingSource[[#This Row],[EMPloyee_ID2]])</f>
        <v>EMP10274</v>
      </c>
      <c r="C549" t="str">
        <f>IFERROR(VLOOKUP(TTrainingSource[[#This Row],[Employee_ID]],THrList[],3,FALSE),"")</f>
        <v>RODRIGUEZ</v>
      </c>
      <c r="D549" t="str">
        <f>IFERROR(VLOOKUP(TTrainingSource[[#This Row],[Employee_ID]],THrList[],4,FALSE),"")</f>
        <v>Hassan</v>
      </c>
      <c r="E549" t="str">
        <f>IFERROR(VLOOKUP(TTrainingSource[[#This Row],[Employee_ID]],THrList[],10,FALSE),"")</f>
        <v>Procurement</v>
      </c>
      <c r="F549" t="str">
        <f>TRIM(PROPER(TTrainingSource[[#This Row],[Training_Status2]]))</f>
        <v>Completed</v>
      </c>
      <c r="G549" t="s">
        <v>17</v>
      </c>
      <c r="H549" t="str">
        <f>TRIM(PROPER(TTrainingSource[[#This Row],[Training_Title2]]))</f>
        <v>Introduction To Python For Data</v>
      </c>
      <c r="I549" t="s">
        <v>62</v>
      </c>
      <c r="J549" s="1">
        <v>45325</v>
      </c>
      <c r="K549" t="s">
        <v>46</v>
      </c>
      <c r="L549" s="7">
        <v>24</v>
      </c>
      <c r="M549">
        <f>ROUND(TTrainingSource[[#This Row],[Satisfaction_Score2]],0)</f>
        <v>4</v>
      </c>
      <c r="N549">
        <v>4</v>
      </c>
    </row>
    <row r="550" spans="1:14" x14ac:dyDescent="0.3">
      <c r="A550" t="s">
        <v>65</v>
      </c>
      <c r="B550" t="str">
        <f>TRIM(TTrainingSource[[#This Row],[EMPloyee_ID2]])</f>
        <v>EMP10275</v>
      </c>
      <c r="C550" t="str">
        <f>IFERROR(VLOOKUP(TTrainingSource[[#This Row],[Employee_ID]],THrList[],3,FALSE),"")</f>
        <v>WILSON</v>
      </c>
      <c r="D550" t="str">
        <f>IFERROR(VLOOKUP(TTrainingSource[[#This Row],[Employee_ID]],THrList[],4,FALSE),"")</f>
        <v>Mia</v>
      </c>
      <c r="E550" t="str">
        <f>IFERROR(VLOOKUP(TTrainingSource[[#This Row],[Employee_ID]],THrList[],10,FALSE),"")</f>
        <v>Marketing</v>
      </c>
      <c r="F550" t="str">
        <f>TRIM(PROPER(TTrainingSource[[#This Row],[Training_Status2]]))</f>
        <v>Completed</v>
      </c>
      <c r="G550" t="s">
        <v>17</v>
      </c>
      <c r="H550" t="str">
        <f>TRIM(PROPER(TTrainingSource[[#This Row],[Training_Title2]]))</f>
        <v>Sql For Data Analytics</v>
      </c>
      <c r="I550" t="s">
        <v>26</v>
      </c>
      <c r="J550" s="1">
        <v>45834</v>
      </c>
      <c r="K550" t="s">
        <v>32</v>
      </c>
      <c r="L550" s="7">
        <v>24</v>
      </c>
      <c r="M550">
        <f>ROUND(TTrainingSource[[#This Row],[Satisfaction_Score2]],0)</f>
        <v>3</v>
      </c>
      <c r="N550">
        <v>3</v>
      </c>
    </row>
    <row r="551" spans="1:14" x14ac:dyDescent="0.3">
      <c r="A551" t="s">
        <v>600</v>
      </c>
      <c r="B551" t="str">
        <f>TRIM(TTrainingSource[[#This Row],[EMPloyee_ID2]])</f>
        <v>EMP10275</v>
      </c>
      <c r="C551" t="str">
        <f>IFERROR(VLOOKUP(TTrainingSource[[#This Row],[Employee_ID]],THrList[],3,FALSE),"")</f>
        <v>WILSON</v>
      </c>
      <c r="D551" t="str">
        <f>IFERROR(VLOOKUP(TTrainingSource[[#This Row],[Employee_ID]],THrList[],4,FALSE),"")</f>
        <v>Mia</v>
      </c>
      <c r="E551" t="str">
        <f>IFERROR(VLOOKUP(TTrainingSource[[#This Row],[Employee_ID]],THrList[],10,FALSE),"")</f>
        <v>Marketing</v>
      </c>
      <c r="F551" t="str">
        <f>TRIM(PROPER(TTrainingSource[[#This Row],[Training_Status2]]))</f>
        <v>Completed</v>
      </c>
      <c r="G551" t="s">
        <v>17</v>
      </c>
      <c r="H551" t="str">
        <f>TRIM(PROPER(TTrainingSource[[#This Row],[Training_Title2]]))</f>
        <v>Financial Modeling Basics</v>
      </c>
      <c r="I551" t="s">
        <v>38</v>
      </c>
      <c r="J551" s="1">
        <v>44681</v>
      </c>
      <c r="K551" t="s">
        <v>29</v>
      </c>
      <c r="L551" s="7">
        <v>40</v>
      </c>
      <c r="M551">
        <f>ROUND(TTrainingSource[[#This Row],[Satisfaction_Score2]],0)</f>
        <v>5</v>
      </c>
      <c r="N551">
        <v>4.8</v>
      </c>
    </row>
    <row r="552" spans="1:14" x14ac:dyDescent="0.3">
      <c r="A552" t="s">
        <v>65</v>
      </c>
      <c r="B552" t="str">
        <f>TRIM(TTrainingSource[[#This Row],[EMPloyee_ID2]])</f>
        <v>EMP10275</v>
      </c>
      <c r="C552" t="str">
        <f>IFERROR(VLOOKUP(TTrainingSource[[#This Row],[Employee_ID]],THrList[],3,FALSE),"")</f>
        <v>WILSON</v>
      </c>
      <c r="D552" t="str">
        <f>IFERROR(VLOOKUP(TTrainingSource[[#This Row],[Employee_ID]],THrList[],4,FALSE),"")</f>
        <v>Mia</v>
      </c>
      <c r="E552" t="str">
        <f>IFERROR(VLOOKUP(TTrainingSource[[#This Row],[Employee_ID]],THrList[],10,FALSE),"")</f>
        <v>Marketing</v>
      </c>
      <c r="F552" t="str">
        <f>TRIM(PROPER(TTrainingSource[[#This Row],[Training_Status2]]))</f>
        <v>Planned</v>
      </c>
      <c r="G552" t="s">
        <v>19</v>
      </c>
      <c r="H552" t="str">
        <f>TRIM(PROPER(TTrainingSource[[#This Row],[Training_Title2]]))</f>
        <v>Data Visualization Best Practices</v>
      </c>
      <c r="I552" t="s">
        <v>20</v>
      </c>
      <c r="J552" s="1">
        <v>45221</v>
      </c>
      <c r="K552" t="s">
        <v>29</v>
      </c>
      <c r="L552" s="7">
        <v>4</v>
      </c>
      <c r="M552">
        <f>ROUND(TTrainingSource[[#This Row],[Satisfaction_Score2]],0)</f>
        <v>4</v>
      </c>
      <c r="N552">
        <v>4.4000000000000004</v>
      </c>
    </row>
    <row r="553" spans="1:14" x14ac:dyDescent="0.3">
      <c r="A553" t="s">
        <v>393</v>
      </c>
      <c r="B553" t="str">
        <f>TRIM(TTrainingSource[[#This Row],[EMPloyee_ID2]])</f>
        <v>EMP10277</v>
      </c>
      <c r="C553" t="str">
        <f>IFERROR(VLOOKUP(TTrainingSource[[#This Row],[Employee_ID]],THrList[],3,FALSE),"")</f>
        <v>LOPEZ</v>
      </c>
      <c r="D553" t="str">
        <f>IFERROR(VLOOKUP(TTrainingSource[[#This Row],[Employee_ID]],THrList[],4,FALSE),"")</f>
        <v>Hassan</v>
      </c>
      <c r="E553" t="str">
        <f>IFERROR(VLOOKUP(TTrainingSource[[#This Row],[Employee_ID]],THrList[],10,FALSE),"")</f>
        <v>Procurement</v>
      </c>
      <c r="F553" t="str">
        <f>TRIM(PROPER(TTrainingSource[[#This Row],[Training_Status2]]))</f>
        <v>In Progress</v>
      </c>
      <c r="G553" t="s">
        <v>8</v>
      </c>
      <c r="H553" t="str">
        <f>TRIM(PROPER(TTrainingSource[[#This Row],[Training_Title2]]))</f>
        <v>Project Management Essentials</v>
      </c>
      <c r="I553" t="s">
        <v>224</v>
      </c>
      <c r="J553" s="1">
        <v>45705</v>
      </c>
      <c r="K553" t="s">
        <v>39</v>
      </c>
      <c r="L553" s="7">
        <v>16</v>
      </c>
      <c r="M553">
        <f>ROUND(TTrainingSource[[#This Row],[Satisfaction_Score2]],0)</f>
        <v>3</v>
      </c>
      <c r="N553">
        <v>2.8</v>
      </c>
    </row>
    <row r="554" spans="1:14" x14ac:dyDescent="0.3">
      <c r="A554" t="s">
        <v>393</v>
      </c>
      <c r="B554" t="str">
        <f>TRIM(TTrainingSource[[#This Row],[EMPloyee_ID2]])</f>
        <v>EMP10277</v>
      </c>
      <c r="C554" t="str">
        <f>IFERROR(VLOOKUP(TTrainingSource[[#This Row],[Employee_ID]],THrList[],3,FALSE),"")</f>
        <v>LOPEZ</v>
      </c>
      <c r="D554" t="str">
        <f>IFERROR(VLOOKUP(TTrainingSource[[#This Row],[Employee_ID]],THrList[],4,FALSE),"")</f>
        <v>Hassan</v>
      </c>
      <c r="E554" t="str">
        <f>IFERROR(VLOOKUP(TTrainingSource[[#This Row],[Employee_ID]],THrList[],10,FALSE),"")</f>
        <v>Procurement</v>
      </c>
      <c r="F554" t="str">
        <f>TRIM(PROPER(TTrainingSource[[#This Row],[Training_Status2]]))</f>
        <v>Planned</v>
      </c>
      <c r="G554" t="s">
        <v>19</v>
      </c>
      <c r="H554" t="str">
        <f>TRIM(PROPER(TTrainingSource[[#This Row],[Training_Title2]]))</f>
        <v>Power Bi Reporting</v>
      </c>
      <c r="I554" t="s">
        <v>24</v>
      </c>
      <c r="J554" s="1">
        <v>44645</v>
      </c>
      <c r="K554" t="s">
        <v>39</v>
      </c>
      <c r="L554" s="7">
        <v>32</v>
      </c>
      <c r="M554">
        <f>ROUND(TTrainingSource[[#This Row],[Satisfaction_Score2]],0)</f>
        <v>4</v>
      </c>
      <c r="N554">
        <v>4.4000000000000004</v>
      </c>
    </row>
    <row r="555" spans="1:14" x14ac:dyDescent="0.3">
      <c r="A555" t="s">
        <v>376</v>
      </c>
      <c r="B555" t="str">
        <f>TRIM(TTrainingSource[[#This Row],[EMPloyee_ID2]])</f>
        <v>EMP10279</v>
      </c>
      <c r="C555" t="str">
        <f>IFERROR(VLOOKUP(TTrainingSource[[#This Row],[Employee_ID]],THrList[],3,FALSE),"")</f>
        <v>ROUSSEAU</v>
      </c>
      <c r="D555" t="str">
        <f>IFERROR(VLOOKUP(TTrainingSource[[#This Row],[Employee_ID]],THrList[],4,FALSE),"")</f>
        <v>Claire</v>
      </c>
      <c r="E555" t="str">
        <f>IFERROR(VLOOKUP(TTrainingSource[[#This Row],[Employee_ID]],THrList[],10,FALSE),"")</f>
        <v>Sales</v>
      </c>
      <c r="F555" t="str">
        <f>TRIM(PROPER(TTrainingSource[[#This Row],[Training_Status2]]))</f>
        <v>Completed</v>
      </c>
      <c r="G555" t="s">
        <v>17</v>
      </c>
      <c r="H555" t="str">
        <f>TRIM(PROPER(TTrainingSource[[#This Row],[Training_Title2]]))</f>
        <v>Communication For Analysts</v>
      </c>
      <c r="I555" t="s">
        <v>28</v>
      </c>
      <c r="J555" s="1">
        <v>44976</v>
      </c>
      <c r="K555" t="s">
        <v>39</v>
      </c>
      <c r="L555" s="7">
        <v>12</v>
      </c>
      <c r="M555">
        <f>ROUND(TTrainingSource[[#This Row],[Satisfaction_Score2]],0)</f>
        <v>3</v>
      </c>
      <c r="N555">
        <v>2.6</v>
      </c>
    </row>
    <row r="556" spans="1:14" x14ac:dyDescent="0.3">
      <c r="A556" t="s">
        <v>657</v>
      </c>
      <c r="B556" t="str">
        <f>TRIM(TTrainingSource[[#This Row],[EMPloyee_ID2]])</f>
        <v>EMP10279</v>
      </c>
      <c r="C556" t="str">
        <f>IFERROR(VLOOKUP(TTrainingSource[[#This Row],[Employee_ID]],THrList[],3,FALSE),"")</f>
        <v>ROUSSEAU</v>
      </c>
      <c r="D556" t="str">
        <f>IFERROR(VLOOKUP(TTrainingSource[[#This Row],[Employee_ID]],THrList[],4,FALSE),"")</f>
        <v>Claire</v>
      </c>
      <c r="E556" t="str">
        <f>IFERROR(VLOOKUP(TTrainingSource[[#This Row],[Employee_ID]],THrList[],10,FALSE),"")</f>
        <v>Sales</v>
      </c>
      <c r="F556" t="str">
        <f>TRIM(PROPER(TTrainingSource[[#This Row],[Training_Status2]]))</f>
        <v>In Progress</v>
      </c>
      <c r="G556" t="s">
        <v>8</v>
      </c>
      <c r="H556" t="str">
        <f>TRIM(PROPER(TTrainingSource[[#This Row],[Training_Title2]]))</f>
        <v>Financial Modeling Basics</v>
      </c>
      <c r="I556" t="s">
        <v>38</v>
      </c>
      <c r="J556" s="1">
        <v>44720</v>
      </c>
      <c r="K556" t="s">
        <v>44</v>
      </c>
      <c r="L556" s="7">
        <v>8</v>
      </c>
      <c r="M556">
        <f>ROUND(TTrainingSource[[#This Row],[Satisfaction_Score2]],0)</f>
        <v>3</v>
      </c>
      <c r="N556">
        <v>2.6</v>
      </c>
    </row>
    <row r="557" spans="1:14" x14ac:dyDescent="0.3">
      <c r="A557" t="s">
        <v>657</v>
      </c>
      <c r="B557" t="str">
        <f>TRIM(TTrainingSource[[#This Row],[EMPloyee_ID2]])</f>
        <v>EMP10279</v>
      </c>
      <c r="C557" t="str">
        <f>IFERROR(VLOOKUP(TTrainingSource[[#This Row],[Employee_ID]],THrList[],3,FALSE),"")</f>
        <v>ROUSSEAU</v>
      </c>
      <c r="D557" t="str">
        <f>IFERROR(VLOOKUP(TTrainingSource[[#This Row],[Employee_ID]],THrList[],4,FALSE),"")</f>
        <v>Claire</v>
      </c>
      <c r="E557" t="str">
        <f>IFERROR(VLOOKUP(TTrainingSource[[#This Row],[Employee_ID]],THrList[],10,FALSE),"")</f>
        <v>Sales</v>
      </c>
      <c r="F557" t="str">
        <f>TRIM(PROPER(TTrainingSource[[#This Row],[Training_Status2]]))</f>
        <v>Planned</v>
      </c>
      <c r="G557" t="s">
        <v>128</v>
      </c>
      <c r="H557" t="str">
        <f>TRIM(PROPER(TTrainingSource[[#This Row],[Training_Title2]]))</f>
        <v>Communication For Analysts</v>
      </c>
      <c r="I557" t="s">
        <v>28</v>
      </c>
      <c r="J557" s="1">
        <v>45690</v>
      </c>
      <c r="K557" t="s">
        <v>39</v>
      </c>
      <c r="L557" s="7">
        <v>6</v>
      </c>
      <c r="M557">
        <f>ROUND(TTrainingSource[[#This Row],[Satisfaction_Score2]],0)</f>
        <v>4</v>
      </c>
      <c r="N557">
        <v>3.9</v>
      </c>
    </row>
    <row r="558" spans="1:14" x14ac:dyDescent="0.3">
      <c r="A558" t="s">
        <v>429</v>
      </c>
      <c r="B558" t="str">
        <f>TRIM(TTrainingSource[[#This Row],[EMPloyee_ID2]])</f>
        <v>EMP10280</v>
      </c>
      <c r="C558" t="str">
        <f>IFERROR(VLOOKUP(TTrainingSource[[#This Row],[Employee_ID]],THrList[],3,FALSE),"")</f>
        <v>JOHNSON</v>
      </c>
      <c r="D558" t="str">
        <f>IFERROR(VLOOKUP(TTrainingSource[[#This Row],[Employee_ID]],THrList[],4,FALSE),"")</f>
        <v>Zainab</v>
      </c>
      <c r="E558" t="str">
        <f>IFERROR(VLOOKUP(TTrainingSource[[#This Row],[Employee_ID]],THrList[],10,FALSE),"")</f>
        <v>Marketing</v>
      </c>
      <c r="F558" t="str">
        <f>TRIM(PROPER(TTrainingSource[[#This Row],[Training_Status2]]))</f>
        <v>Planned</v>
      </c>
      <c r="G558" t="s">
        <v>19</v>
      </c>
      <c r="H558" t="str">
        <f>TRIM(PROPER(TTrainingSource[[#This Row],[Training_Title2]]))</f>
        <v>Data Analysis Fundamentals</v>
      </c>
      <c r="I558" t="s">
        <v>9</v>
      </c>
      <c r="J558" s="1">
        <v>45810</v>
      </c>
      <c r="K558" t="s">
        <v>46</v>
      </c>
      <c r="L558" s="7">
        <v>12</v>
      </c>
      <c r="M558">
        <f>ROUND(TTrainingSource[[#This Row],[Satisfaction_Score2]],0)</f>
        <v>3</v>
      </c>
      <c r="N558">
        <v>2.6</v>
      </c>
    </row>
    <row r="559" spans="1:14" x14ac:dyDescent="0.3">
      <c r="A559" t="s">
        <v>535</v>
      </c>
      <c r="B559" t="str">
        <f>TRIM(TTrainingSource[[#This Row],[EMPloyee_ID2]])</f>
        <v>EMP10282</v>
      </c>
      <c r="C559" t="str">
        <f>IFERROR(VLOOKUP(TTrainingSource[[#This Row],[Employee_ID]],THrList[],3,FALSE),"")</f>
        <v>CAMARA</v>
      </c>
      <c r="D559" t="str">
        <f>IFERROR(VLOOKUP(TTrainingSource[[#This Row],[Employee_ID]],THrList[],4,FALSE),"")</f>
        <v>Noah</v>
      </c>
      <c r="E559" t="str">
        <f>IFERROR(VLOOKUP(TTrainingSource[[#This Row],[Employee_ID]],THrList[],10,FALSE),"")</f>
        <v>Procurement</v>
      </c>
      <c r="F559" t="str">
        <f>TRIM(PROPER(TTrainingSource[[#This Row],[Training_Status2]]))</f>
        <v>Completed</v>
      </c>
      <c r="G559" t="s">
        <v>17</v>
      </c>
      <c r="H559" t="str">
        <f>TRIM(PROPER(TTrainingSource[[#This Row],[Training_Title2]]))</f>
        <v>Introduction To Python For Data</v>
      </c>
      <c r="I559" t="s">
        <v>62</v>
      </c>
      <c r="J559" s="1">
        <v>45673</v>
      </c>
      <c r="K559" t="s">
        <v>71</v>
      </c>
      <c r="L559" s="7">
        <v>20</v>
      </c>
      <c r="M559">
        <f>ROUND(TTrainingSource[[#This Row],[Satisfaction_Score2]],0)</f>
        <v>3</v>
      </c>
      <c r="N559">
        <v>3.2</v>
      </c>
    </row>
    <row r="560" spans="1:14" x14ac:dyDescent="0.3">
      <c r="A560" t="s">
        <v>535</v>
      </c>
      <c r="B560" t="str">
        <f>TRIM(TTrainingSource[[#This Row],[EMPloyee_ID2]])</f>
        <v>EMP10282</v>
      </c>
      <c r="C560" t="str">
        <f>IFERROR(VLOOKUP(TTrainingSource[[#This Row],[Employee_ID]],THrList[],3,FALSE),"")</f>
        <v>CAMARA</v>
      </c>
      <c r="D560" t="str">
        <f>IFERROR(VLOOKUP(TTrainingSource[[#This Row],[Employee_ID]],THrList[],4,FALSE),"")</f>
        <v>Noah</v>
      </c>
      <c r="E560" t="str">
        <f>IFERROR(VLOOKUP(TTrainingSource[[#This Row],[Employee_ID]],THrList[],10,FALSE),"")</f>
        <v>Procurement</v>
      </c>
      <c r="F560" t="str">
        <f>TRIM(PROPER(TTrainingSource[[#This Row],[Training_Status2]]))</f>
        <v>Planned</v>
      </c>
      <c r="G560" t="s">
        <v>19</v>
      </c>
      <c r="H560" t="str">
        <f>TRIM(PROPER(TTrainingSource[[#This Row],[Training_Title2]]))</f>
        <v>Power Bi Reporting</v>
      </c>
      <c r="I560" t="s">
        <v>24</v>
      </c>
      <c r="J560" s="1">
        <v>45397</v>
      </c>
      <c r="K560" t="s">
        <v>32</v>
      </c>
      <c r="L560" s="7">
        <v>0</v>
      </c>
      <c r="M560">
        <f>ROUND(TTrainingSource[[#This Row],[Satisfaction_Score2]],0)</f>
        <v>4</v>
      </c>
      <c r="N560">
        <v>3.7</v>
      </c>
    </row>
    <row r="561" spans="1:14" x14ac:dyDescent="0.3">
      <c r="A561" t="s">
        <v>535</v>
      </c>
      <c r="B561" t="str">
        <f>TRIM(TTrainingSource[[#This Row],[EMPloyee_ID2]])</f>
        <v>EMP10282</v>
      </c>
      <c r="C561" t="str">
        <f>IFERROR(VLOOKUP(TTrainingSource[[#This Row],[Employee_ID]],THrList[],3,FALSE),"")</f>
        <v>CAMARA</v>
      </c>
      <c r="D561" t="str">
        <f>IFERROR(VLOOKUP(TTrainingSource[[#This Row],[Employee_ID]],THrList[],4,FALSE),"")</f>
        <v>Noah</v>
      </c>
      <c r="E561" t="str">
        <f>IFERROR(VLOOKUP(TTrainingSource[[#This Row],[Employee_ID]],THrList[],10,FALSE),"")</f>
        <v>Procurement</v>
      </c>
      <c r="F561" t="str">
        <f>TRIM(PROPER(TTrainingSource[[#This Row],[Training_Status2]]))</f>
        <v>Completed</v>
      </c>
      <c r="G561" t="s">
        <v>17</v>
      </c>
      <c r="H561" t="str">
        <f>TRIM(PROPER(TTrainingSource[[#This Row],[Training_Title2]]))</f>
        <v>Introduction To Python For Data</v>
      </c>
      <c r="I561" t="s">
        <v>62</v>
      </c>
      <c r="J561" s="1">
        <v>44911</v>
      </c>
      <c r="K561" t="s">
        <v>29</v>
      </c>
      <c r="L561" s="7">
        <v>20</v>
      </c>
      <c r="M561">
        <f>ROUND(TTrainingSource[[#This Row],[Satisfaction_Score2]],0)</f>
        <v>4</v>
      </c>
      <c r="N561">
        <v>3.7</v>
      </c>
    </row>
    <row r="562" spans="1:14" x14ac:dyDescent="0.3">
      <c r="A562" t="s">
        <v>535</v>
      </c>
      <c r="B562" t="str">
        <f>TRIM(TTrainingSource[[#This Row],[EMPloyee_ID2]])</f>
        <v>EMP10282</v>
      </c>
      <c r="C562" t="str">
        <f>IFERROR(VLOOKUP(TTrainingSource[[#This Row],[Employee_ID]],THrList[],3,FALSE),"")</f>
        <v>CAMARA</v>
      </c>
      <c r="D562" t="str">
        <f>IFERROR(VLOOKUP(TTrainingSource[[#This Row],[Employee_ID]],THrList[],4,FALSE),"")</f>
        <v>Noah</v>
      </c>
      <c r="E562" t="str">
        <f>IFERROR(VLOOKUP(TTrainingSource[[#This Row],[Employee_ID]],THrList[],10,FALSE),"")</f>
        <v>Procurement</v>
      </c>
      <c r="F562" t="str">
        <f>TRIM(PROPER(TTrainingSource[[#This Row],[Training_Status2]]))</f>
        <v>Completed</v>
      </c>
      <c r="G562" t="s">
        <v>17</v>
      </c>
      <c r="H562" t="str">
        <f>TRIM(PROPER(TTrainingSource[[#This Row],[Training_Title2]]))</f>
        <v>Communication For Analysts</v>
      </c>
      <c r="I562" t="s">
        <v>28</v>
      </c>
      <c r="J562" s="1">
        <v>45058</v>
      </c>
      <c r="K562" t="s">
        <v>44</v>
      </c>
      <c r="L562" s="7">
        <v>0</v>
      </c>
      <c r="M562">
        <f>ROUND(TTrainingSource[[#This Row],[Satisfaction_Score2]],0)</f>
        <v>3</v>
      </c>
      <c r="N562">
        <v>3.4</v>
      </c>
    </row>
    <row r="563" spans="1:14" x14ac:dyDescent="0.3">
      <c r="A563" t="s">
        <v>74</v>
      </c>
      <c r="B563" t="str">
        <f>TRIM(TTrainingSource[[#This Row],[EMPloyee_ID2]])</f>
        <v>EMP10284</v>
      </c>
      <c r="C563" t="str">
        <f>IFERROR(VLOOKUP(TTrainingSource[[#This Row],[Employee_ID]],THrList[],3,FALSE),"")</f>
        <v>DIOP</v>
      </c>
      <c r="D563" t="str">
        <f>IFERROR(VLOOKUP(TTrainingSource[[#This Row],[Employee_ID]],THrList[],4,FALSE),"")</f>
        <v>Layla</v>
      </c>
      <c r="E563" t="str">
        <f>IFERROR(VLOOKUP(TTrainingSource[[#This Row],[Employee_ID]],THrList[],10,FALSE),"")</f>
        <v>Marketing</v>
      </c>
      <c r="F563" t="str">
        <f>TRIM(PROPER(TTrainingSource[[#This Row],[Training_Status2]]))</f>
        <v>Completed</v>
      </c>
      <c r="G563" t="s">
        <v>17</v>
      </c>
      <c r="H563" t="str">
        <f>TRIM(PROPER(TTrainingSource[[#This Row],[Training_Title2]]))</f>
        <v>Customer Data Analysis</v>
      </c>
      <c r="I563" t="s">
        <v>31</v>
      </c>
      <c r="J563" s="1">
        <v>45919</v>
      </c>
      <c r="K563" t="s">
        <v>46</v>
      </c>
      <c r="L563" s="7">
        <v>32</v>
      </c>
      <c r="M563">
        <f>ROUND(TTrainingSource[[#This Row],[Satisfaction_Score2]],0)</f>
        <v>3</v>
      </c>
      <c r="N563">
        <v>2.7</v>
      </c>
    </row>
    <row r="564" spans="1:14" x14ac:dyDescent="0.3">
      <c r="A564" t="s">
        <v>74</v>
      </c>
      <c r="B564" t="str">
        <f>TRIM(TTrainingSource[[#This Row],[EMPloyee_ID2]])</f>
        <v>EMP10284</v>
      </c>
      <c r="C564" t="str">
        <f>IFERROR(VLOOKUP(TTrainingSource[[#This Row],[Employee_ID]],THrList[],3,FALSE),"")</f>
        <v>DIOP</v>
      </c>
      <c r="D564" t="str">
        <f>IFERROR(VLOOKUP(TTrainingSource[[#This Row],[Employee_ID]],THrList[],4,FALSE),"")</f>
        <v>Layla</v>
      </c>
      <c r="E564" t="str">
        <f>IFERROR(VLOOKUP(TTrainingSource[[#This Row],[Employee_ID]],THrList[],10,FALSE),"")</f>
        <v>Marketing</v>
      </c>
      <c r="F564" t="str">
        <f>TRIM(PROPER(TTrainingSource[[#This Row],[Training_Status2]]))</f>
        <v>Planned</v>
      </c>
      <c r="G564" t="s">
        <v>19</v>
      </c>
      <c r="H564" t="str">
        <f>TRIM(PROPER(TTrainingSource[[#This Row],[Training_Title2]]))</f>
        <v>Introduction To Python For Data</v>
      </c>
      <c r="I564" t="s">
        <v>62</v>
      </c>
      <c r="J564" s="1">
        <v>45579</v>
      </c>
      <c r="K564" t="s">
        <v>29</v>
      </c>
      <c r="L564" s="7">
        <v>0</v>
      </c>
      <c r="M564">
        <f>ROUND(TTrainingSource[[#This Row],[Satisfaction_Score2]],0)</f>
        <v>4</v>
      </c>
      <c r="N564">
        <v>4.0999999999999996</v>
      </c>
    </row>
    <row r="565" spans="1:14" x14ac:dyDescent="0.3">
      <c r="A565" t="s">
        <v>534</v>
      </c>
      <c r="B565" t="str">
        <f>TRIM(TTrainingSource[[#This Row],[EMPloyee_ID2]])</f>
        <v>EMP10284</v>
      </c>
      <c r="C565" t="str">
        <f>IFERROR(VLOOKUP(TTrainingSource[[#This Row],[Employee_ID]],THrList[],3,FALSE),"")</f>
        <v>DIOP</v>
      </c>
      <c r="D565" t="str">
        <f>IFERROR(VLOOKUP(TTrainingSource[[#This Row],[Employee_ID]],THrList[],4,FALSE),"")</f>
        <v>Layla</v>
      </c>
      <c r="E565" t="str">
        <f>IFERROR(VLOOKUP(TTrainingSource[[#This Row],[Employee_ID]],THrList[],10,FALSE),"")</f>
        <v>Marketing</v>
      </c>
      <c r="F565" t="str">
        <f>TRIM(PROPER(TTrainingSource[[#This Row],[Training_Status2]]))</f>
        <v>Completed</v>
      </c>
      <c r="G565" t="s">
        <v>17</v>
      </c>
      <c r="H565" t="str">
        <f>TRIM(PROPER(TTrainingSource[[#This Row],[Training_Title2]]))</f>
        <v>Financial Modeling Basics</v>
      </c>
      <c r="I565" t="s">
        <v>38</v>
      </c>
      <c r="J565" s="1">
        <v>45199</v>
      </c>
      <c r="K565" t="s">
        <v>44</v>
      </c>
      <c r="L565" s="7">
        <v>40</v>
      </c>
      <c r="M565">
        <f>ROUND(TTrainingSource[[#This Row],[Satisfaction_Score2]],0)</f>
        <v>3</v>
      </c>
      <c r="N565">
        <v>3.1</v>
      </c>
    </row>
    <row r="566" spans="1:14" x14ac:dyDescent="0.3">
      <c r="A566" t="s">
        <v>74</v>
      </c>
      <c r="B566" t="str">
        <f>TRIM(TTrainingSource[[#This Row],[EMPloyee_ID2]])</f>
        <v>EMP10284</v>
      </c>
      <c r="C566" t="str">
        <f>IFERROR(VLOOKUP(TTrainingSource[[#This Row],[Employee_ID]],THrList[],3,FALSE),"")</f>
        <v>DIOP</v>
      </c>
      <c r="D566" t="str">
        <f>IFERROR(VLOOKUP(TTrainingSource[[#This Row],[Employee_ID]],THrList[],4,FALSE),"")</f>
        <v>Layla</v>
      </c>
      <c r="E566" t="str">
        <f>IFERROR(VLOOKUP(TTrainingSource[[#This Row],[Employee_ID]],THrList[],10,FALSE),"")</f>
        <v>Marketing</v>
      </c>
      <c r="F566" t="str">
        <f>TRIM(PROPER(TTrainingSource[[#This Row],[Training_Status2]]))</f>
        <v>Completed</v>
      </c>
      <c r="G566" t="s">
        <v>17</v>
      </c>
      <c r="H566" t="str">
        <f>TRIM(PROPER(TTrainingSource[[#This Row],[Training_Title2]]))</f>
        <v>Power Bi Reporting</v>
      </c>
      <c r="I566" t="s">
        <v>24</v>
      </c>
      <c r="J566" s="1">
        <v>44993</v>
      </c>
      <c r="K566" t="s">
        <v>98</v>
      </c>
      <c r="L566" s="7">
        <v>24</v>
      </c>
      <c r="M566">
        <f>ROUND(TTrainingSource[[#This Row],[Satisfaction_Score2]],0)</f>
        <v>4</v>
      </c>
      <c r="N566">
        <v>3.5</v>
      </c>
    </row>
    <row r="567" spans="1:14" x14ac:dyDescent="0.3">
      <c r="A567" t="s">
        <v>74</v>
      </c>
      <c r="B567" t="str">
        <f>TRIM(TTrainingSource[[#This Row],[EMPloyee_ID2]])</f>
        <v>EMP10284</v>
      </c>
      <c r="C567" t="str">
        <f>IFERROR(VLOOKUP(TTrainingSource[[#This Row],[Employee_ID]],THrList[],3,FALSE),"")</f>
        <v>DIOP</v>
      </c>
      <c r="D567" t="str">
        <f>IFERROR(VLOOKUP(TTrainingSource[[#This Row],[Employee_ID]],THrList[],4,FALSE),"")</f>
        <v>Layla</v>
      </c>
      <c r="E567" t="str">
        <f>IFERROR(VLOOKUP(TTrainingSource[[#This Row],[Employee_ID]],THrList[],10,FALSE),"")</f>
        <v>Marketing</v>
      </c>
      <c r="F567" t="str">
        <f>TRIM(PROPER(TTrainingSource[[#This Row],[Training_Status2]]))</f>
        <v>Completed</v>
      </c>
      <c r="G567" t="s">
        <v>17</v>
      </c>
      <c r="H567" t="str">
        <f>TRIM(PROPER(TTrainingSource[[#This Row],[Training_Title2]]))</f>
        <v>Digital Marketing Strategy</v>
      </c>
      <c r="I567" t="s">
        <v>43</v>
      </c>
      <c r="J567" s="1">
        <v>44865</v>
      </c>
      <c r="K567" t="s">
        <v>29</v>
      </c>
      <c r="L567" s="7">
        <v>4</v>
      </c>
      <c r="M567">
        <f>ROUND(TTrainingSource[[#This Row],[Satisfaction_Score2]],0)</f>
        <v>3</v>
      </c>
      <c r="N567">
        <v>2.8</v>
      </c>
    </row>
    <row r="568" spans="1:14" x14ac:dyDescent="0.3">
      <c r="A568" t="s">
        <v>713</v>
      </c>
      <c r="B568" t="str">
        <f>TRIM(TTrainingSource[[#This Row],[EMPloyee_ID2]])</f>
        <v>EMP10285</v>
      </c>
      <c r="C568" t="str">
        <f>IFERROR(VLOOKUP(TTrainingSource[[#This Row],[Employee_ID]],THrList[],3,FALSE),"")</f>
        <v>DIOP</v>
      </c>
      <c r="D568" t="str">
        <f>IFERROR(VLOOKUP(TTrainingSource[[#This Row],[Employee_ID]],THrList[],4,FALSE),"")</f>
        <v>Abigail</v>
      </c>
      <c r="E568" t="str">
        <f>IFERROR(VLOOKUP(TTrainingSource[[#This Row],[Employee_ID]],THrList[],10,FALSE),"")</f>
        <v>Compliance</v>
      </c>
      <c r="F568" t="str">
        <f>TRIM(PROPER(TTrainingSource[[#This Row],[Training_Status2]]))</f>
        <v>In Progress</v>
      </c>
      <c r="G568" t="s">
        <v>8</v>
      </c>
      <c r="H568" t="str">
        <f>TRIM(PROPER(TTrainingSource[[#This Row],[Training_Title2]]))</f>
        <v>Project Management Essentials</v>
      </c>
      <c r="I568" t="s">
        <v>14</v>
      </c>
      <c r="J568" s="1">
        <v>45756</v>
      </c>
      <c r="K568" t="s">
        <v>39</v>
      </c>
      <c r="L568" s="7">
        <v>32</v>
      </c>
      <c r="M568">
        <f>ROUND(TTrainingSource[[#This Row],[Satisfaction_Score2]],0)</f>
        <v>4</v>
      </c>
      <c r="N568">
        <v>3.9</v>
      </c>
    </row>
    <row r="569" spans="1:14" x14ac:dyDescent="0.3">
      <c r="A569" t="s">
        <v>492</v>
      </c>
      <c r="B569" t="str">
        <f>TRIM(TTrainingSource[[#This Row],[EMPloyee_ID2]])</f>
        <v>EMP10286</v>
      </c>
      <c r="C569" t="str">
        <f>IFERROR(VLOOKUP(TTrainingSource[[#This Row],[Employee_ID]],THrList[],3,FALSE),"")</f>
        <v>DAVIS</v>
      </c>
      <c r="D569" t="str">
        <f>IFERROR(VLOOKUP(TTrainingSource[[#This Row],[Employee_ID]],THrList[],4,FALSE),"")</f>
        <v>James</v>
      </c>
      <c r="E569" t="str">
        <f>IFERROR(VLOOKUP(TTrainingSource[[#This Row],[Employee_ID]],THrList[],10,FALSE),"")</f>
        <v>N/A</v>
      </c>
      <c r="F569" t="str">
        <f>TRIM(PROPER(TTrainingSource[[#This Row],[Training_Status2]]))</f>
        <v>In Progress</v>
      </c>
      <c r="G569" t="s">
        <v>67</v>
      </c>
      <c r="H569" t="str">
        <f>TRIM(PROPER(TTrainingSource[[#This Row],[Training_Title2]]))</f>
        <v>Communication For Analysts</v>
      </c>
      <c r="I569" t="s">
        <v>401</v>
      </c>
      <c r="J569" s="1">
        <v>44565</v>
      </c>
      <c r="K569" t="s">
        <v>12</v>
      </c>
      <c r="L569" s="7">
        <v>8</v>
      </c>
      <c r="M569">
        <f>ROUND(TTrainingSource[[#This Row],[Satisfaction_Score2]],0)</f>
        <v>5</v>
      </c>
      <c r="N569">
        <v>4.9000000000000004</v>
      </c>
    </row>
    <row r="570" spans="1:14" x14ac:dyDescent="0.3">
      <c r="A570" t="s">
        <v>203</v>
      </c>
      <c r="B570" t="str">
        <f>TRIM(TTrainingSource[[#This Row],[EMPloyee_ID2]])</f>
        <v>EMP10287</v>
      </c>
      <c r="C570" t="str">
        <f>IFERROR(VLOOKUP(TTrainingSource[[#This Row],[Employee_ID]],THrList[],3,FALSE),"")</f>
        <v>MOREAU</v>
      </c>
      <c r="D570" t="str">
        <f>IFERROR(VLOOKUP(TTrainingSource[[#This Row],[Employee_ID]],THrList[],4,FALSE),"")</f>
        <v>Ama</v>
      </c>
      <c r="E570" t="str">
        <f>IFERROR(VLOOKUP(TTrainingSource[[#This Row],[Employee_ID]],THrList[],10,FALSE),"")</f>
        <v>Procurement</v>
      </c>
      <c r="F570" t="str">
        <f>TRIM(PROPER(TTrainingSource[[#This Row],[Training_Status2]]))</f>
        <v>Completed</v>
      </c>
      <c r="G570" t="s">
        <v>17</v>
      </c>
      <c r="H570" t="str">
        <f>TRIM(PROPER(TTrainingSource[[#This Row],[Training_Title2]]))</f>
        <v>Digital Marketing Strategy</v>
      </c>
      <c r="I570" t="s">
        <v>43</v>
      </c>
      <c r="J570" s="1">
        <v>45131</v>
      </c>
      <c r="K570" t="s">
        <v>12</v>
      </c>
      <c r="L570" s="7">
        <v>8</v>
      </c>
      <c r="M570">
        <f>ROUND(TTrainingSource[[#This Row],[Satisfaction_Score2]],0)</f>
        <v>5</v>
      </c>
      <c r="N570">
        <v>5</v>
      </c>
    </row>
    <row r="571" spans="1:14" x14ac:dyDescent="0.3">
      <c r="A571" t="s">
        <v>203</v>
      </c>
      <c r="B571" t="str">
        <f>TRIM(TTrainingSource[[#This Row],[EMPloyee_ID2]])</f>
        <v>EMP10287</v>
      </c>
      <c r="C571" t="str">
        <f>IFERROR(VLOOKUP(TTrainingSource[[#This Row],[Employee_ID]],THrList[],3,FALSE),"")</f>
        <v>MOREAU</v>
      </c>
      <c r="D571" t="str">
        <f>IFERROR(VLOOKUP(TTrainingSource[[#This Row],[Employee_ID]],THrList[],4,FALSE),"")</f>
        <v>Ama</v>
      </c>
      <c r="E571" t="str">
        <f>IFERROR(VLOOKUP(TTrainingSource[[#This Row],[Employee_ID]],THrList[],10,FALSE),"")</f>
        <v>Procurement</v>
      </c>
      <c r="F571" t="str">
        <f>TRIM(PROPER(TTrainingSource[[#This Row],[Training_Status2]]))</f>
        <v>Completed</v>
      </c>
      <c r="G571" t="s">
        <v>17</v>
      </c>
      <c r="H571" t="str">
        <f>TRIM(PROPER(TTrainingSource[[#This Row],[Training_Title2]]))</f>
        <v>Business Intelligence With Tableau</v>
      </c>
      <c r="I571" t="s">
        <v>22</v>
      </c>
      <c r="J571" s="1">
        <v>45440</v>
      </c>
      <c r="K571" t="s">
        <v>44</v>
      </c>
      <c r="L571" s="7">
        <v>8</v>
      </c>
      <c r="M571">
        <f>ROUND(TTrainingSource[[#This Row],[Satisfaction_Score2]],0)</f>
        <v>3</v>
      </c>
      <c r="N571">
        <v>3</v>
      </c>
    </row>
    <row r="572" spans="1:14" x14ac:dyDescent="0.3">
      <c r="A572" t="s">
        <v>203</v>
      </c>
      <c r="B572" t="str">
        <f>TRIM(TTrainingSource[[#This Row],[EMPloyee_ID2]])</f>
        <v>EMP10287</v>
      </c>
      <c r="C572" t="str">
        <f>IFERROR(VLOOKUP(TTrainingSource[[#This Row],[Employee_ID]],THrList[],3,FALSE),"")</f>
        <v>MOREAU</v>
      </c>
      <c r="D572" t="str">
        <f>IFERROR(VLOOKUP(TTrainingSource[[#This Row],[Employee_ID]],THrList[],4,FALSE),"")</f>
        <v>Ama</v>
      </c>
      <c r="E572" t="str">
        <f>IFERROR(VLOOKUP(TTrainingSource[[#This Row],[Employee_ID]],THrList[],10,FALSE),"")</f>
        <v>Procurement</v>
      </c>
      <c r="F572" t="str">
        <f>TRIM(PROPER(TTrainingSource[[#This Row],[Training_Status2]]))</f>
        <v>In Progress</v>
      </c>
      <c r="G572" t="s">
        <v>8</v>
      </c>
      <c r="H572" t="str">
        <f>TRIM(PROPER(TTrainingSource[[#This Row],[Training_Title2]]))</f>
        <v>Business Intelligence With Tableau</v>
      </c>
      <c r="I572" t="s">
        <v>22</v>
      </c>
      <c r="J572" s="1">
        <v>45896</v>
      </c>
      <c r="K572" t="s">
        <v>39</v>
      </c>
      <c r="L572" s="7">
        <v>6</v>
      </c>
      <c r="M572">
        <f>ROUND(TTrainingSource[[#This Row],[Satisfaction_Score2]],0)</f>
        <v>4</v>
      </c>
      <c r="N572">
        <v>4.0999999999999996</v>
      </c>
    </row>
    <row r="573" spans="1:14" x14ac:dyDescent="0.3">
      <c r="A573" t="s">
        <v>203</v>
      </c>
      <c r="B573" t="str">
        <f>TRIM(TTrainingSource[[#This Row],[EMPloyee_ID2]])</f>
        <v>EMP10287</v>
      </c>
      <c r="C573" t="str">
        <f>IFERROR(VLOOKUP(TTrainingSource[[#This Row],[Employee_ID]],THrList[],3,FALSE),"")</f>
        <v>MOREAU</v>
      </c>
      <c r="D573" t="str">
        <f>IFERROR(VLOOKUP(TTrainingSource[[#This Row],[Employee_ID]],THrList[],4,FALSE),"")</f>
        <v>Ama</v>
      </c>
      <c r="E573" t="str">
        <f>IFERROR(VLOOKUP(TTrainingSource[[#This Row],[Employee_ID]],THrList[],10,FALSE),"")</f>
        <v>Procurement</v>
      </c>
      <c r="F573" t="str">
        <f>TRIM(PROPER(TTrainingSource[[#This Row],[Training_Status2]]))</f>
        <v>Planned</v>
      </c>
      <c r="G573" t="s">
        <v>19</v>
      </c>
      <c r="H573" t="str">
        <f>TRIM(PROPER(TTrainingSource[[#This Row],[Training_Title2]]))</f>
        <v>Communication For Analysts</v>
      </c>
      <c r="I573" t="s">
        <v>28</v>
      </c>
      <c r="J573" s="1">
        <v>45340</v>
      </c>
      <c r="K573" t="s">
        <v>98</v>
      </c>
      <c r="L573" s="7">
        <v>8</v>
      </c>
      <c r="M573">
        <f>ROUND(TTrainingSource[[#This Row],[Satisfaction_Score2]],0)</f>
        <v>5</v>
      </c>
      <c r="N573">
        <v>4.9000000000000004</v>
      </c>
    </row>
    <row r="574" spans="1:14" x14ac:dyDescent="0.3">
      <c r="A574" t="s">
        <v>721</v>
      </c>
      <c r="B574" t="str">
        <f>TRIM(TTrainingSource[[#This Row],[EMPloyee_ID2]])</f>
        <v>EMP10288</v>
      </c>
      <c r="C574" t="str">
        <f>IFERROR(VLOOKUP(TTrainingSource[[#This Row],[Employee_ID]],THrList[],3,FALSE),"")</f>
        <v>CHEN</v>
      </c>
      <c r="D574" t="str">
        <f>IFERROR(VLOOKUP(TTrainingSource[[#This Row],[Employee_ID]],THrList[],4,FALSE),"")</f>
        <v>Akosua</v>
      </c>
      <c r="E574" t="str">
        <f>IFERROR(VLOOKUP(TTrainingSource[[#This Row],[Employee_ID]],THrList[],10,FALSE),"")</f>
        <v>Compliance</v>
      </c>
      <c r="F574" t="str">
        <f>TRIM(PROPER(TTrainingSource[[#This Row],[Training_Status2]]))</f>
        <v>Completed</v>
      </c>
      <c r="G574" t="s">
        <v>17</v>
      </c>
      <c r="H574" t="str">
        <f>TRIM(PROPER(TTrainingSource[[#This Row],[Training_Title2]]))</f>
        <v>Data Analysis Fundamentals</v>
      </c>
      <c r="I574" t="s">
        <v>9</v>
      </c>
      <c r="J574" s="1">
        <v>45151</v>
      </c>
      <c r="K574" t="s">
        <v>98</v>
      </c>
      <c r="L574" s="7">
        <v>20</v>
      </c>
      <c r="M574">
        <f>ROUND(TTrainingSource[[#This Row],[Satisfaction_Score2]],0)</f>
        <v>3</v>
      </c>
      <c r="N574">
        <v>2.9</v>
      </c>
    </row>
    <row r="575" spans="1:14" x14ac:dyDescent="0.3">
      <c r="A575" t="s">
        <v>721</v>
      </c>
      <c r="B575" t="str">
        <f>TRIM(TTrainingSource[[#This Row],[EMPloyee_ID2]])</f>
        <v>EMP10288</v>
      </c>
      <c r="C575" t="str">
        <f>IFERROR(VLOOKUP(TTrainingSource[[#This Row],[Employee_ID]],THrList[],3,FALSE),"")</f>
        <v>CHEN</v>
      </c>
      <c r="D575" t="str">
        <f>IFERROR(VLOOKUP(TTrainingSource[[#This Row],[Employee_ID]],THrList[],4,FALSE),"")</f>
        <v>Akosua</v>
      </c>
      <c r="E575" t="str">
        <f>IFERROR(VLOOKUP(TTrainingSource[[#This Row],[Employee_ID]],THrList[],10,FALSE),"")</f>
        <v>Compliance</v>
      </c>
      <c r="F575" t="str">
        <f>TRIM(PROPER(TTrainingSource[[#This Row],[Training_Status2]]))</f>
        <v>Completed</v>
      </c>
      <c r="G575" t="s">
        <v>17</v>
      </c>
      <c r="H575" t="str">
        <f>TRIM(PROPER(TTrainingSource[[#This Row],[Training_Title2]]))</f>
        <v>Customer Data Analysis</v>
      </c>
      <c r="I575" t="s">
        <v>31</v>
      </c>
      <c r="J575" s="1">
        <v>44818</v>
      </c>
      <c r="K575" t="s">
        <v>42</v>
      </c>
      <c r="L575" s="7">
        <v>4</v>
      </c>
      <c r="M575">
        <f>ROUND(TTrainingSource[[#This Row],[Satisfaction_Score2]],0)</f>
        <v>3</v>
      </c>
      <c r="N575">
        <v>2.7</v>
      </c>
    </row>
    <row r="576" spans="1:14" x14ac:dyDescent="0.3">
      <c r="A576" t="s">
        <v>615</v>
      </c>
      <c r="B576" t="str">
        <f>TRIM(TTrainingSource[[#This Row],[EMPloyee_ID2]])</f>
        <v>EMP10289</v>
      </c>
      <c r="C576" t="str">
        <f>IFERROR(VLOOKUP(TTrainingSource[[#This Row],[Employee_ID]],THrList[],3,FALSE),"")</f>
        <v>MARTINEZ</v>
      </c>
      <c r="D576" t="str">
        <f>IFERROR(VLOOKUP(TTrainingSource[[#This Row],[Employee_ID]],THrList[],4,FALSE),"")</f>
        <v>Evelyn</v>
      </c>
      <c r="E576" t="str">
        <f>IFERROR(VLOOKUP(TTrainingSource[[#This Row],[Employee_ID]],THrList[],10,FALSE),"")</f>
        <v>Procurement</v>
      </c>
      <c r="F576" t="str">
        <f>TRIM(PROPER(TTrainingSource[[#This Row],[Training_Status2]]))</f>
        <v>Completed</v>
      </c>
      <c r="G576" t="s">
        <v>17</v>
      </c>
      <c r="H576" t="str">
        <f>TRIM(PROPER(TTrainingSource[[#This Row],[Training_Title2]]))</f>
        <v>Communication For Analysts</v>
      </c>
      <c r="I576" t="s">
        <v>28</v>
      </c>
      <c r="J576" s="1">
        <v>45366</v>
      </c>
      <c r="K576" t="s">
        <v>32</v>
      </c>
      <c r="L576" s="7">
        <v>40</v>
      </c>
      <c r="M576">
        <f>ROUND(TTrainingSource[[#This Row],[Satisfaction_Score2]],0)</f>
        <v>4</v>
      </c>
      <c r="N576">
        <v>4.2</v>
      </c>
    </row>
    <row r="577" spans="1:14" x14ac:dyDescent="0.3">
      <c r="A577" t="s">
        <v>301</v>
      </c>
      <c r="B577" t="str">
        <f>TRIM(TTrainingSource[[#This Row],[EMPloyee_ID2]])</f>
        <v>EMP10290</v>
      </c>
      <c r="C577" t="str">
        <f>IFERROR(VLOOKUP(TTrainingSource[[#This Row],[Employee_ID]],THrList[],3,FALSE),"")</f>
        <v>SOW</v>
      </c>
      <c r="D577" t="str">
        <f>IFERROR(VLOOKUP(TTrainingSource[[#This Row],[Employee_ID]],THrList[],4,FALSE),"")</f>
        <v>Mia</v>
      </c>
      <c r="E577" t="str">
        <f>IFERROR(VLOOKUP(TTrainingSource[[#This Row],[Employee_ID]],THrList[],10,FALSE),"")</f>
        <v>Procurement</v>
      </c>
      <c r="F577" t="str">
        <f>TRIM(PROPER(TTrainingSource[[#This Row],[Training_Status2]]))</f>
        <v>Completed</v>
      </c>
      <c r="G577" t="s">
        <v>17</v>
      </c>
      <c r="H577" t="str">
        <f>TRIM(PROPER(TTrainingSource[[#This Row],[Training_Title2]]))</f>
        <v>Sql For Data Analytics</v>
      </c>
      <c r="I577" t="s">
        <v>26</v>
      </c>
      <c r="J577" s="1">
        <v>45013</v>
      </c>
      <c r="K577" t="s">
        <v>39</v>
      </c>
      <c r="L577" s="7">
        <v>12</v>
      </c>
      <c r="M577">
        <f>ROUND(TTrainingSource[[#This Row],[Satisfaction_Score2]],0)</f>
        <v>5</v>
      </c>
      <c r="N577">
        <v>4.9000000000000004</v>
      </c>
    </row>
    <row r="578" spans="1:14" x14ac:dyDescent="0.3">
      <c r="A578" t="s">
        <v>428</v>
      </c>
      <c r="B578" t="str">
        <f>TRIM(TTrainingSource[[#This Row],[EMPloyee_ID2]])</f>
        <v>EMP10290</v>
      </c>
      <c r="C578" t="str">
        <f>IFERROR(VLOOKUP(TTrainingSource[[#This Row],[Employee_ID]],THrList[],3,FALSE),"")</f>
        <v>SOW</v>
      </c>
      <c r="D578" t="str">
        <f>IFERROR(VLOOKUP(TTrainingSource[[#This Row],[Employee_ID]],THrList[],4,FALSE),"")</f>
        <v>Mia</v>
      </c>
      <c r="E578" t="str">
        <f>IFERROR(VLOOKUP(TTrainingSource[[#This Row],[Employee_ID]],THrList[],10,FALSE),"")</f>
        <v>Procurement</v>
      </c>
      <c r="F578" t="str">
        <f>TRIM(PROPER(TTrainingSource[[#This Row],[Training_Status2]]))</f>
        <v>Completed</v>
      </c>
      <c r="G578" t="s">
        <v>17</v>
      </c>
      <c r="H578" t="str">
        <f>TRIM(PROPER(TTrainingSource[[#This Row],[Training_Title2]]))</f>
        <v>Data Analysis Fundamentals</v>
      </c>
      <c r="I578" t="s">
        <v>9</v>
      </c>
      <c r="J578" s="1">
        <v>45114</v>
      </c>
      <c r="K578" t="s">
        <v>44</v>
      </c>
      <c r="L578" s="7">
        <v>32</v>
      </c>
      <c r="M578">
        <f>ROUND(TTrainingSource[[#This Row],[Satisfaction_Score2]],0)</f>
        <v>4</v>
      </c>
      <c r="N578">
        <v>4</v>
      </c>
    </row>
    <row r="579" spans="1:14" x14ac:dyDescent="0.3">
      <c r="A579" t="s">
        <v>428</v>
      </c>
      <c r="B579" t="str">
        <f>TRIM(TTrainingSource[[#This Row],[EMPloyee_ID2]])</f>
        <v>EMP10290</v>
      </c>
      <c r="C579" t="str">
        <f>IFERROR(VLOOKUP(TTrainingSource[[#This Row],[Employee_ID]],THrList[],3,FALSE),"")</f>
        <v>SOW</v>
      </c>
      <c r="D579" t="str">
        <f>IFERROR(VLOOKUP(TTrainingSource[[#This Row],[Employee_ID]],THrList[],4,FALSE),"")</f>
        <v>Mia</v>
      </c>
      <c r="E579" t="str">
        <f>IFERROR(VLOOKUP(TTrainingSource[[#This Row],[Employee_ID]],THrList[],10,FALSE),"")</f>
        <v>Procurement</v>
      </c>
      <c r="F579" t="str">
        <f>TRIM(PROPER(TTrainingSource[[#This Row],[Training_Status2]]))</f>
        <v>Planned</v>
      </c>
      <c r="G579" t="s">
        <v>19</v>
      </c>
      <c r="H579" t="str">
        <f>TRIM(PROPER(TTrainingSource[[#This Row],[Training_Title2]]))</f>
        <v>Power Bi Reporting</v>
      </c>
      <c r="I579" t="s">
        <v>95</v>
      </c>
      <c r="J579" s="1">
        <v>45241</v>
      </c>
      <c r="K579" t="s">
        <v>132</v>
      </c>
      <c r="L579" s="7">
        <v>32</v>
      </c>
      <c r="M579">
        <f>ROUND(TTrainingSource[[#This Row],[Satisfaction_Score2]],0)</f>
        <v>3</v>
      </c>
      <c r="N579">
        <v>3.1</v>
      </c>
    </row>
    <row r="580" spans="1:14" x14ac:dyDescent="0.3">
      <c r="A580" t="s">
        <v>726</v>
      </c>
      <c r="B580" t="str">
        <f>TRIM(TTrainingSource[[#This Row],[EMPloyee_ID2]])</f>
        <v>EMP10291</v>
      </c>
      <c r="C580" t="str">
        <f>IFERROR(VLOOKUP(TTrainingSource[[#This Row],[Employee_ID]],THrList[],3,FALSE),"")</f>
        <v>DAVIS</v>
      </c>
      <c r="D580" t="str">
        <f>IFERROR(VLOOKUP(TTrainingSource[[#This Row],[Employee_ID]],THrList[],4,FALSE),"")</f>
        <v>Khalid</v>
      </c>
      <c r="E580" t="str">
        <f>IFERROR(VLOOKUP(TTrainingSource[[#This Row],[Employee_ID]],THrList[],10,FALSE),"")</f>
        <v>Procurement</v>
      </c>
      <c r="F580" t="str">
        <f>TRIM(PROPER(TTrainingSource[[#This Row],[Training_Status2]]))</f>
        <v>Completed</v>
      </c>
      <c r="G580" t="s">
        <v>17</v>
      </c>
      <c r="H580" t="str">
        <f>TRIM(PROPER(TTrainingSource[[#This Row],[Training_Title2]]))</f>
        <v>Power Bi Reporting</v>
      </c>
      <c r="I580" t="s">
        <v>24</v>
      </c>
      <c r="J580" s="1">
        <v>44617</v>
      </c>
      <c r="K580" t="s">
        <v>29</v>
      </c>
      <c r="L580" s="7">
        <v>32</v>
      </c>
      <c r="M580">
        <f>ROUND(TTrainingSource[[#This Row],[Satisfaction_Score2]],0)</f>
        <v>3</v>
      </c>
      <c r="N580">
        <v>2.6</v>
      </c>
    </row>
    <row r="581" spans="1:14" x14ac:dyDescent="0.3">
      <c r="A581" t="s">
        <v>726</v>
      </c>
      <c r="B581" t="str">
        <f>TRIM(TTrainingSource[[#This Row],[EMPloyee_ID2]])</f>
        <v>EMP10291</v>
      </c>
      <c r="C581" t="str">
        <f>IFERROR(VLOOKUP(TTrainingSource[[#This Row],[Employee_ID]],THrList[],3,FALSE),"")</f>
        <v>DAVIS</v>
      </c>
      <c r="D581" t="str">
        <f>IFERROR(VLOOKUP(TTrainingSource[[#This Row],[Employee_ID]],THrList[],4,FALSE),"")</f>
        <v>Khalid</v>
      </c>
      <c r="E581" t="str">
        <f>IFERROR(VLOOKUP(TTrainingSource[[#This Row],[Employee_ID]],THrList[],10,FALSE),"")</f>
        <v>Procurement</v>
      </c>
      <c r="F581" t="str">
        <f>TRIM(PROPER(TTrainingSource[[#This Row],[Training_Status2]]))</f>
        <v>Completed</v>
      </c>
      <c r="G581" t="s">
        <v>17</v>
      </c>
      <c r="H581" t="str">
        <f>TRIM(PROPER(TTrainingSource[[#This Row],[Training_Title2]]))</f>
        <v>Business Intelligence With Tableau</v>
      </c>
      <c r="I581" t="s">
        <v>22</v>
      </c>
      <c r="J581" s="1">
        <v>45791</v>
      </c>
      <c r="K581" t="s">
        <v>15</v>
      </c>
      <c r="L581" s="7">
        <v>12</v>
      </c>
      <c r="M581">
        <f>ROUND(TTrainingSource[[#This Row],[Satisfaction_Score2]],0)</f>
        <v>4</v>
      </c>
      <c r="N581">
        <v>4</v>
      </c>
    </row>
    <row r="582" spans="1:14" x14ac:dyDescent="0.3">
      <c r="A582" t="s">
        <v>475</v>
      </c>
      <c r="B582" t="str">
        <f>TRIM(TTrainingSource[[#This Row],[EMPloyee_ID2]])</f>
        <v>EMP10292</v>
      </c>
      <c r="C582" t="str">
        <f>IFERROR(VLOOKUP(TTrainingSource[[#This Row],[Employee_ID]],THrList[],3,FALSE),"")</f>
        <v>JOHNSON</v>
      </c>
      <c r="D582" t="str">
        <f>IFERROR(VLOOKUP(TTrainingSource[[#This Row],[Employee_ID]],THrList[],4,FALSE),"")</f>
        <v>Emily</v>
      </c>
      <c r="E582" t="str">
        <f>IFERROR(VLOOKUP(TTrainingSource[[#This Row],[Employee_ID]],THrList[],10,FALSE),"")</f>
        <v>Compliance</v>
      </c>
      <c r="F582" t="str">
        <f>TRIM(PROPER(TTrainingSource[[#This Row],[Training_Status2]]))</f>
        <v>Completed</v>
      </c>
      <c r="G582" t="s">
        <v>17</v>
      </c>
      <c r="H582" t="str">
        <f>TRIM(PROPER(TTrainingSource[[#This Row],[Training_Title2]]))</f>
        <v>Customer Data Analysis</v>
      </c>
      <c r="I582" t="s">
        <v>31</v>
      </c>
      <c r="J582" s="1">
        <v>44880</v>
      </c>
      <c r="K582" t="s">
        <v>42</v>
      </c>
      <c r="L582" s="7">
        <v>20</v>
      </c>
      <c r="M582">
        <f>ROUND(TTrainingSource[[#This Row],[Satisfaction_Score2]],0)</f>
        <v>4</v>
      </c>
      <c r="N582">
        <v>3.9</v>
      </c>
    </row>
    <row r="583" spans="1:14" x14ac:dyDescent="0.3">
      <c r="A583" t="s">
        <v>483</v>
      </c>
      <c r="B583" t="str">
        <f>TRIM(TTrainingSource[[#This Row],[EMPloyee_ID2]])</f>
        <v>EMP10292</v>
      </c>
      <c r="C583" t="str">
        <f>IFERROR(VLOOKUP(TTrainingSource[[#This Row],[Employee_ID]],THrList[],3,FALSE),"")</f>
        <v>JOHNSON</v>
      </c>
      <c r="D583" t="str">
        <f>IFERROR(VLOOKUP(TTrainingSource[[#This Row],[Employee_ID]],THrList[],4,FALSE),"")</f>
        <v>Emily</v>
      </c>
      <c r="E583" t="str">
        <f>IFERROR(VLOOKUP(TTrainingSource[[#This Row],[Employee_ID]],THrList[],10,FALSE),"")</f>
        <v>Compliance</v>
      </c>
      <c r="F583" t="str">
        <f>TRIM(PROPER(TTrainingSource[[#This Row],[Training_Status2]]))</f>
        <v>Completed</v>
      </c>
      <c r="G583" t="s">
        <v>17</v>
      </c>
      <c r="H583" t="str">
        <f>TRIM(PROPER(TTrainingSource[[#This Row],[Training_Title2]]))</f>
        <v>Customer Data Analysis</v>
      </c>
      <c r="I583" t="s">
        <v>31</v>
      </c>
      <c r="J583" s="1">
        <v>45842</v>
      </c>
      <c r="K583" t="s">
        <v>132</v>
      </c>
      <c r="L583" s="7">
        <v>24</v>
      </c>
      <c r="M583">
        <f>ROUND(TTrainingSource[[#This Row],[Satisfaction_Score2]],0)</f>
        <v>3</v>
      </c>
      <c r="N583">
        <v>2.9</v>
      </c>
    </row>
    <row r="584" spans="1:14" x14ac:dyDescent="0.3">
      <c r="A584" t="s">
        <v>475</v>
      </c>
      <c r="B584" t="str">
        <f>TRIM(TTrainingSource[[#This Row],[EMPloyee_ID2]])</f>
        <v>EMP10292</v>
      </c>
      <c r="C584" t="str">
        <f>IFERROR(VLOOKUP(TTrainingSource[[#This Row],[Employee_ID]],THrList[],3,FALSE),"")</f>
        <v>JOHNSON</v>
      </c>
      <c r="D584" t="str">
        <f>IFERROR(VLOOKUP(TTrainingSource[[#This Row],[Employee_ID]],THrList[],4,FALSE),"")</f>
        <v>Emily</v>
      </c>
      <c r="E584" t="str">
        <f>IFERROR(VLOOKUP(TTrainingSource[[#This Row],[Employee_ID]],THrList[],10,FALSE),"")</f>
        <v>Compliance</v>
      </c>
      <c r="F584" t="str">
        <f>TRIM(PROPER(TTrainingSource[[#This Row],[Training_Status2]]))</f>
        <v>Planned</v>
      </c>
      <c r="G584" t="s">
        <v>19</v>
      </c>
      <c r="H584" t="str">
        <f>TRIM(PROPER(TTrainingSource[[#This Row],[Training_Title2]]))</f>
        <v>Sql For Data Analytics</v>
      </c>
      <c r="I584" t="s">
        <v>26</v>
      </c>
      <c r="J584" s="1">
        <v>44592</v>
      </c>
      <c r="K584" t="s">
        <v>42</v>
      </c>
      <c r="L584" s="7">
        <v>16</v>
      </c>
      <c r="M584">
        <f>ROUND(TTrainingSource[[#This Row],[Satisfaction_Score2]],0)</f>
        <v>4</v>
      </c>
      <c r="N584">
        <v>4</v>
      </c>
    </row>
    <row r="585" spans="1:14" x14ac:dyDescent="0.3">
      <c r="A585" t="s">
        <v>541</v>
      </c>
      <c r="B585" t="str">
        <f>TRIM(TTrainingSource[[#This Row],[EMPloyee_ID2]])</f>
        <v>EMP10293</v>
      </c>
      <c r="C585" t="str">
        <f>IFERROR(VLOOKUP(TTrainingSource[[#This Row],[Employee_ID]],THrList[],3,FALSE),"")</f>
        <v>WILSON</v>
      </c>
      <c r="D585" t="str">
        <f>IFERROR(VLOOKUP(TTrainingSource[[#This Row],[Employee_ID]],THrList[],4,FALSE),"")</f>
        <v>Mia</v>
      </c>
      <c r="E585" t="str">
        <f>IFERROR(VLOOKUP(TTrainingSource[[#This Row],[Employee_ID]],THrList[],10,FALSE),"")</f>
        <v>Finance</v>
      </c>
      <c r="F585" t="str">
        <f>TRIM(PROPER(TTrainingSource[[#This Row],[Training_Status2]]))</f>
        <v>In Progress</v>
      </c>
      <c r="G585" t="s">
        <v>8</v>
      </c>
      <c r="H585" t="str">
        <f>TRIM(PROPER(TTrainingSource[[#This Row],[Training_Title2]]))</f>
        <v>Introduction To Python For Data</v>
      </c>
      <c r="I585" t="s">
        <v>307</v>
      </c>
      <c r="J585" s="1">
        <v>45645</v>
      </c>
      <c r="K585" t="s">
        <v>29</v>
      </c>
      <c r="L585" s="7">
        <v>4</v>
      </c>
      <c r="M585">
        <f>ROUND(TTrainingSource[[#This Row],[Satisfaction_Score2]],0)</f>
        <v>3</v>
      </c>
      <c r="N585">
        <v>3.2</v>
      </c>
    </row>
    <row r="586" spans="1:14" x14ac:dyDescent="0.3">
      <c r="A586" t="s">
        <v>541</v>
      </c>
      <c r="B586" t="str">
        <f>TRIM(TTrainingSource[[#This Row],[EMPloyee_ID2]])</f>
        <v>EMP10293</v>
      </c>
      <c r="C586" t="str">
        <f>IFERROR(VLOOKUP(TTrainingSource[[#This Row],[Employee_ID]],THrList[],3,FALSE),"")</f>
        <v>WILSON</v>
      </c>
      <c r="D586" t="str">
        <f>IFERROR(VLOOKUP(TTrainingSource[[#This Row],[Employee_ID]],THrList[],4,FALSE),"")</f>
        <v>Mia</v>
      </c>
      <c r="E586" t="str">
        <f>IFERROR(VLOOKUP(TTrainingSource[[#This Row],[Employee_ID]],THrList[],10,FALSE),"")</f>
        <v>Finance</v>
      </c>
      <c r="F586" t="str">
        <f>TRIM(PROPER(TTrainingSource[[#This Row],[Training_Status2]]))</f>
        <v>In Progress</v>
      </c>
      <c r="G586" t="s">
        <v>8</v>
      </c>
      <c r="H586" t="str">
        <f>TRIM(PROPER(TTrainingSource[[#This Row],[Training_Title2]]))</f>
        <v>Customer Data Analysis</v>
      </c>
      <c r="I586" t="s">
        <v>31</v>
      </c>
      <c r="J586" s="1">
        <v>45658</v>
      </c>
      <c r="K586" t="s">
        <v>32</v>
      </c>
      <c r="L586" s="7">
        <v>4</v>
      </c>
      <c r="M586">
        <f>ROUND(TTrainingSource[[#This Row],[Satisfaction_Score2]],0)</f>
        <v>4</v>
      </c>
      <c r="N586">
        <v>3.5</v>
      </c>
    </row>
    <row r="587" spans="1:14" x14ac:dyDescent="0.3">
      <c r="A587" t="s">
        <v>541</v>
      </c>
      <c r="B587" t="str">
        <f>TRIM(TTrainingSource[[#This Row],[EMPloyee_ID2]])</f>
        <v>EMP10293</v>
      </c>
      <c r="C587" t="str">
        <f>IFERROR(VLOOKUP(TTrainingSource[[#This Row],[Employee_ID]],THrList[],3,FALSE),"")</f>
        <v>WILSON</v>
      </c>
      <c r="D587" t="str">
        <f>IFERROR(VLOOKUP(TTrainingSource[[#This Row],[Employee_ID]],THrList[],4,FALSE),"")</f>
        <v>Mia</v>
      </c>
      <c r="E587" t="str">
        <f>IFERROR(VLOOKUP(TTrainingSource[[#This Row],[Employee_ID]],THrList[],10,FALSE),"")</f>
        <v>Finance</v>
      </c>
      <c r="F587" t="str">
        <f>TRIM(PROPER(TTrainingSource[[#This Row],[Training_Status2]]))</f>
        <v>Completed</v>
      </c>
      <c r="G587" t="s">
        <v>17</v>
      </c>
      <c r="H587" t="str">
        <f>TRIM(PROPER(TTrainingSource[[#This Row],[Training_Title2]]))</f>
        <v>Data Visualization Best Practices</v>
      </c>
      <c r="I587" t="s">
        <v>20</v>
      </c>
      <c r="J587" s="1">
        <v>45803</v>
      </c>
      <c r="K587" t="s">
        <v>132</v>
      </c>
      <c r="L587" s="7">
        <v>4</v>
      </c>
      <c r="M587">
        <f>ROUND(TTrainingSource[[#This Row],[Satisfaction_Score2]],0)</f>
        <v>3</v>
      </c>
      <c r="N587">
        <v>3.4</v>
      </c>
    </row>
    <row r="588" spans="1:14" x14ac:dyDescent="0.3">
      <c r="A588" t="s">
        <v>541</v>
      </c>
      <c r="B588" t="str">
        <f>TRIM(TTrainingSource[[#This Row],[EMPloyee_ID2]])</f>
        <v>EMP10293</v>
      </c>
      <c r="C588" t="str">
        <f>IFERROR(VLOOKUP(TTrainingSource[[#This Row],[Employee_ID]],THrList[],3,FALSE),"")</f>
        <v>WILSON</v>
      </c>
      <c r="D588" t="str">
        <f>IFERROR(VLOOKUP(TTrainingSource[[#This Row],[Employee_ID]],THrList[],4,FALSE),"")</f>
        <v>Mia</v>
      </c>
      <c r="E588" t="str">
        <f>IFERROR(VLOOKUP(TTrainingSource[[#This Row],[Employee_ID]],THrList[],10,FALSE),"")</f>
        <v>Finance</v>
      </c>
      <c r="F588" t="str">
        <f>TRIM(PROPER(TTrainingSource[[#This Row],[Training_Status2]]))</f>
        <v>In Progress</v>
      </c>
      <c r="G588" t="s">
        <v>8</v>
      </c>
      <c r="H588" t="str">
        <f>TRIM(PROPER(TTrainingSource[[#This Row],[Training_Title2]]))</f>
        <v>Financial Modeling Basics</v>
      </c>
      <c r="I588" t="s">
        <v>38</v>
      </c>
      <c r="J588" s="1">
        <v>45013</v>
      </c>
      <c r="K588" t="s">
        <v>32</v>
      </c>
      <c r="L588" s="7">
        <v>20</v>
      </c>
      <c r="M588">
        <f>ROUND(TTrainingSource[[#This Row],[Satisfaction_Score2]],0)</f>
        <v>5</v>
      </c>
      <c r="N588">
        <v>4.5999999999999996</v>
      </c>
    </row>
    <row r="589" spans="1:14" x14ac:dyDescent="0.3">
      <c r="A589" t="s">
        <v>541</v>
      </c>
      <c r="B589" t="str">
        <f>TRIM(TTrainingSource[[#This Row],[EMPloyee_ID2]])</f>
        <v>EMP10293</v>
      </c>
      <c r="C589" t="str">
        <f>IFERROR(VLOOKUP(TTrainingSource[[#This Row],[Employee_ID]],THrList[],3,FALSE),"")</f>
        <v>WILSON</v>
      </c>
      <c r="D589" t="str">
        <f>IFERROR(VLOOKUP(TTrainingSource[[#This Row],[Employee_ID]],THrList[],4,FALSE),"")</f>
        <v>Mia</v>
      </c>
      <c r="E589" t="str">
        <f>IFERROR(VLOOKUP(TTrainingSource[[#This Row],[Employee_ID]],THrList[],10,FALSE),"")</f>
        <v>Finance</v>
      </c>
      <c r="F589" t="str">
        <f>TRIM(PROPER(TTrainingSource[[#This Row],[Training_Status2]]))</f>
        <v>Completed</v>
      </c>
      <c r="G589" t="s">
        <v>17</v>
      </c>
      <c r="H589" t="str">
        <f>TRIM(PROPER(TTrainingSource[[#This Row],[Training_Title2]]))</f>
        <v>Communication For Analysts</v>
      </c>
      <c r="I589" t="s">
        <v>28</v>
      </c>
      <c r="J589" s="1">
        <v>45393</v>
      </c>
      <c r="K589" t="s">
        <v>42</v>
      </c>
      <c r="L589" s="7">
        <v>4</v>
      </c>
      <c r="M589">
        <f>ROUND(TTrainingSource[[#This Row],[Satisfaction_Score2]],0)</f>
        <v>4</v>
      </c>
      <c r="N589">
        <v>4.4000000000000004</v>
      </c>
    </row>
    <row r="590" spans="1:14" x14ac:dyDescent="0.3">
      <c r="A590" t="s">
        <v>271</v>
      </c>
      <c r="B590" t="str">
        <f>TRIM(TTrainingSource[[#This Row],[EMPloyee_ID2]])</f>
        <v>EMP10294</v>
      </c>
      <c r="C590" t="str">
        <f>IFERROR(VLOOKUP(TTrainingSource[[#This Row],[Employee_ID]],THrList[],3,FALSE),"")</f>
        <v>PETIT</v>
      </c>
      <c r="D590" t="str">
        <f>IFERROR(VLOOKUP(TTrainingSource[[#This Row],[Employee_ID]],THrList[],4,FALSE),"")</f>
        <v>Ngozi</v>
      </c>
      <c r="E590" t="str">
        <f>IFERROR(VLOOKUP(TTrainingSource[[#This Row],[Employee_ID]],THrList[],10,FALSE),"")</f>
        <v>Operations</v>
      </c>
      <c r="F590" t="str">
        <f>TRIM(PROPER(TTrainingSource[[#This Row],[Training_Status2]]))</f>
        <v>Completed</v>
      </c>
      <c r="G590" t="s">
        <v>17</v>
      </c>
      <c r="H590" t="str">
        <f>TRIM(PROPER(TTrainingSource[[#This Row],[Training_Title2]]))</f>
        <v>Power Bi Reporting</v>
      </c>
      <c r="I590" t="s">
        <v>24</v>
      </c>
      <c r="J590" s="1">
        <v>45071</v>
      </c>
      <c r="K590" t="s">
        <v>132</v>
      </c>
      <c r="L590" s="7">
        <v>20</v>
      </c>
      <c r="M590">
        <f>ROUND(TTrainingSource[[#This Row],[Satisfaction_Score2]],0)</f>
        <v>4</v>
      </c>
      <c r="N590">
        <v>4.2</v>
      </c>
    </row>
    <row r="591" spans="1:14" x14ac:dyDescent="0.3">
      <c r="A591" t="s">
        <v>498</v>
      </c>
      <c r="B591" t="str">
        <f>TRIM(TTrainingSource[[#This Row],[EMPloyee_ID2]])</f>
        <v>EMP10295</v>
      </c>
      <c r="C591" t="str">
        <f>IFERROR(VLOOKUP(TTrainingSource[[#This Row],[Employee_ID]],THrList[],3,FALSE),"")</f>
        <v>GIRARD</v>
      </c>
      <c r="D591" t="str">
        <f>IFERROR(VLOOKUP(TTrainingSource[[#This Row],[Employee_ID]],THrList[],4,FALSE),"")</f>
        <v>Noah</v>
      </c>
      <c r="E591" t="str">
        <f>IFERROR(VLOOKUP(TTrainingSource[[#This Row],[Employee_ID]],THrList[],10,FALSE),"")</f>
        <v>Customer Support</v>
      </c>
      <c r="F591" t="str">
        <f>TRIM(PROPER(TTrainingSource[[#This Row],[Training_Status2]]))</f>
        <v>Planned</v>
      </c>
      <c r="G591" t="s">
        <v>19</v>
      </c>
      <c r="H591" t="str">
        <f>TRIM(PROPER(TTrainingSource[[#This Row],[Training_Title2]]))</f>
        <v>Sql For Data Analytics</v>
      </c>
      <c r="I591" t="s">
        <v>418</v>
      </c>
      <c r="J591" s="1">
        <v>45942</v>
      </c>
      <c r="K591" t="s">
        <v>44</v>
      </c>
      <c r="L591" s="7">
        <v>32</v>
      </c>
      <c r="M591">
        <f>ROUND(TTrainingSource[[#This Row],[Satisfaction_Score2]],0)</f>
        <v>4</v>
      </c>
      <c r="N591">
        <v>3.8</v>
      </c>
    </row>
    <row r="592" spans="1:14" x14ac:dyDescent="0.3">
      <c r="A592" t="s">
        <v>486</v>
      </c>
      <c r="B592" t="str">
        <f>TRIM(TTrainingSource[[#This Row],[EMPloyee_ID2]])</f>
        <v>EMP10297</v>
      </c>
      <c r="C592" t="str">
        <f>IFERROR(VLOOKUP(TTrainingSource[[#This Row],[Employee_ID]],THrList[],3,FALSE),"")</f>
        <v>KONE</v>
      </c>
      <c r="D592" t="str">
        <f>IFERROR(VLOOKUP(TTrainingSource[[#This Row],[Employee_ID]],THrList[],4,FALSE),"")</f>
        <v>Nina</v>
      </c>
      <c r="E592" t="str">
        <f>IFERROR(VLOOKUP(TTrainingSource[[#This Row],[Employee_ID]],THrList[],10,FALSE),"")</f>
        <v>Customer Support</v>
      </c>
      <c r="F592" t="str">
        <f>TRIM(PROPER(TTrainingSource[[#This Row],[Training_Status2]]))</f>
        <v>Completed</v>
      </c>
      <c r="G592" t="s">
        <v>17</v>
      </c>
      <c r="H592" t="str">
        <f>TRIM(PROPER(TTrainingSource[[#This Row],[Training_Title2]]))</f>
        <v>Business Intelligence With Tableau</v>
      </c>
      <c r="I592" t="s">
        <v>22</v>
      </c>
      <c r="J592" s="1">
        <v>45024</v>
      </c>
      <c r="K592" t="s">
        <v>98</v>
      </c>
      <c r="L592" s="7">
        <v>4</v>
      </c>
      <c r="M592">
        <f>ROUND(TTrainingSource[[#This Row],[Satisfaction_Score2]],0)</f>
        <v>4</v>
      </c>
      <c r="N592">
        <v>3.9</v>
      </c>
    </row>
    <row r="593" spans="1:14" x14ac:dyDescent="0.3">
      <c r="A593" t="s">
        <v>486</v>
      </c>
      <c r="B593" t="str">
        <f>TRIM(TTrainingSource[[#This Row],[EMPloyee_ID2]])</f>
        <v>EMP10297</v>
      </c>
      <c r="C593" t="str">
        <f>IFERROR(VLOOKUP(TTrainingSource[[#This Row],[Employee_ID]],THrList[],3,FALSE),"")</f>
        <v>KONE</v>
      </c>
      <c r="D593" t="str">
        <f>IFERROR(VLOOKUP(TTrainingSource[[#This Row],[Employee_ID]],THrList[],4,FALSE),"")</f>
        <v>Nina</v>
      </c>
      <c r="E593" t="str">
        <f>IFERROR(VLOOKUP(TTrainingSource[[#This Row],[Employee_ID]],THrList[],10,FALSE),"")</f>
        <v>Customer Support</v>
      </c>
      <c r="F593" t="str">
        <f>TRIM(PROPER(TTrainingSource[[#This Row],[Training_Status2]]))</f>
        <v>Planned</v>
      </c>
      <c r="G593" t="s">
        <v>19</v>
      </c>
      <c r="H593" t="str">
        <f>TRIM(PROPER(TTrainingSource[[#This Row],[Training_Title2]]))</f>
        <v>Project Management Essentials</v>
      </c>
      <c r="I593" t="s">
        <v>14</v>
      </c>
      <c r="J593" s="1">
        <v>45212</v>
      </c>
      <c r="K593" t="s">
        <v>44</v>
      </c>
      <c r="L593" s="7">
        <v>16</v>
      </c>
      <c r="M593">
        <f>ROUND(TTrainingSource[[#This Row],[Satisfaction_Score2]],0)</f>
        <v>5</v>
      </c>
      <c r="N593">
        <v>4.7</v>
      </c>
    </row>
    <row r="594" spans="1:14" x14ac:dyDescent="0.3">
      <c r="A594" t="s">
        <v>486</v>
      </c>
      <c r="B594" t="str">
        <f>TRIM(TTrainingSource[[#This Row],[EMPloyee_ID2]])</f>
        <v>EMP10297</v>
      </c>
      <c r="C594" t="str">
        <f>IFERROR(VLOOKUP(TTrainingSource[[#This Row],[Employee_ID]],THrList[],3,FALSE),"")</f>
        <v>KONE</v>
      </c>
      <c r="D594" t="str">
        <f>IFERROR(VLOOKUP(TTrainingSource[[#This Row],[Employee_ID]],THrList[],4,FALSE),"")</f>
        <v>Nina</v>
      </c>
      <c r="E594" t="str">
        <f>IFERROR(VLOOKUP(TTrainingSource[[#This Row],[Employee_ID]],THrList[],10,FALSE),"")</f>
        <v>Customer Support</v>
      </c>
      <c r="F594" t="str">
        <f>TRIM(PROPER(TTrainingSource[[#This Row],[Training_Status2]]))</f>
        <v>Completed</v>
      </c>
      <c r="G594" t="s">
        <v>17</v>
      </c>
      <c r="H594" t="str">
        <f>TRIM(PROPER(TTrainingSource[[#This Row],[Training_Title2]]))</f>
        <v>Business Intelligence With Tableau</v>
      </c>
      <c r="I594" t="s">
        <v>22</v>
      </c>
      <c r="J594" s="1">
        <v>45728</v>
      </c>
      <c r="K594" t="s">
        <v>132</v>
      </c>
      <c r="L594" s="7">
        <v>8</v>
      </c>
      <c r="M594">
        <f>ROUND(TTrainingSource[[#This Row],[Satisfaction_Score2]],0)</f>
        <v>5</v>
      </c>
      <c r="N594">
        <v>4.8</v>
      </c>
    </row>
    <row r="595" spans="1:14" x14ac:dyDescent="0.3">
      <c r="A595" t="s">
        <v>679</v>
      </c>
      <c r="B595" t="str">
        <f>TRIM(TTrainingSource[[#This Row],[EMPloyee_ID2]])</f>
        <v>EMP10298</v>
      </c>
      <c r="C595" t="str">
        <f>IFERROR(VLOOKUP(TTrainingSource[[#This Row],[Employee_ID]],THrList[],3,FALSE),"")</f>
        <v>HASSAN</v>
      </c>
      <c r="D595" t="str">
        <f>IFERROR(VLOOKUP(TTrainingSource[[#This Row],[Employee_ID]],THrList[],4,FALSE),"")</f>
        <v>Sophie</v>
      </c>
      <c r="E595" t="str">
        <f>IFERROR(VLOOKUP(TTrainingSource[[#This Row],[Employee_ID]],THrList[],10,FALSE),"")</f>
        <v>Human Resources</v>
      </c>
      <c r="F595" t="str">
        <f>TRIM(PROPER(TTrainingSource[[#This Row],[Training_Status2]]))</f>
        <v>Completed</v>
      </c>
      <c r="G595" t="s">
        <v>35</v>
      </c>
      <c r="H595" t="str">
        <f>TRIM(PROPER(TTrainingSource[[#This Row],[Training_Title2]]))</f>
        <v>Introduction To Python For Data</v>
      </c>
      <c r="I595" t="s">
        <v>62</v>
      </c>
      <c r="J595" s="1">
        <v>44726</v>
      </c>
      <c r="K595" t="s">
        <v>46</v>
      </c>
      <c r="L595" s="7">
        <v>32</v>
      </c>
      <c r="M595">
        <f>ROUND(TTrainingSource[[#This Row],[Satisfaction_Score2]],0)</f>
        <v>4</v>
      </c>
      <c r="N595">
        <v>3.7</v>
      </c>
    </row>
    <row r="596" spans="1:14" x14ac:dyDescent="0.3">
      <c r="A596" t="s">
        <v>679</v>
      </c>
      <c r="B596" t="str">
        <f>TRIM(TTrainingSource[[#This Row],[EMPloyee_ID2]])</f>
        <v>EMP10298</v>
      </c>
      <c r="C596" t="str">
        <f>IFERROR(VLOOKUP(TTrainingSource[[#This Row],[Employee_ID]],THrList[],3,FALSE),"")</f>
        <v>HASSAN</v>
      </c>
      <c r="D596" t="str">
        <f>IFERROR(VLOOKUP(TTrainingSource[[#This Row],[Employee_ID]],THrList[],4,FALSE),"")</f>
        <v>Sophie</v>
      </c>
      <c r="E596" t="str">
        <f>IFERROR(VLOOKUP(TTrainingSource[[#This Row],[Employee_ID]],THrList[],10,FALSE),"")</f>
        <v>Human Resources</v>
      </c>
      <c r="F596" t="str">
        <f>TRIM(PROPER(TTrainingSource[[#This Row],[Training_Status2]]))</f>
        <v>In Progress</v>
      </c>
      <c r="G596" t="s">
        <v>8</v>
      </c>
      <c r="H596" t="str">
        <f>TRIM(PROPER(TTrainingSource[[#This Row],[Training_Title2]]))</f>
        <v>Business Intelligence With Tableau</v>
      </c>
      <c r="I596" t="s">
        <v>22</v>
      </c>
      <c r="J596" s="1">
        <v>44872</v>
      </c>
      <c r="K596" t="s">
        <v>98</v>
      </c>
      <c r="L596" s="7">
        <v>12</v>
      </c>
      <c r="M596">
        <f>ROUND(TTrainingSource[[#This Row],[Satisfaction_Score2]],0)</f>
        <v>5</v>
      </c>
      <c r="N596">
        <v>4.7</v>
      </c>
    </row>
    <row r="597" spans="1:14" x14ac:dyDescent="0.3">
      <c r="A597" t="s">
        <v>737</v>
      </c>
      <c r="B597" t="str">
        <f>TRIM(TTrainingSource[[#This Row],[EMPloyee_ID2]])</f>
        <v>EMP10299</v>
      </c>
      <c r="C597" t="str">
        <f>IFERROR(VLOOKUP(TTrainingSource[[#This Row],[Employee_ID]],THrList[],3,FALSE),"")</f>
        <v>LAURENT</v>
      </c>
      <c r="D597" t="str">
        <f>IFERROR(VLOOKUP(TTrainingSource[[#This Row],[Employee_ID]],THrList[],4,FALSE),"")</f>
        <v>Emma</v>
      </c>
      <c r="E597" t="str">
        <f>IFERROR(VLOOKUP(TTrainingSource[[#This Row],[Employee_ID]],THrList[],10,FALSE),"")</f>
        <v>Compliance</v>
      </c>
      <c r="F597" t="str">
        <f>TRIM(PROPER(TTrainingSource[[#This Row],[Training_Status2]]))</f>
        <v>Completed</v>
      </c>
      <c r="G597" t="s">
        <v>17</v>
      </c>
      <c r="H597" t="str">
        <f>TRIM(PROPER(TTrainingSource[[#This Row],[Training_Title2]]))</f>
        <v>Introduction To Python For Data</v>
      </c>
      <c r="I597" t="s">
        <v>467</v>
      </c>
      <c r="J597" s="1">
        <v>45523</v>
      </c>
      <c r="K597" t="s">
        <v>98</v>
      </c>
      <c r="L597" s="7">
        <v>8</v>
      </c>
      <c r="M597">
        <f>ROUND(TTrainingSource[[#This Row],[Satisfaction_Score2]],0)</f>
        <v>4</v>
      </c>
      <c r="N597">
        <v>4.0999999999999996</v>
      </c>
    </row>
    <row r="598" spans="1:14" x14ac:dyDescent="0.3">
      <c r="A598" t="s">
        <v>581</v>
      </c>
      <c r="B598" t="str">
        <f>TRIM(TTrainingSource[[#This Row],[EMPloyee_ID2]])</f>
        <v>EMP10300</v>
      </c>
      <c r="C598" t="str">
        <f>IFERROR(VLOOKUP(TTrainingSource[[#This Row],[Employee_ID]],THrList[],3,FALSE),"")</f>
        <v>HERNANDEZ</v>
      </c>
      <c r="D598" t="str">
        <f>IFERROR(VLOOKUP(TTrainingSource[[#This Row],[Employee_ID]],THrList[],4,FALSE),"")</f>
        <v>Jean</v>
      </c>
      <c r="E598" t="str">
        <f>IFERROR(VLOOKUP(TTrainingSource[[#This Row],[Employee_ID]],THrList[],10,FALSE),"")</f>
        <v>Sales</v>
      </c>
      <c r="F598" t="str">
        <f>TRIM(PROPER(TTrainingSource[[#This Row],[Training_Status2]]))</f>
        <v>In Progress</v>
      </c>
      <c r="G598" t="s">
        <v>8</v>
      </c>
      <c r="H598" t="str">
        <f>TRIM(PROPER(TTrainingSource[[#This Row],[Training_Title2]]))</f>
        <v>Sql For Data Analytics</v>
      </c>
      <c r="I598" t="s">
        <v>26</v>
      </c>
      <c r="J598" s="1">
        <v>45214</v>
      </c>
      <c r="K598" t="s">
        <v>42</v>
      </c>
      <c r="L598" s="7">
        <v>6</v>
      </c>
      <c r="M598">
        <f>ROUND(TTrainingSource[[#This Row],[Satisfaction_Score2]],0)</f>
        <v>4</v>
      </c>
      <c r="N598">
        <v>3.7</v>
      </c>
    </row>
    <row r="599" spans="1:14" x14ac:dyDescent="0.3">
      <c r="A599" t="s">
        <v>688</v>
      </c>
      <c r="B599" t="str">
        <f>TRIM(TTrainingSource[[#This Row],[EMPloyee_ID2]])</f>
        <v>EMP10300</v>
      </c>
      <c r="C599" t="str">
        <f>IFERROR(VLOOKUP(TTrainingSource[[#This Row],[Employee_ID]],THrList[],3,FALSE),"")</f>
        <v>HERNANDEZ</v>
      </c>
      <c r="D599" t="str">
        <f>IFERROR(VLOOKUP(TTrainingSource[[#This Row],[Employee_ID]],THrList[],4,FALSE),"")</f>
        <v>Jean</v>
      </c>
      <c r="E599" t="str">
        <f>IFERROR(VLOOKUP(TTrainingSource[[#This Row],[Employee_ID]],THrList[],10,FALSE),"")</f>
        <v>Sales</v>
      </c>
      <c r="F599" t="str">
        <f>TRIM(PROPER(TTrainingSource[[#This Row],[Training_Status2]]))</f>
        <v>Completed</v>
      </c>
      <c r="G599" t="s">
        <v>17</v>
      </c>
      <c r="H599" t="str">
        <f>TRIM(PROPER(TTrainingSource[[#This Row],[Training_Title2]]))</f>
        <v>Financial Modeling Basics</v>
      </c>
      <c r="I599" t="s">
        <v>331</v>
      </c>
      <c r="J599" s="1">
        <v>45304</v>
      </c>
      <c r="K599" t="s">
        <v>44</v>
      </c>
      <c r="L599" s="7">
        <v>4</v>
      </c>
      <c r="M599">
        <f>ROUND(TTrainingSource[[#This Row],[Satisfaction_Score2]],0)</f>
        <v>5</v>
      </c>
      <c r="N599">
        <v>4.8</v>
      </c>
    </row>
    <row r="600" spans="1:14" x14ac:dyDescent="0.3">
      <c r="A600" t="s">
        <v>982</v>
      </c>
      <c r="B600" t="str">
        <f>TRIM(TTrainingSource[[#This Row],[EMPloyee_ID2]])</f>
        <v>EMP10301</v>
      </c>
      <c r="C600" t="str">
        <f>IFERROR(VLOOKUP(TTrainingSource[[#This Row],[Employee_ID]],THrList[],3,FALSE),"")</f>
        <v>ROUSSEAU</v>
      </c>
      <c r="D600" t="str">
        <f>IFERROR(VLOOKUP(TTrainingSource[[#This Row],[Employee_ID]],THrList[],4,FALSE),"")</f>
        <v>Yusuf</v>
      </c>
      <c r="E600" t="str">
        <f>IFERROR(VLOOKUP(TTrainingSource[[#This Row],[Employee_ID]],THrList[],10,FALSE),"")</f>
        <v>Finance</v>
      </c>
      <c r="F600" t="str">
        <f>TRIM(PROPER(TTrainingSource[[#This Row],[Training_Status2]]))</f>
        <v>Completed</v>
      </c>
      <c r="G600" t="s">
        <v>17</v>
      </c>
      <c r="H600" t="str">
        <f>TRIM(PROPER(TTrainingSource[[#This Row],[Training_Title2]]))</f>
        <v>Sql For Data Analytics</v>
      </c>
      <c r="I600" t="s">
        <v>11</v>
      </c>
      <c r="J600" s="1">
        <v>45572</v>
      </c>
      <c r="K600" t="s">
        <v>44</v>
      </c>
      <c r="L600" s="7">
        <v>20</v>
      </c>
      <c r="M600">
        <f>ROUND(TTrainingSource[[#This Row],[Satisfaction_Score2]],0)</f>
        <v>3</v>
      </c>
      <c r="N600">
        <v>3.1</v>
      </c>
    </row>
    <row r="601" spans="1:14" x14ac:dyDescent="0.3">
      <c r="A601" t="s">
        <v>982</v>
      </c>
      <c r="B601" t="str">
        <f>TRIM(TTrainingSource[[#This Row],[EMPloyee_ID2]])</f>
        <v>EMP10301</v>
      </c>
      <c r="C601" t="str">
        <f>IFERROR(VLOOKUP(TTrainingSource[[#This Row],[Employee_ID]],THrList[],3,FALSE),"")</f>
        <v>ROUSSEAU</v>
      </c>
      <c r="D601" t="str">
        <f>IFERROR(VLOOKUP(TTrainingSource[[#This Row],[Employee_ID]],THrList[],4,FALSE),"")</f>
        <v>Yusuf</v>
      </c>
      <c r="E601" t="str">
        <f>IFERROR(VLOOKUP(TTrainingSource[[#This Row],[Employee_ID]],THrList[],10,FALSE),"")</f>
        <v>Finance</v>
      </c>
      <c r="F601" t="str">
        <f>TRIM(PROPER(TTrainingSource[[#This Row],[Training_Status2]]))</f>
        <v>Completed</v>
      </c>
      <c r="G601" t="s">
        <v>69</v>
      </c>
      <c r="H601" t="str">
        <f>TRIM(PROPER(TTrainingSource[[#This Row],[Training_Title2]]))</f>
        <v>Project Management Essentials</v>
      </c>
      <c r="I601" t="s">
        <v>14</v>
      </c>
      <c r="J601" s="1">
        <v>45178</v>
      </c>
      <c r="K601" t="s">
        <v>44</v>
      </c>
      <c r="L601" s="7">
        <v>24</v>
      </c>
      <c r="M601">
        <f>ROUND(TTrainingSource[[#This Row],[Satisfaction_Score2]],0)</f>
        <v>5</v>
      </c>
      <c r="N601">
        <v>4.5</v>
      </c>
    </row>
    <row r="602" spans="1:14" x14ac:dyDescent="0.3">
      <c r="A602" t="s">
        <v>982</v>
      </c>
      <c r="B602" t="str">
        <f>TRIM(TTrainingSource[[#This Row],[EMPloyee_ID2]])</f>
        <v>EMP10301</v>
      </c>
      <c r="C602" t="str">
        <f>IFERROR(VLOOKUP(TTrainingSource[[#This Row],[Employee_ID]],THrList[],3,FALSE),"")</f>
        <v>ROUSSEAU</v>
      </c>
      <c r="D602" t="str">
        <f>IFERROR(VLOOKUP(TTrainingSource[[#This Row],[Employee_ID]],THrList[],4,FALSE),"")</f>
        <v>Yusuf</v>
      </c>
      <c r="E602" t="str">
        <f>IFERROR(VLOOKUP(TTrainingSource[[#This Row],[Employee_ID]],THrList[],10,FALSE),"")</f>
        <v>Finance</v>
      </c>
      <c r="F602" t="str">
        <f>TRIM(PROPER(TTrainingSource[[#This Row],[Training_Status2]]))</f>
        <v>In Progress</v>
      </c>
      <c r="G602" t="s">
        <v>8</v>
      </c>
      <c r="H602" t="str">
        <f>TRIM(PROPER(TTrainingSource[[#This Row],[Training_Title2]]))</f>
        <v>Financial Modeling Basics</v>
      </c>
      <c r="I602" t="s">
        <v>38</v>
      </c>
      <c r="J602" s="1">
        <v>45470</v>
      </c>
      <c r="K602" t="s">
        <v>46</v>
      </c>
      <c r="L602" s="7">
        <v>8</v>
      </c>
      <c r="M602">
        <f>ROUND(TTrainingSource[[#This Row],[Satisfaction_Score2]],0)</f>
        <v>4</v>
      </c>
      <c r="N602">
        <v>4.2</v>
      </c>
    </row>
    <row r="603" spans="1:14" x14ac:dyDescent="0.3">
      <c r="A603" t="s">
        <v>667</v>
      </c>
      <c r="B603" t="str">
        <f>TRIM(TTrainingSource[[#This Row],[EMPloyee_ID2]])</f>
        <v>EMP10302</v>
      </c>
      <c r="C603" t="str">
        <f>IFERROR(VLOOKUP(TTrainingSource[[#This Row],[Employee_ID]],THrList[],3,FALSE),"")</f>
        <v>DAVIS</v>
      </c>
      <c r="D603" t="str">
        <f>IFERROR(VLOOKUP(TTrainingSource[[#This Row],[Employee_ID]],THrList[],4,FALSE),"")</f>
        <v>Julien</v>
      </c>
      <c r="E603" t="str">
        <f>IFERROR(VLOOKUP(TTrainingSource[[#This Row],[Employee_ID]],THrList[],10,FALSE),"")</f>
        <v>Marketing</v>
      </c>
      <c r="F603" t="str">
        <f>TRIM(PROPER(TTrainingSource[[#This Row],[Training_Status2]]))</f>
        <v>Planned</v>
      </c>
      <c r="G603" t="s">
        <v>19</v>
      </c>
      <c r="H603" t="str">
        <f>TRIM(PROPER(TTrainingSource[[#This Row],[Training_Title2]]))</f>
        <v>Digital Marketing Strategy</v>
      </c>
      <c r="I603" t="s">
        <v>43</v>
      </c>
      <c r="J603" s="1">
        <v>45043</v>
      </c>
      <c r="K603" t="s">
        <v>39</v>
      </c>
      <c r="L603" s="7">
        <v>16</v>
      </c>
      <c r="M603">
        <f>ROUND(TTrainingSource[[#This Row],[Satisfaction_Score2]],0)</f>
        <v>4</v>
      </c>
      <c r="N603">
        <v>4.0999999999999996</v>
      </c>
    </row>
    <row r="604" spans="1:14" x14ac:dyDescent="0.3">
      <c r="A604" t="s">
        <v>667</v>
      </c>
      <c r="B604" t="str">
        <f>TRIM(TTrainingSource[[#This Row],[EMPloyee_ID2]])</f>
        <v>EMP10302</v>
      </c>
      <c r="C604" t="str">
        <f>IFERROR(VLOOKUP(TTrainingSource[[#This Row],[Employee_ID]],THrList[],3,FALSE),"")</f>
        <v>DAVIS</v>
      </c>
      <c r="D604" t="str">
        <f>IFERROR(VLOOKUP(TTrainingSource[[#This Row],[Employee_ID]],THrList[],4,FALSE),"")</f>
        <v>Julien</v>
      </c>
      <c r="E604" t="str">
        <f>IFERROR(VLOOKUP(TTrainingSource[[#This Row],[Employee_ID]],THrList[],10,FALSE),"")</f>
        <v>Marketing</v>
      </c>
      <c r="F604" t="str">
        <f>TRIM(PROPER(TTrainingSource[[#This Row],[Training_Status2]]))</f>
        <v>Completed</v>
      </c>
      <c r="G604" t="s">
        <v>17</v>
      </c>
      <c r="H604" t="str">
        <f>TRIM(PROPER(TTrainingSource[[#This Row],[Training_Title2]]))</f>
        <v>Data Visualization Best Practices</v>
      </c>
      <c r="I604" t="s">
        <v>20</v>
      </c>
      <c r="J604" s="1">
        <v>45948</v>
      </c>
      <c r="K604" t="s">
        <v>46</v>
      </c>
      <c r="L604" s="7">
        <v>20</v>
      </c>
      <c r="M604">
        <f>ROUND(TTrainingSource[[#This Row],[Satisfaction_Score2]],0)</f>
        <v>4</v>
      </c>
      <c r="N604">
        <v>3.5</v>
      </c>
    </row>
    <row r="605" spans="1:14" x14ac:dyDescent="0.3">
      <c r="A605" t="s">
        <v>335</v>
      </c>
      <c r="B605" t="str">
        <f>TRIM(TTrainingSource[[#This Row],[EMPloyee_ID2]])</f>
        <v>EMP10303</v>
      </c>
      <c r="C605" t="str">
        <f>IFERROR(VLOOKUP(TTrainingSource[[#This Row],[Employee_ID]],THrList[],3,FALSE),"")</f>
        <v>SOW</v>
      </c>
      <c r="D605" t="str">
        <f>IFERROR(VLOOKUP(TTrainingSource[[#This Row],[Employee_ID]],THrList[],4,FALSE),"")</f>
        <v>Emily</v>
      </c>
      <c r="E605" t="str">
        <f>IFERROR(VLOOKUP(TTrainingSource[[#This Row],[Employee_ID]],THrList[],10,FALSE),"")</f>
        <v>Operations</v>
      </c>
      <c r="F605" t="str">
        <f>TRIM(PROPER(TTrainingSource[[#This Row],[Training_Status2]]))</f>
        <v>Completed</v>
      </c>
      <c r="G605" t="s">
        <v>17</v>
      </c>
      <c r="H605" t="str">
        <f>TRIM(PROPER(TTrainingSource[[#This Row],[Training_Title2]]))</f>
        <v>Business Intelligence With Tableau</v>
      </c>
      <c r="I605" t="s">
        <v>22</v>
      </c>
      <c r="J605" s="1">
        <v>45251</v>
      </c>
      <c r="K605" t="s">
        <v>71</v>
      </c>
      <c r="L605" s="7">
        <v>32</v>
      </c>
      <c r="M605">
        <f>ROUND(TTrainingSource[[#This Row],[Satisfaction_Score2]],0)</f>
        <v>4</v>
      </c>
      <c r="N605">
        <v>4</v>
      </c>
    </row>
    <row r="606" spans="1:14" x14ac:dyDescent="0.3">
      <c r="A606" t="s">
        <v>438</v>
      </c>
      <c r="B606" t="str">
        <f>TRIM(TTrainingSource[[#This Row],[EMPloyee_ID2]])</f>
        <v>EMP10304</v>
      </c>
      <c r="C606" t="str">
        <f>IFERROR(VLOOKUP(TTrainingSource[[#This Row],[Employee_ID]],THrList[],3,FALSE),"")</f>
        <v>KONE</v>
      </c>
      <c r="D606" t="str">
        <f>IFERROR(VLOOKUP(TTrainingSource[[#This Row],[Employee_ID]],THrList[],4,FALSE),"")</f>
        <v>Julien</v>
      </c>
      <c r="E606" t="str">
        <f>IFERROR(VLOOKUP(TTrainingSource[[#This Row],[Employee_ID]],THrList[],10,FALSE),"")</f>
        <v>Finance</v>
      </c>
      <c r="F606" t="str">
        <f>TRIM(PROPER(TTrainingSource[[#This Row],[Training_Status2]]))</f>
        <v>Planned</v>
      </c>
      <c r="G606" t="s">
        <v>19</v>
      </c>
      <c r="H606" t="str">
        <f>TRIM(PROPER(TTrainingSource[[#This Row],[Training_Title2]]))</f>
        <v>Power Bi Reporting</v>
      </c>
      <c r="I606" t="s">
        <v>24</v>
      </c>
      <c r="J606" s="1">
        <v>45516</v>
      </c>
      <c r="K606" t="s">
        <v>29</v>
      </c>
      <c r="L606" s="7">
        <v>20</v>
      </c>
      <c r="M606">
        <f>ROUND(TTrainingSource[[#This Row],[Satisfaction_Score2]],0)</f>
        <v>5</v>
      </c>
      <c r="N606">
        <v>4.8</v>
      </c>
    </row>
    <row r="607" spans="1:14" x14ac:dyDescent="0.3">
      <c r="A607" t="s">
        <v>438</v>
      </c>
      <c r="B607" t="str">
        <f>TRIM(TTrainingSource[[#This Row],[EMPloyee_ID2]])</f>
        <v>EMP10304</v>
      </c>
      <c r="C607" t="str">
        <f>IFERROR(VLOOKUP(TTrainingSource[[#This Row],[Employee_ID]],THrList[],3,FALSE),"")</f>
        <v>KONE</v>
      </c>
      <c r="D607" t="str">
        <f>IFERROR(VLOOKUP(TTrainingSource[[#This Row],[Employee_ID]],THrList[],4,FALSE),"")</f>
        <v>Julien</v>
      </c>
      <c r="E607" t="str">
        <f>IFERROR(VLOOKUP(TTrainingSource[[#This Row],[Employee_ID]],THrList[],10,FALSE),"")</f>
        <v>Finance</v>
      </c>
      <c r="F607" t="str">
        <f>TRIM(PROPER(TTrainingSource[[#This Row],[Training_Status2]]))</f>
        <v>Completed</v>
      </c>
      <c r="G607" t="s">
        <v>17</v>
      </c>
      <c r="H607" t="str">
        <f>TRIM(PROPER(TTrainingSource[[#This Row],[Training_Title2]]))</f>
        <v>Power Bi Reporting</v>
      </c>
      <c r="I607" t="s">
        <v>130</v>
      </c>
      <c r="J607" s="1">
        <v>45805</v>
      </c>
      <c r="K607" t="s">
        <v>46</v>
      </c>
      <c r="L607" s="7">
        <v>20</v>
      </c>
      <c r="M607">
        <f>ROUND(TTrainingSource[[#This Row],[Satisfaction_Score2]],0)</f>
        <v>4</v>
      </c>
      <c r="N607">
        <v>4</v>
      </c>
    </row>
    <row r="608" spans="1:14" x14ac:dyDescent="0.3">
      <c r="A608" t="s">
        <v>438</v>
      </c>
      <c r="B608" t="str">
        <f>TRIM(TTrainingSource[[#This Row],[EMPloyee_ID2]])</f>
        <v>EMP10304</v>
      </c>
      <c r="C608" t="str">
        <f>IFERROR(VLOOKUP(TTrainingSource[[#This Row],[Employee_ID]],THrList[],3,FALSE),"")</f>
        <v>KONE</v>
      </c>
      <c r="D608" t="str">
        <f>IFERROR(VLOOKUP(TTrainingSource[[#This Row],[Employee_ID]],THrList[],4,FALSE),"")</f>
        <v>Julien</v>
      </c>
      <c r="E608" t="str">
        <f>IFERROR(VLOOKUP(TTrainingSource[[#This Row],[Employee_ID]],THrList[],10,FALSE),"")</f>
        <v>Finance</v>
      </c>
      <c r="F608" t="str">
        <f>TRIM(PROPER(TTrainingSource[[#This Row],[Training_Status2]]))</f>
        <v>Completed</v>
      </c>
      <c r="G608" t="s">
        <v>17</v>
      </c>
      <c r="H608" t="str">
        <f>TRIM(PROPER(TTrainingSource[[#This Row],[Training_Title2]]))</f>
        <v>Introduction To Python For Data</v>
      </c>
      <c r="I608" t="s">
        <v>62</v>
      </c>
      <c r="J608" s="1">
        <v>45311</v>
      </c>
      <c r="K608" t="s">
        <v>46</v>
      </c>
      <c r="L608" s="7">
        <v>32</v>
      </c>
      <c r="M608">
        <f>ROUND(TTrainingSource[[#This Row],[Satisfaction_Score2]],0)</f>
        <v>4</v>
      </c>
      <c r="N608">
        <v>3.6</v>
      </c>
    </row>
    <row r="609" spans="1:14" x14ac:dyDescent="0.3">
      <c r="A609" t="s">
        <v>556</v>
      </c>
      <c r="B609" t="str">
        <f>TRIM(TTrainingSource[[#This Row],[EMPloyee_ID2]])</f>
        <v>EMP10305</v>
      </c>
      <c r="C609" t="str">
        <f>IFERROR(VLOOKUP(TTrainingSource[[#This Row],[Employee_ID]],THrList[],3,FALSE),"")</f>
        <v>KIM</v>
      </c>
      <c r="D609" t="str">
        <f>IFERROR(VLOOKUP(TTrainingSource[[#This Row],[Employee_ID]],THrList[],4,FALSE),"")</f>
        <v>Fatima</v>
      </c>
      <c r="E609" t="str">
        <f>IFERROR(VLOOKUP(TTrainingSource[[#This Row],[Employee_ID]],THrList[],10,FALSE),"")</f>
        <v>Operations</v>
      </c>
      <c r="F609" t="str">
        <f>TRIM(PROPER(TTrainingSource[[#This Row],[Training_Status2]]))</f>
        <v>Completed</v>
      </c>
      <c r="G609" t="s">
        <v>17</v>
      </c>
      <c r="H609" t="str">
        <f>TRIM(PROPER(TTrainingSource[[#This Row],[Training_Title2]]))</f>
        <v>Digital Marketing Strategy</v>
      </c>
      <c r="I609" t="s">
        <v>43</v>
      </c>
      <c r="J609" s="1">
        <v>45156</v>
      </c>
      <c r="K609" t="s">
        <v>44</v>
      </c>
      <c r="L609" s="7">
        <v>24</v>
      </c>
      <c r="M609">
        <f>ROUND(TTrainingSource[[#This Row],[Satisfaction_Score2]],0)</f>
        <v>3</v>
      </c>
      <c r="N609">
        <v>2.7</v>
      </c>
    </row>
    <row r="610" spans="1:14" x14ac:dyDescent="0.3">
      <c r="A610" t="s">
        <v>556</v>
      </c>
      <c r="B610" t="str">
        <f>TRIM(TTrainingSource[[#This Row],[EMPloyee_ID2]])</f>
        <v>EMP10305</v>
      </c>
      <c r="C610" t="str">
        <f>IFERROR(VLOOKUP(TTrainingSource[[#This Row],[Employee_ID]],THrList[],3,FALSE),"")</f>
        <v>KIM</v>
      </c>
      <c r="D610" t="str">
        <f>IFERROR(VLOOKUP(TTrainingSource[[#This Row],[Employee_ID]],THrList[],4,FALSE),"")</f>
        <v>Fatima</v>
      </c>
      <c r="E610" t="str">
        <f>IFERROR(VLOOKUP(TTrainingSource[[#This Row],[Employee_ID]],THrList[],10,FALSE),"")</f>
        <v>Operations</v>
      </c>
      <c r="F610" t="str">
        <f>TRIM(PROPER(TTrainingSource[[#This Row],[Training_Status2]]))</f>
        <v>Completed</v>
      </c>
      <c r="G610" t="s">
        <v>69</v>
      </c>
      <c r="H610" t="str">
        <f>TRIM(PROPER(TTrainingSource[[#This Row],[Training_Title2]]))</f>
        <v>Business Intelligence With Tableau</v>
      </c>
      <c r="I610" t="s">
        <v>517</v>
      </c>
      <c r="J610" s="1">
        <v>44663</v>
      </c>
      <c r="K610" t="s">
        <v>39</v>
      </c>
      <c r="L610" s="7">
        <v>16</v>
      </c>
      <c r="M610">
        <f>ROUND(TTrainingSource[[#This Row],[Satisfaction_Score2]],0)</f>
        <v>4</v>
      </c>
      <c r="N610">
        <v>4.0999999999999996</v>
      </c>
    </row>
    <row r="611" spans="1:14" x14ac:dyDescent="0.3">
      <c r="A611" t="s">
        <v>693</v>
      </c>
      <c r="B611" t="str">
        <f>TRIM(TTrainingSource[[#This Row],[EMPloyee_ID2]])</f>
        <v>EMP10306</v>
      </c>
      <c r="C611" t="str">
        <f>IFERROR(VLOOKUP(TTrainingSource[[#This Row],[Employee_ID]],THrList[],3,FALSE),"")</f>
        <v>KHAN</v>
      </c>
      <c r="D611" t="str">
        <f>IFERROR(VLOOKUP(TTrainingSource[[#This Row],[Employee_ID]],THrList[],4,FALSE),"")</f>
        <v>Paul</v>
      </c>
      <c r="E611" t="str">
        <f>IFERROR(VLOOKUP(TTrainingSource[[#This Row],[Employee_ID]],THrList[],10,FALSE),"")</f>
        <v>IT</v>
      </c>
      <c r="F611" t="str">
        <f>TRIM(PROPER(TTrainingSource[[#This Row],[Training_Status2]]))</f>
        <v>Completed</v>
      </c>
      <c r="G611" t="s">
        <v>35</v>
      </c>
      <c r="H611" t="str">
        <f>TRIM(PROPER(TTrainingSource[[#This Row],[Training_Title2]]))</f>
        <v>Data Analysis Fundamentals</v>
      </c>
      <c r="I611" t="s">
        <v>9</v>
      </c>
      <c r="J611" s="1">
        <v>45529</v>
      </c>
      <c r="K611" t="s">
        <v>32</v>
      </c>
      <c r="L611" s="7">
        <v>6</v>
      </c>
      <c r="M611">
        <f>ROUND(TTrainingSource[[#This Row],[Satisfaction_Score2]],0)</f>
        <v>4</v>
      </c>
      <c r="N611">
        <v>3.7</v>
      </c>
    </row>
    <row r="612" spans="1:14" x14ac:dyDescent="0.3">
      <c r="A612" t="s">
        <v>693</v>
      </c>
      <c r="B612" t="str">
        <f>TRIM(TTrainingSource[[#This Row],[EMPloyee_ID2]])</f>
        <v>EMP10306</v>
      </c>
      <c r="C612" t="str">
        <f>IFERROR(VLOOKUP(TTrainingSource[[#This Row],[Employee_ID]],THrList[],3,FALSE),"")</f>
        <v>KHAN</v>
      </c>
      <c r="D612" t="str">
        <f>IFERROR(VLOOKUP(TTrainingSource[[#This Row],[Employee_ID]],THrList[],4,FALSE),"")</f>
        <v>Paul</v>
      </c>
      <c r="E612" t="str">
        <f>IFERROR(VLOOKUP(TTrainingSource[[#This Row],[Employee_ID]],THrList[],10,FALSE),"")</f>
        <v>IT</v>
      </c>
      <c r="F612" t="str">
        <f>TRIM(PROPER(TTrainingSource[[#This Row],[Training_Status2]]))</f>
        <v>In Progress</v>
      </c>
      <c r="G612" t="s">
        <v>8</v>
      </c>
      <c r="H612" t="str">
        <f>TRIM(PROPER(TTrainingSource[[#This Row],[Training_Title2]]))</f>
        <v>Digital Marketing Strategy</v>
      </c>
      <c r="I612" t="s">
        <v>398</v>
      </c>
      <c r="J612" s="1">
        <v>45206</v>
      </c>
      <c r="K612" t="s">
        <v>1072</v>
      </c>
      <c r="L612" s="7">
        <v>8</v>
      </c>
      <c r="M612">
        <f>ROUND(TTrainingSource[[#This Row],[Satisfaction_Score2]],0)</f>
        <v>3</v>
      </c>
      <c r="N612">
        <v>3.4</v>
      </c>
    </row>
    <row r="613" spans="1:14" x14ac:dyDescent="0.3">
      <c r="A613" t="s">
        <v>693</v>
      </c>
      <c r="B613" t="str">
        <f>TRIM(TTrainingSource[[#This Row],[EMPloyee_ID2]])</f>
        <v>EMP10306</v>
      </c>
      <c r="C613" t="str">
        <f>IFERROR(VLOOKUP(TTrainingSource[[#This Row],[Employee_ID]],THrList[],3,FALSE),"")</f>
        <v>KHAN</v>
      </c>
      <c r="D613" t="str">
        <f>IFERROR(VLOOKUP(TTrainingSource[[#This Row],[Employee_ID]],THrList[],4,FALSE),"")</f>
        <v>Paul</v>
      </c>
      <c r="E613" t="str">
        <f>IFERROR(VLOOKUP(TTrainingSource[[#This Row],[Employee_ID]],THrList[],10,FALSE),"")</f>
        <v>IT</v>
      </c>
      <c r="F613" t="str">
        <f>TRIM(PROPER(TTrainingSource[[#This Row],[Training_Status2]]))</f>
        <v>Planned</v>
      </c>
      <c r="G613" t="s">
        <v>19</v>
      </c>
      <c r="H613" t="str">
        <f>TRIM(PROPER(TTrainingSource[[#This Row],[Training_Title2]]))</f>
        <v>Advanced Excel For Business</v>
      </c>
      <c r="I613" t="s">
        <v>52</v>
      </c>
      <c r="J613" s="1">
        <v>45097</v>
      </c>
      <c r="K613" t="s">
        <v>132</v>
      </c>
      <c r="L613" s="7">
        <v>16</v>
      </c>
      <c r="M613">
        <f>ROUND(TTrainingSource[[#This Row],[Satisfaction_Score2]],0)</f>
        <v>5</v>
      </c>
      <c r="N613">
        <v>4.5</v>
      </c>
    </row>
    <row r="614" spans="1:14" x14ac:dyDescent="0.3">
      <c r="A614" t="s">
        <v>140</v>
      </c>
      <c r="B614" t="str">
        <f>TRIM(TTrainingSource[[#This Row],[EMPloyee_ID2]])</f>
        <v>EMP10307</v>
      </c>
      <c r="C614" t="str">
        <f>IFERROR(VLOOKUP(TTrainingSource[[#This Row],[Employee_ID]],THrList[],3,FALSE),"")</f>
        <v>ANDERSON</v>
      </c>
      <c r="D614" t="str">
        <f>IFERROR(VLOOKUP(TTrainingSource[[#This Row],[Employee_ID]],THrList[],4,FALSE),"")</f>
        <v>Isabella</v>
      </c>
      <c r="E614" t="str">
        <f>IFERROR(VLOOKUP(TTrainingSource[[#This Row],[Employee_ID]],THrList[],10,FALSE),"")</f>
        <v>Compliance</v>
      </c>
      <c r="F614" t="str">
        <f>TRIM(PROPER(TTrainingSource[[#This Row],[Training_Status2]]))</f>
        <v>In Progress</v>
      </c>
      <c r="G614" t="s">
        <v>8</v>
      </c>
      <c r="H614" t="str">
        <f>TRIM(PROPER(TTrainingSource[[#This Row],[Training_Title2]]))</f>
        <v>Sql For Data Analytics</v>
      </c>
      <c r="I614" t="s">
        <v>26</v>
      </c>
      <c r="J614" s="1">
        <v>45412</v>
      </c>
      <c r="K614" t="s">
        <v>12</v>
      </c>
      <c r="L614" s="7">
        <v>4</v>
      </c>
      <c r="M614">
        <f>ROUND(TTrainingSource[[#This Row],[Satisfaction_Score2]],0)</f>
        <v>3</v>
      </c>
      <c r="N614">
        <v>2.6</v>
      </c>
    </row>
    <row r="615" spans="1:14" x14ac:dyDescent="0.3">
      <c r="A615" t="s">
        <v>140</v>
      </c>
      <c r="B615" t="str">
        <f>TRIM(TTrainingSource[[#This Row],[EMPloyee_ID2]])</f>
        <v>EMP10307</v>
      </c>
      <c r="C615" t="str">
        <f>IFERROR(VLOOKUP(TTrainingSource[[#This Row],[Employee_ID]],THrList[],3,FALSE),"")</f>
        <v>ANDERSON</v>
      </c>
      <c r="D615" t="str">
        <f>IFERROR(VLOOKUP(TTrainingSource[[#This Row],[Employee_ID]],THrList[],4,FALSE),"")</f>
        <v>Isabella</v>
      </c>
      <c r="E615" t="str">
        <f>IFERROR(VLOOKUP(TTrainingSource[[#This Row],[Employee_ID]],THrList[],10,FALSE),"")</f>
        <v>Compliance</v>
      </c>
      <c r="F615" t="str">
        <f>TRIM(PROPER(TTrainingSource[[#This Row],[Training_Status2]]))</f>
        <v>Planned</v>
      </c>
      <c r="G615" t="s">
        <v>128</v>
      </c>
      <c r="H615" t="str">
        <f>TRIM(PROPER(TTrainingSource[[#This Row],[Training_Title2]]))</f>
        <v>Business Intelligence With Tableau</v>
      </c>
      <c r="I615" t="s">
        <v>22</v>
      </c>
      <c r="J615" s="1">
        <v>44672</v>
      </c>
      <c r="K615" t="s">
        <v>132</v>
      </c>
      <c r="L615" s="7">
        <v>32</v>
      </c>
      <c r="M615">
        <f>ROUND(TTrainingSource[[#This Row],[Satisfaction_Score2]],0)</f>
        <v>5</v>
      </c>
      <c r="N615">
        <v>4.8</v>
      </c>
    </row>
    <row r="616" spans="1:14" x14ac:dyDescent="0.3">
      <c r="A616" t="s">
        <v>140</v>
      </c>
      <c r="B616" t="str">
        <f>TRIM(TTrainingSource[[#This Row],[EMPloyee_ID2]])</f>
        <v>EMP10307</v>
      </c>
      <c r="C616" t="str">
        <f>IFERROR(VLOOKUP(TTrainingSource[[#This Row],[Employee_ID]],THrList[],3,FALSE),"")</f>
        <v>ANDERSON</v>
      </c>
      <c r="D616" t="str">
        <f>IFERROR(VLOOKUP(TTrainingSource[[#This Row],[Employee_ID]],THrList[],4,FALSE),"")</f>
        <v>Isabella</v>
      </c>
      <c r="E616" t="str">
        <f>IFERROR(VLOOKUP(TTrainingSource[[#This Row],[Employee_ID]],THrList[],10,FALSE),"")</f>
        <v>Compliance</v>
      </c>
      <c r="F616" t="str">
        <f>TRIM(PROPER(TTrainingSource[[#This Row],[Training_Status2]]))</f>
        <v>Planned</v>
      </c>
      <c r="G616" t="s">
        <v>19</v>
      </c>
      <c r="H616" t="str">
        <f>TRIM(PROPER(TTrainingSource[[#This Row],[Training_Title2]]))</f>
        <v>Business Intelligence With Tableau</v>
      </c>
      <c r="I616" t="s">
        <v>22</v>
      </c>
      <c r="J616" s="1">
        <v>44696</v>
      </c>
      <c r="K616" t="s">
        <v>15</v>
      </c>
      <c r="L616" s="7">
        <v>12</v>
      </c>
      <c r="M616">
        <f>ROUND(TTrainingSource[[#This Row],[Satisfaction_Score2]],0)</f>
        <v>4</v>
      </c>
      <c r="N616">
        <v>3.6</v>
      </c>
    </row>
    <row r="617" spans="1:14" x14ac:dyDescent="0.3">
      <c r="A617" t="s">
        <v>140</v>
      </c>
      <c r="B617" t="str">
        <f>TRIM(TTrainingSource[[#This Row],[EMPloyee_ID2]])</f>
        <v>EMP10307</v>
      </c>
      <c r="C617" t="str">
        <f>IFERROR(VLOOKUP(TTrainingSource[[#This Row],[Employee_ID]],THrList[],3,FALSE),"")</f>
        <v>ANDERSON</v>
      </c>
      <c r="D617" t="str">
        <f>IFERROR(VLOOKUP(TTrainingSource[[#This Row],[Employee_ID]],THrList[],4,FALSE),"")</f>
        <v>Isabella</v>
      </c>
      <c r="E617" t="str">
        <f>IFERROR(VLOOKUP(TTrainingSource[[#This Row],[Employee_ID]],THrList[],10,FALSE),"")</f>
        <v>Compliance</v>
      </c>
      <c r="F617" t="str">
        <f>TRIM(PROPER(TTrainingSource[[#This Row],[Training_Status2]]))</f>
        <v>In Progress</v>
      </c>
      <c r="G617" t="s">
        <v>8</v>
      </c>
      <c r="H617" t="str">
        <f>TRIM(PROPER(TTrainingSource[[#This Row],[Training_Title2]]))</f>
        <v>Introduction To Python For Data</v>
      </c>
      <c r="I617" t="s">
        <v>573</v>
      </c>
      <c r="J617" s="1">
        <v>44948</v>
      </c>
      <c r="K617" t="s">
        <v>132</v>
      </c>
      <c r="L617" s="7">
        <v>8</v>
      </c>
      <c r="M617">
        <f>ROUND(TTrainingSource[[#This Row],[Satisfaction_Score2]],0)</f>
        <v>3</v>
      </c>
      <c r="N617">
        <v>3.4</v>
      </c>
    </row>
    <row r="618" spans="1:14" x14ac:dyDescent="0.3">
      <c r="A618" t="s">
        <v>140</v>
      </c>
      <c r="B618" t="str">
        <f>TRIM(TTrainingSource[[#This Row],[EMPloyee_ID2]])</f>
        <v>EMP10307</v>
      </c>
      <c r="C618" t="str">
        <f>IFERROR(VLOOKUP(TTrainingSource[[#This Row],[Employee_ID]],THrList[],3,FALSE),"")</f>
        <v>ANDERSON</v>
      </c>
      <c r="D618" t="str">
        <f>IFERROR(VLOOKUP(TTrainingSource[[#This Row],[Employee_ID]],THrList[],4,FALSE),"")</f>
        <v>Isabella</v>
      </c>
      <c r="E618" t="str">
        <f>IFERROR(VLOOKUP(TTrainingSource[[#This Row],[Employee_ID]],THrList[],10,FALSE),"")</f>
        <v>Compliance</v>
      </c>
      <c r="F618" t="str">
        <f>TRIM(PROPER(TTrainingSource[[#This Row],[Training_Status2]]))</f>
        <v>Completed</v>
      </c>
      <c r="G618" t="s">
        <v>17</v>
      </c>
      <c r="H618" t="str">
        <f>TRIM(PROPER(TTrainingSource[[#This Row],[Training_Title2]]))</f>
        <v>Data Analysis Fundamentals</v>
      </c>
      <c r="I618" t="s">
        <v>9</v>
      </c>
      <c r="J618" s="1">
        <v>44869</v>
      </c>
      <c r="K618" t="s">
        <v>98</v>
      </c>
      <c r="L618" s="7">
        <v>8</v>
      </c>
      <c r="M618">
        <f>ROUND(TTrainingSource[[#This Row],[Satisfaction_Score2]],0)</f>
        <v>3</v>
      </c>
      <c r="N618">
        <v>2.6</v>
      </c>
    </row>
    <row r="619" spans="1:14" x14ac:dyDescent="0.3">
      <c r="A619" t="s">
        <v>597</v>
      </c>
      <c r="B619" t="str">
        <f>TRIM(TTrainingSource[[#This Row],[EMPloyee_ID2]])</f>
        <v>EMP10308</v>
      </c>
      <c r="C619" t="str">
        <f>IFERROR(VLOOKUP(TTrainingSource[[#This Row],[Employee_ID]],THrList[],3,FALSE),"")</f>
        <v>SMITH</v>
      </c>
      <c r="D619" t="str">
        <f>IFERROR(VLOOKUP(TTrainingSource[[#This Row],[Employee_ID]],THrList[],4,FALSE),"")</f>
        <v>Kofi</v>
      </c>
      <c r="E619" t="str">
        <f>IFERROR(VLOOKUP(TTrainingSource[[#This Row],[Employee_ID]],THrList[],10,FALSE),"")</f>
        <v>Procurement</v>
      </c>
      <c r="F619" t="str">
        <f>TRIM(PROPER(TTrainingSource[[#This Row],[Training_Status2]]))</f>
        <v>Completed</v>
      </c>
      <c r="G619" t="s">
        <v>17</v>
      </c>
      <c r="H619" t="str">
        <f>TRIM(PROPER(TTrainingSource[[#This Row],[Training_Title2]]))</f>
        <v>Data Analysis Fundamentals</v>
      </c>
      <c r="I619" t="s">
        <v>9</v>
      </c>
      <c r="J619" s="1">
        <v>45543</v>
      </c>
      <c r="K619" t="s">
        <v>44</v>
      </c>
      <c r="L619" s="7">
        <v>4</v>
      </c>
      <c r="M619">
        <f>ROUND(TTrainingSource[[#This Row],[Satisfaction_Score2]],0)</f>
        <v>5</v>
      </c>
      <c r="N619">
        <v>4.5</v>
      </c>
    </row>
    <row r="620" spans="1:14" x14ac:dyDescent="0.3">
      <c r="A620" t="s">
        <v>597</v>
      </c>
      <c r="B620" t="str">
        <f>TRIM(TTrainingSource[[#This Row],[EMPloyee_ID2]])</f>
        <v>EMP10308</v>
      </c>
      <c r="C620" t="str">
        <f>IFERROR(VLOOKUP(TTrainingSource[[#This Row],[Employee_ID]],THrList[],3,FALSE),"")</f>
        <v>SMITH</v>
      </c>
      <c r="D620" t="str">
        <f>IFERROR(VLOOKUP(TTrainingSource[[#This Row],[Employee_ID]],THrList[],4,FALSE),"")</f>
        <v>Kofi</v>
      </c>
      <c r="E620" t="str">
        <f>IFERROR(VLOOKUP(TTrainingSource[[#This Row],[Employee_ID]],THrList[],10,FALSE),"")</f>
        <v>Procurement</v>
      </c>
      <c r="F620" t="str">
        <f>TRIM(PROPER(TTrainingSource[[#This Row],[Training_Status2]]))</f>
        <v>Completed</v>
      </c>
      <c r="G620" t="s">
        <v>17</v>
      </c>
      <c r="H620" t="str">
        <f>TRIM(PROPER(TTrainingSource[[#This Row],[Training_Title2]]))</f>
        <v>Customer Data Analysis</v>
      </c>
      <c r="I620" t="s">
        <v>149</v>
      </c>
      <c r="J620" s="1">
        <v>44870</v>
      </c>
      <c r="K620" t="s">
        <v>42</v>
      </c>
      <c r="L620" s="7">
        <v>0</v>
      </c>
      <c r="M620">
        <f>ROUND(TTrainingSource[[#This Row],[Satisfaction_Score2]],0)</f>
        <v>5</v>
      </c>
      <c r="N620">
        <v>4.9000000000000004</v>
      </c>
    </row>
    <row r="621" spans="1:14" x14ac:dyDescent="0.3">
      <c r="A621" t="s">
        <v>247</v>
      </c>
      <c r="B621" t="str">
        <f>TRIM(TTrainingSource[[#This Row],[EMPloyee_ID2]])</f>
        <v>EMP10309</v>
      </c>
      <c r="C621" t="str">
        <f>IFERROR(VLOOKUP(TTrainingSource[[#This Row],[Employee_ID]],THrList[],3,FALSE),"")</f>
        <v>GIRARD</v>
      </c>
      <c r="D621" t="str">
        <f>IFERROR(VLOOKUP(TTrainingSource[[#This Row],[Employee_ID]],THrList[],4,FALSE),"")</f>
        <v>Abigail</v>
      </c>
      <c r="E621" t="str">
        <f>IFERROR(VLOOKUP(TTrainingSource[[#This Row],[Employee_ID]],THrList[],10,FALSE),"")</f>
        <v>Operations</v>
      </c>
      <c r="F621" t="str">
        <f>TRIM(PROPER(TTrainingSource[[#This Row],[Training_Status2]]))</f>
        <v>Planned</v>
      </c>
      <c r="G621" t="s">
        <v>19</v>
      </c>
      <c r="H621" t="str">
        <f>TRIM(PROPER(TTrainingSource[[#This Row],[Training_Title2]]))</f>
        <v>Introduction To Python For Data</v>
      </c>
      <c r="I621" t="s">
        <v>62</v>
      </c>
      <c r="J621" s="1">
        <v>44630</v>
      </c>
      <c r="K621" t="s">
        <v>42</v>
      </c>
      <c r="L621" s="7">
        <v>24</v>
      </c>
      <c r="M621">
        <f>ROUND(TTrainingSource[[#This Row],[Satisfaction_Score2]],0)</f>
        <v>5</v>
      </c>
      <c r="N621">
        <v>4.9000000000000004</v>
      </c>
    </row>
    <row r="622" spans="1:14" x14ac:dyDescent="0.3">
      <c r="A622" t="s">
        <v>247</v>
      </c>
      <c r="B622" t="str">
        <f>TRIM(TTrainingSource[[#This Row],[EMPloyee_ID2]])</f>
        <v>EMP10309</v>
      </c>
      <c r="C622" t="str">
        <f>IFERROR(VLOOKUP(TTrainingSource[[#This Row],[Employee_ID]],THrList[],3,FALSE),"")</f>
        <v>GIRARD</v>
      </c>
      <c r="D622" t="str">
        <f>IFERROR(VLOOKUP(TTrainingSource[[#This Row],[Employee_ID]],THrList[],4,FALSE),"")</f>
        <v>Abigail</v>
      </c>
      <c r="E622" t="str">
        <f>IFERROR(VLOOKUP(TTrainingSource[[#This Row],[Employee_ID]],THrList[],10,FALSE),"")</f>
        <v>Operations</v>
      </c>
      <c r="F622" t="str">
        <f>TRIM(PROPER(TTrainingSource[[#This Row],[Training_Status2]]))</f>
        <v>Planned</v>
      </c>
      <c r="G622" t="s">
        <v>128</v>
      </c>
      <c r="H622" t="str">
        <f>TRIM(PROPER(TTrainingSource[[#This Row],[Training_Title2]]))</f>
        <v>Introduction To Python For Data</v>
      </c>
      <c r="I622" t="s">
        <v>62</v>
      </c>
      <c r="J622" s="1">
        <v>45659</v>
      </c>
      <c r="K622" t="s">
        <v>39</v>
      </c>
      <c r="L622" s="7">
        <v>12</v>
      </c>
      <c r="M622">
        <f>ROUND(TTrainingSource[[#This Row],[Satisfaction_Score2]],0)</f>
        <v>4</v>
      </c>
      <c r="N622">
        <v>3.6</v>
      </c>
    </row>
    <row r="623" spans="1:14" x14ac:dyDescent="0.3">
      <c r="A623" t="s">
        <v>247</v>
      </c>
      <c r="B623" t="str">
        <f>TRIM(TTrainingSource[[#This Row],[EMPloyee_ID2]])</f>
        <v>EMP10309</v>
      </c>
      <c r="C623" t="str">
        <f>IFERROR(VLOOKUP(TTrainingSource[[#This Row],[Employee_ID]],THrList[],3,FALSE),"")</f>
        <v>GIRARD</v>
      </c>
      <c r="D623" t="str">
        <f>IFERROR(VLOOKUP(TTrainingSource[[#This Row],[Employee_ID]],THrList[],4,FALSE),"")</f>
        <v>Abigail</v>
      </c>
      <c r="E623" t="str">
        <f>IFERROR(VLOOKUP(TTrainingSource[[#This Row],[Employee_ID]],THrList[],10,FALSE),"")</f>
        <v>Operations</v>
      </c>
      <c r="F623" t="str">
        <f>TRIM(PROPER(TTrainingSource[[#This Row],[Training_Status2]]))</f>
        <v>In Progress</v>
      </c>
      <c r="G623" t="s">
        <v>8</v>
      </c>
      <c r="H623" t="str">
        <f>TRIM(PROPER(TTrainingSource[[#This Row],[Training_Title2]]))</f>
        <v>Introduction To Python For Data</v>
      </c>
      <c r="I623" t="s">
        <v>62</v>
      </c>
      <c r="J623" s="1">
        <v>44894</v>
      </c>
      <c r="K623" t="s">
        <v>39</v>
      </c>
      <c r="L623" s="7">
        <v>0</v>
      </c>
      <c r="M623">
        <f>ROUND(TTrainingSource[[#This Row],[Satisfaction_Score2]],0)</f>
        <v>4</v>
      </c>
      <c r="N623">
        <v>4</v>
      </c>
    </row>
    <row r="624" spans="1:14" x14ac:dyDescent="0.3">
      <c r="A624" t="s">
        <v>440</v>
      </c>
      <c r="B624" t="str">
        <f>TRIM(TTrainingSource[[#This Row],[EMPloyee_ID2]])</f>
        <v>EMP10310</v>
      </c>
      <c r="C624" t="str">
        <f>IFERROR(VLOOKUP(TTrainingSource[[#This Row],[Employee_ID]],THrList[],3,FALSE),"")</f>
        <v>BROWN</v>
      </c>
      <c r="D624" t="str">
        <f>IFERROR(VLOOKUP(TTrainingSource[[#This Row],[Employee_ID]],THrList[],4,FALSE),"")</f>
        <v>James</v>
      </c>
      <c r="E624" t="str">
        <f>IFERROR(VLOOKUP(TTrainingSource[[#This Row],[Employee_ID]],THrList[],10,FALSE),"")</f>
        <v>Sales</v>
      </c>
      <c r="F624" t="str">
        <f>TRIM(PROPER(TTrainingSource[[#This Row],[Training_Status2]]))</f>
        <v>Planned</v>
      </c>
      <c r="G624" t="s">
        <v>19</v>
      </c>
      <c r="H624" t="str">
        <f>TRIM(PROPER(TTrainingSource[[#This Row],[Training_Title2]]))</f>
        <v>Data Analysis Fundamentals</v>
      </c>
      <c r="I624" t="s">
        <v>9</v>
      </c>
      <c r="J624" s="1">
        <v>44764</v>
      </c>
      <c r="K624" t="s">
        <v>29</v>
      </c>
      <c r="L624" s="7">
        <v>16</v>
      </c>
      <c r="M624">
        <f>ROUND(TTrainingSource[[#This Row],[Satisfaction_Score2]],0)</f>
        <v>3</v>
      </c>
      <c r="N624">
        <v>2.6</v>
      </c>
    </row>
    <row r="625" spans="1:14" x14ac:dyDescent="0.3">
      <c r="A625" t="s">
        <v>440</v>
      </c>
      <c r="B625" t="str">
        <f>TRIM(TTrainingSource[[#This Row],[EMPloyee_ID2]])</f>
        <v>EMP10310</v>
      </c>
      <c r="C625" t="str">
        <f>IFERROR(VLOOKUP(TTrainingSource[[#This Row],[Employee_ID]],THrList[],3,FALSE),"")</f>
        <v>BROWN</v>
      </c>
      <c r="D625" t="str">
        <f>IFERROR(VLOOKUP(TTrainingSource[[#This Row],[Employee_ID]],THrList[],4,FALSE),"")</f>
        <v>James</v>
      </c>
      <c r="E625" t="str">
        <f>IFERROR(VLOOKUP(TTrainingSource[[#This Row],[Employee_ID]],THrList[],10,FALSE),"")</f>
        <v>Sales</v>
      </c>
      <c r="F625" t="str">
        <f>TRIM(PROPER(TTrainingSource[[#This Row],[Training_Status2]]))</f>
        <v>Completed</v>
      </c>
      <c r="G625" t="s">
        <v>17</v>
      </c>
      <c r="H625" t="str">
        <f>TRIM(PROPER(TTrainingSource[[#This Row],[Training_Title2]]))</f>
        <v>Data Analysis Fundamentals</v>
      </c>
      <c r="I625" t="s">
        <v>9</v>
      </c>
      <c r="J625" s="1">
        <v>45945</v>
      </c>
      <c r="K625" t="s">
        <v>15</v>
      </c>
      <c r="L625" s="7">
        <v>20</v>
      </c>
      <c r="M625">
        <f>ROUND(TTrainingSource[[#This Row],[Satisfaction_Score2]],0)</f>
        <v>3</v>
      </c>
      <c r="N625">
        <v>3.4</v>
      </c>
    </row>
    <row r="626" spans="1:14" x14ac:dyDescent="0.3">
      <c r="A626" t="s">
        <v>440</v>
      </c>
      <c r="B626" t="str">
        <f>TRIM(TTrainingSource[[#This Row],[EMPloyee_ID2]])</f>
        <v>EMP10310</v>
      </c>
      <c r="C626" t="str">
        <f>IFERROR(VLOOKUP(TTrainingSource[[#This Row],[Employee_ID]],THrList[],3,FALSE),"")</f>
        <v>BROWN</v>
      </c>
      <c r="D626" t="str">
        <f>IFERROR(VLOOKUP(TTrainingSource[[#This Row],[Employee_ID]],THrList[],4,FALSE),"")</f>
        <v>James</v>
      </c>
      <c r="E626" t="str">
        <f>IFERROR(VLOOKUP(TTrainingSource[[#This Row],[Employee_ID]],THrList[],10,FALSE),"")</f>
        <v>Sales</v>
      </c>
      <c r="F626" t="str">
        <f>TRIM(PROPER(TTrainingSource[[#This Row],[Training_Status2]]))</f>
        <v>In Progress</v>
      </c>
      <c r="G626" t="s">
        <v>8</v>
      </c>
      <c r="H626" t="str">
        <f>TRIM(PROPER(TTrainingSource[[#This Row],[Training_Title2]]))</f>
        <v>Sql For Data Analytics</v>
      </c>
      <c r="I626" t="s">
        <v>26</v>
      </c>
      <c r="J626" s="1">
        <v>45805</v>
      </c>
      <c r="K626" t="s">
        <v>44</v>
      </c>
      <c r="L626" s="7">
        <v>20</v>
      </c>
      <c r="M626">
        <f>ROUND(TTrainingSource[[#This Row],[Satisfaction_Score2]],0)</f>
        <v>5</v>
      </c>
      <c r="N626">
        <v>4.7</v>
      </c>
    </row>
    <row r="627" spans="1:14" x14ac:dyDescent="0.3">
      <c r="A627" t="s">
        <v>440</v>
      </c>
      <c r="B627" t="str">
        <f>TRIM(TTrainingSource[[#This Row],[EMPloyee_ID2]])</f>
        <v>EMP10310</v>
      </c>
      <c r="C627" t="str">
        <f>IFERROR(VLOOKUP(TTrainingSource[[#This Row],[Employee_ID]],THrList[],3,FALSE),"")</f>
        <v>BROWN</v>
      </c>
      <c r="D627" t="str">
        <f>IFERROR(VLOOKUP(TTrainingSource[[#This Row],[Employee_ID]],THrList[],4,FALSE),"")</f>
        <v>James</v>
      </c>
      <c r="E627" t="str">
        <f>IFERROR(VLOOKUP(TTrainingSource[[#This Row],[Employee_ID]],THrList[],10,FALSE),"")</f>
        <v>Sales</v>
      </c>
      <c r="F627" t="str">
        <f>TRIM(PROPER(TTrainingSource[[#This Row],[Training_Status2]]))</f>
        <v>Completed</v>
      </c>
      <c r="G627" t="s">
        <v>17</v>
      </c>
      <c r="H627" t="str">
        <f>TRIM(PROPER(TTrainingSource[[#This Row],[Training_Title2]]))</f>
        <v>Advanced Excel For Business</v>
      </c>
      <c r="I627" t="s">
        <v>52</v>
      </c>
      <c r="J627" s="1">
        <v>45811</v>
      </c>
      <c r="K627" t="s">
        <v>42</v>
      </c>
      <c r="L627" s="7">
        <v>6</v>
      </c>
      <c r="M627">
        <f>ROUND(TTrainingSource[[#This Row],[Satisfaction_Score2]],0)</f>
        <v>3</v>
      </c>
      <c r="N627">
        <v>2.9</v>
      </c>
    </row>
    <row r="628" spans="1:14" x14ac:dyDescent="0.3">
      <c r="A628" t="s">
        <v>694</v>
      </c>
      <c r="B628" t="str">
        <f>TRIM(TTrainingSource[[#This Row],[EMPloyee_ID2]])</f>
        <v>EMP10311</v>
      </c>
      <c r="C628" t="str">
        <f>IFERROR(VLOOKUP(TTrainingSource[[#This Row],[Employee_ID]],THrList[],3,FALSE),"")</f>
        <v>MENSAH</v>
      </c>
      <c r="D628" t="str">
        <f>IFERROR(VLOOKUP(TTrainingSource[[#This Row],[Employee_ID]],THrList[],4,FALSE),"")</f>
        <v>Layla</v>
      </c>
      <c r="E628" t="str">
        <f>IFERROR(VLOOKUP(TTrainingSource[[#This Row],[Employee_ID]],THrList[],10,FALSE),"")</f>
        <v>Compliance</v>
      </c>
      <c r="F628" t="str">
        <f>TRIM(PROPER(TTrainingSource[[#This Row],[Training_Status2]]))</f>
        <v>Completed</v>
      </c>
      <c r="G628" t="s">
        <v>17</v>
      </c>
      <c r="H628" t="str">
        <f>TRIM(PROPER(TTrainingSource[[#This Row],[Training_Title2]]))</f>
        <v>Sql For Data Analytics</v>
      </c>
      <c r="I628" t="s">
        <v>11</v>
      </c>
      <c r="J628" s="1">
        <v>45347</v>
      </c>
      <c r="K628" t="s">
        <v>32</v>
      </c>
      <c r="L628" s="7">
        <v>24</v>
      </c>
      <c r="M628">
        <f>ROUND(TTrainingSource[[#This Row],[Satisfaction_Score2]],0)</f>
        <v>3</v>
      </c>
      <c r="N628">
        <v>3.2</v>
      </c>
    </row>
    <row r="629" spans="1:14" x14ac:dyDescent="0.3">
      <c r="A629" t="s">
        <v>105</v>
      </c>
      <c r="B629" t="str">
        <f>TRIM(TTrainingSource[[#This Row],[EMPloyee_ID2]])</f>
        <v>EMP10312</v>
      </c>
      <c r="C629" t="str">
        <f>IFERROR(VLOOKUP(TTrainingSource[[#This Row],[Employee_ID]],THrList[],3,FALSE),"")</f>
        <v>LAURENT</v>
      </c>
      <c r="D629" t="str">
        <f>IFERROR(VLOOKUP(TTrainingSource[[#This Row],[Employee_ID]],THrList[],4,FALSE),"")</f>
        <v>Fatima</v>
      </c>
      <c r="E629" t="str">
        <f>IFERROR(VLOOKUP(TTrainingSource[[#This Row],[Employee_ID]],THrList[],10,FALSE),"")</f>
        <v>IT</v>
      </c>
      <c r="F629" t="str">
        <f>TRIM(PROPER(TTrainingSource[[#This Row],[Training_Status2]]))</f>
        <v>Planned</v>
      </c>
      <c r="G629" t="s">
        <v>19</v>
      </c>
      <c r="H629" t="str">
        <f>TRIM(PROPER(TTrainingSource[[#This Row],[Training_Title2]]))</f>
        <v>Communication For Analysts</v>
      </c>
      <c r="I629" t="s">
        <v>106</v>
      </c>
      <c r="J629" s="1">
        <v>44832</v>
      </c>
      <c r="K629" t="s">
        <v>44</v>
      </c>
      <c r="L629" s="7">
        <v>12</v>
      </c>
      <c r="M629">
        <f>ROUND(TTrainingSource[[#This Row],[Satisfaction_Score2]],0)</f>
        <v>5</v>
      </c>
      <c r="N629">
        <v>4.8</v>
      </c>
    </row>
    <row r="630" spans="1:14" x14ac:dyDescent="0.3">
      <c r="A630" t="s">
        <v>92</v>
      </c>
      <c r="B630" t="str">
        <f>TRIM(TTrainingSource[[#This Row],[EMPloyee_ID2]])</f>
        <v>EMP10313</v>
      </c>
      <c r="C630" t="str">
        <f>IFERROR(VLOOKUP(TTrainingSource[[#This Row],[Employee_ID]],THrList[],3,FALSE),"")</f>
        <v>WILLIAMS</v>
      </c>
      <c r="D630" t="str">
        <f>IFERROR(VLOOKUP(TTrainingSource[[#This Row],[Employee_ID]],THrList[],4,FALSE),"")</f>
        <v>Claire</v>
      </c>
      <c r="E630" t="str">
        <f>IFERROR(VLOOKUP(TTrainingSource[[#This Row],[Employee_ID]],THrList[],10,FALSE),"")</f>
        <v>Finance</v>
      </c>
      <c r="F630" t="str">
        <f>TRIM(PROPER(TTrainingSource[[#This Row],[Training_Status2]]))</f>
        <v>In Progress</v>
      </c>
      <c r="G630" t="s">
        <v>8</v>
      </c>
      <c r="H630" t="str">
        <f>TRIM(PROPER(TTrainingSource[[#This Row],[Training_Title2]]))</f>
        <v>Advanced Excel For Business</v>
      </c>
      <c r="I630" t="s">
        <v>52</v>
      </c>
      <c r="J630" s="1">
        <v>45329</v>
      </c>
      <c r="K630" t="s">
        <v>42</v>
      </c>
      <c r="L630" s="7">
        <v>32</v>
      </c>
      <c r="M630">
        <f>ROUND(TTrainingSource[[#This Row],[Satisfaction_Score2]],0)</f>
        <v>5</v>
      </c>
      <c r="N630">
        <v>4.5</v>
      </c>
    </row>
    <row r="631" spans="1:14" x14ac:dyDescent="0.3">
      <c r="A631" t="s">
        <v>92</v>
      </c>
      <c r="B631" t="str">
        <f>TRIM(TTrainingSource[[#This Row],[EMPloyee_ID2]])</f>
        <v>EMP10313</v>
      </c>
      <c r="C631" t="str">
        <f>IFERROR(VLOOKUP(TTrainingSource[[#This Row],[Employee_ID]],THrList[],3,FALSE),"")</f>
        <v>WILLIAMS</v>
      </c>
      <c r="D631" t="str">
        <f>IFERROR(VLOOKUP(TTrainingSource[[#This Row],[Employee_ID]],THrList[],4,FALSE),"")</f>
        <v>Claire</v>
      </c>
      <c r="E631" t="str">
        <f>IFERROR(VLOOKUP(TTrainingSource[[#This Row],[Employee_ID]],THrList[],10,FALSE),"")</f>
        <v>Finance</v>
      </c>
      <c r="F631" t="str">
        <f>TRIM(PROPER(TTrainingSource[[#This Row],[Training_Status2]]))</f>
        <v>Completed</v>
      </c>
      <c r="G631" t="s">
        <v>17</v>
      </c>
      <c r="H631" t="str">
        <f>TRIM(PROPER(TTrainingSource[[#This Row],[Training_Title2]]))</f>
        <v>Data Visualization Best Practices</v>
      </c>
      <c r="I631" t="s">
        <v>151</v>
      </c>
      <c r="J631" s="1">
        <v>45188</v>
      </c>
      <c r="K631" t="s">
        <v>98</v>
      </c>
      <c r="L631" s="7">
        <v>12</v>
      </c>
      <c r="M631">
        <f>ROUND(TTrainingSource[[#This Row],[Satisfaction_Score2]],0)</f>
        <v>3</v>
      </c>
      <c r="N631">
        <v>3.4</v>
      </c>
    </row>
    <row r="632" spans="1:14" x14ac:dyDescent="0.3">
      <c r="A632" t="s">
        <v>92</v>
      </c>
      <c r="B632" t="str">
        <f>TRIM(TTrainingSource[[#This Row],[EMPloyee_ID2]])</f>
        <v>EMP10313</v>
      </c>
      <c r="C632" t="str">
        <f>IFERROR(VLOOKUP(TTrainingSource[[#This Row],[Employee_ID]],THrList[],3,FALSE),"")</f>
        <v>WILLIAMS</v>
      </c>
      <c r="D632" t="str">
        <f>IFERROR(VLOOKUP(TTrainingSource[[#This Row],[Employee_ID]],THrList[],4,FALSE),"")</f>
        <v>Claire</v>
      </c>
      <c r="E632" t="str">
        <f>IFERROR(VLOOKUP(TTrainingSource[[#This Row],[Employee_ID]],THrList[],10,FALSE),"")</f>
        <v>Finance</v>
      </c>
      <c r="F632" t="str">
        <f>TRIM(PROPER(TTrainingSource[[#This Row],[Training_Status2]]))</f>
        <v>Completed</v>
      </c>
      <c r="G632" t="s">
        <v>17</v>
      </c>
      <c r="H632" t="str">
        <f>TRIM(PROPER(TTrainingSource[[#This Row],[Training_Title2]]))</f>
        <v>Financial Modeling Basics</v>
      </c>
      <c r="I632" t="s">
        <v>38</v>
      </c>
      <c r="J632" s="1">
        <v>45897</v>
      </c>
      <c r="K632" t="s">
        <v>98</v>
      </c>
      <c r="L632" s="7">
        <v>40</v>
      </c>
      <c r="M632">
        <f>ROUND(TTrainingSource[[#This Row],[Satisfaction_Score2]],0)</f>
        <v>4</v>
      </c>
      <c r="N632">
        <v>3.7</v>
      </c>
    </row>
    <row r="633" spans="1:14" x14ac:dyDescent="0.3">
      <c r="A633" t="s">
        <v>92</v>
      </c>
      <c r="B633" t="str">
        <f>TRIM(TTrainingSource[[#This Row],[EMPloyee_ID2]])</f>
        <v>EMP10313</v>
      </c>
      <c r="C633" t="str">
        <f>IFERROR(VLOOKUP(TTrainingSource[[#This Row],[Employee_ID]],THrList[],3,FALSE),"")</f>
        <v>WILLIAMS</v>
      </c>
      <c r="D633" t="str">
        <f>IFERROR(VLOOKUP(TTrainingSource[[#This Row],[Employee_ID]],THrList[],4,FALSE),"")</f>
        <v>Claire</v>
      </c>
      <c r="E633" t="str">
        <f>IFERROR(VLOOKUP(TTrainingSource[[#This Row],[Employee_ID]],THrList[],10,FALSE),"")</f>
        <v>Finance</v>
      </c>
      <c r="F633" t="str">
        <f>TRIM(PROPER(TTrainingSource[[#This Row],[Training_Status2]]))</f>
        <v>Planned</v>
      </c>
      <c r="G633" t="s">
        <v>19</v>
      </c>
      <c r="H633" t="str">
        <f>TRIM(PROPER(TTrainingSource[[#This Row],[Training_Title2]]))</f>
        <v>Project Management Essentials</v>
      </c>
      <c r="I633" t="s">
        <v>14</v>
      </c>
      <c r="J633" s="1">
        <v>45148</v>
      </c>
      <c r="K633" t="s">
        <v>42</v>
      </c>
      <c r="L633" s="7">
        <v>4</v>
      </c>
      <c r="M633">
        <f>ROUND(TTrainingSource[[#This Row],[Satisfaction_Score2]],0)</f>
        <v>3</v>
      </c>
      <c r="N633">
        <v>2.6</v>
      </c>
    </row>
    <row r="634" spans="1:14" x14ac:dyDescent="0.3">
      <c r="A634" t="s">
        <v>324</v>
      </c>
      <c r="B634" t="str">
        <f>TRIM(TTrainingSource[[#This Row],[EMPloyee_ID2]])</f>
        <v>EMP10314</v>
      </c>
      <c r="C634" t="str">
        <f>IFERROR(VLOOKUP(TTrainingSource[[#This Row],[Employee_ID]],THrList[],3,FALSE),"")</f>
        <v>RODRIGUEZ</v>
      </c>
      <c r="D634" t="str">
        <f>IFERROR(VLOOKUP(TTrainingSource[[#This Row],[Employee_ID]],THrList[],4,FALSE),"")</f>
        <v>Emma</v>
      </c>
      <c r="E634" t="str">
        <f>IFERROR(VLOOKUP(TTrainingSource[[#This Row],[Employee_ID]],THrList[],10,FALSE),"")</f>
        <v>Procurement</v>
      </c>
      <c r="F634" t="str">
        <f>TRIM(PROPER(TTrainingSource[[#This Row],[Training_Status2]]))</f>
        <v>Completed</v>
      </c>
      <c r="G634" t="s">
        <v>17</v>
      </c>
      <c r="H634" t="str">
        <f>TRIM(PROPER(TTrainingSource[[#This Row],[Training_Title2]]))</f>
        <v>Financial Modeling Basics</v>
      </c>
      <c r="I634" t="s">
        <v>38</v>
      </c>
      <c r="J634" s="1">
        <v>45421</v>
      </c>
      <c r="K634" t="s">
        <v>44</v>
      </c>
      <c r="L634" s="7">
        <v>24</v>
      </c>
      <c r="M634">
        <f>ROUND(TTrainingSource[[#This Row],[Satisfaction_Score2]],0)</f>
        <v>5</v>
      </c>
      <c r="N634">
        <v>4.5999999999999996</v>
      </c>
    </row>
    <row r="635" spans="1:14" x14ac:dyDescent="0.3">
      <c r="A635" t="s">
        <v>324</v>
      </c>
      <c r="B635" t="str">
        <f>TRIM(TTrainingSource[[#This Row],[EMPloyee_ID2]])</f>
        <v>EMP10314</v>
      </c>
      <c r="C635" t="str">
        <f>IFERROR(VLOOKUP(TTrainingSource[[#This Row],[Employee_ID]],THrList[],3,FALSE),"")</f>
        <v>RODRIGUEZ</v>
      </c>
      <c r="D635" t="str">
        <f>IFERROR(VLOOKUP(TTrainingSource[[#This Row],[Employee_ID]],THrList[],4,FALSE),"")</f>
        <v>Emma</v>
      </c>
      <c r="E635" t="str">
        <f>IFERROR(VLOOKUP(TTrainingSource[[#This Row],[Employee_ID]],THrList[],10,FALSE),"")</f>
        <v>Procurement</v>
      </c>
      <c r="F635" t="str">
        <f>TRIM(PROPER(TTrainingSource[[#This Row],[Training_Status2]]))</f>
        <v>Completed</v>
      </c>
      <c r="G635" t="s">
        <v>17</v>
      </c>
      <c r="H635" t="str">
        <f>TRIM(PROPER(TTrainingSource[[#This Row],[Training_Title2]]))</f>
        <v>Customer Data Analysis</v>
      </c>
      <c r="I635" t="s">
        <v>31</v>
      </c>
      <c r="J635" s="1">
        <v>44789</v>
      </c>
      <c r="K635" t="s">
        <v>98</v>
      </c>
      <c r="L635" s="7">
        <v>24</v>
      </c>
      <c r="M635">
        <f>ROUND(TTrainingSource[[#This Row],[Satisfaction_Score2]],0)</f>
        <v>4</v>
      </c>
      <c r="N635">
        <v>4.3</v>
      </c>
    </row>
    <row r="636" spans="1:14" x14ac:dyDescent="0.3">
      <c r="A636" t="s">
        <v>311</v>
      </c>
      <c r="B636" t="str">
        <f>TRIM(TTrainingSource[[#This Row],[EMPloyee_ID2]])</f>
        <v>EMP10315</v>
      </c>
      <c r="C636" t="str">
        <f>IFERROR(VLOOKUP(TTrainingSource[[#This Row],[Employee_ID]],THrList[],3,FALSE),"")</f>
        <v>THOMAS</v>
      </c>
      <c r="D636" t="str">
        <f>IFERROR(VLOOKUP(TTrainingSource[[#This Row],[Employee_ID]],THrList[],4,FALSE),"")</f>
        <v>Kwame</v>
      </c>
      <c r="E636" t="str">
        <f>IFERROR(VLOOKUP(TTrainingSource[[#This Row],[Employee_ID]],THrList[],10,FALSE),"")</f>
        <v>Procurement</v>
      </c>
      <c r="F636" t="str">
        <f>TRIM(PROPER(TTrainingSource[[#This Row],[Training_Status2]]))</f>
        <v>Planned</v>
      </c>
      <c r="G636" t="s">
        <v>19</v>
      </c>
      <c r="H636" t="str">
        <f>TRIM(PROPER(TTrainingSource[[#This Row],[Training_Title2]]))</f>
        <v>Power Bi Reporting</v>
      </c>
      <c r="I636" t="s">
        <v>95</v>
      </c>
      <c r="J636" s="1">
        <v>44757</v>
      </c>
      <c r="K636" t="s">
        <v>44</v>
      </c>
      <c r="L636" s="7">
        <v>4</v>
      </c>
      <c r="M636">
        <f>ROUND(TTrainingSource[[#This Row],[Satisfaction_Score2]],0)</f>
        <v>4</v>
      </c>
      <c r="N636">
        <v>4.4000000000000004</v>
      </c>
    </row>
    <row r="637" spans="1:14" x14ac:dyDescent="0.3">
      <c r="A637" t="s">
        <v>311</v>
      </c>
      <c r="B637" t="str">
        <f>TRIM(TTrainingSource[[#This Row],[EMPloyee_ID2]])</f>
        <v>EMP10315</v>
      </c>
      <c r="C637" t="str">
        <f>IFERROR(VLOOKUP(TTrainingSource[[#This Row],[Employee_ID]],THrList[],3,FALSE),"")</f>
        <v>THOMAS</v>
      </c>
      <c r="D637" t="str">
        <f>IFERROR(VLOOKUP(TTrainingSource[[#This Row],[Employee_ID]],THrList[],4,FALSE),"")</f>
        <v>Kwame</v>
      </c>
      <c r="E637" t="str">
        <f>IFERROR(VLOOKUP(TTrainingSource[[#This Row],[Employee_ID]],THrList[],10,FALSE),"")</f>
        <v>Procurement</v>
      </c>
      <c r="F637" t="str">
        <f>TRIM(PROPER(TTrainingSource[[#This Row],[Training_Status2]]))</f>
        <v>In Progress</v>
      </c>
      <c r="G637" t="s">
        <v>8</v>
      </c>
      <c r="H637" t="str">
        <f>TRIM(PROPER(TTrainingSource[[#This Row],[Training_Title2]]))</f>
        <v>Advanced Excel For Business</v>
      </c>
      <c r="I637" t="s">
        <v>346</v>
      </c>
      <c r="J637" s="1">
        <v>45385</v>
      </c>
      <c r="K637" t="s">
        <v>39</v>
      </c>
      <c r="L637" s="7">
        <v>16</v>
      </c>
      <c r="M637">
        <f>ROUND(TTrainingSource[[#This Row],[Satisfaction_Score2]],0)</f>
        <v>4</v>
      </c>
      <c r="N637">
        <v>3.5</v>
      </c>
    </row>
    <row r="638" spans="1:14" x14ac:dyDescent="0.3">
      <c r="A638" t="s">
        <v>308</v>
      </c>
      <c r="B638" t="str">
        <f>TRIM(TTrainingSource[[#This Row],[EMPloyee_ID2]])</f>
        <v>EMP10316</v>
      </c>
      <c r="C638" t="str">
        <f>IFERROR(VLOOKUP(TTrainingSource[[#This Row],[Employee_ID]],THrList[],3,FALSE),"")</f>
        <v>BROWN</v>
      </c>
      <c r="D638" t="str">
        <f>IFERROR(VLOOKUP(TTrainingSource[[#This Row],[Employee_ID]],THrList[],4,FALSE),"")</f>
        <v>Layla</v>
      </c>
      <c r="E638" t="str">
        <f>IFERROR(VLOOKUP(TTrainingSource[[#This Row],[Employee_ID]],THrList[],10,FALSE),"")</f>
        <v>Compliance</v>
      </c>
      <c r="F638" t="str">
        <f>TRIM(PROPER(TTrainingSource[[#This Row],[Training_Status2]]))</f>
        <v>In Progress</v>
      </c>
      <c r="G638" t="s">
        <v>156</v>
      </c>
      <c r="H638" t="str">
        <f>TRIM(PROPER(TTrainingSource[[#This Row],[Training_Title2]]))</f>
        <v>Data Analysis Fundamentals</v>
      </c>
      <c r="I638" t="s">
        <v>9</v>
      </c>
      <c r="J638" s="1">
        <v>45788</v>
      </c>
      <c r="K638" t="s">
        <v>46</v>
      </c>
      <c r="L638" s="7">
        <v>0</v>
      </c>
      <c r="M638">
        <f>ROUND(TTrainingSource[[#This Row],[Satisfaction_Score2]],0)</f>
        <v>5</v>
      </c>
      <c r="N638">
        <v>4.9000000000000004</v>
      </c>
    </row>
    <row r="639" spans="1:14" x14ac:dyDescent="0.3">
      <c r="A639" t="s">
        <v>308</v>
      </c>
      <c r="B639" t="str">
        <f>TRIM(TTrainingSource[[#This Row],[EMPloyee_ID2]])</f>
        <v>EMP10316</v>
      </c>
      <c r="C639" t="str">
        <f>IFERROR(VLOOKUP(TTrainingSource[[#This Row],[Employee_ID]],THrList[],3,FALSE),"")</f>
        <v>BROWN</v>
      </c>
      <c r="D639" t="str">
        <f>IFERROR(VLOOKUP(TTrainingSource[[#This Row],[Employee_ID]],THrList[],4,FALSE),"")</f>
        <v>Layla</v>
      </c>
      <c r="E639" t="str">
        <f>IFERROR(VLOOKUP(TTrainingSource[[#This Row],[Employee_ID]],THrList[],10,FALSE),"")</f>
        <v>Compliance</v>
      </c>
      <c r="F639" t="str">
        <f>TRIM(PROPER(TTrainingSource[[#This Row],[Training_Status2]]))</f>
        <v>In Progress</v>
      </c>
      <c r="G639" t="s">
        <v>8</v>
      </c>
      <c r="H639" t="str">
        <f>TRIM(PROPER(TTrainingSource[[#This Row],[Training_Title2]]))</f>
        <v>Communication For Analysts</v>
      </c>
      <c r="I639" t="s">
        <v>28</v>
      </c>
      <c r="J639" s="1">
        <v>44703</v>
      </c>
      <c r="K639" t="s">
        <v>132</v>
      </c>
      <c r="L639" s="7">
        <v>0</v>
      </c>
      <c r="M639">
        <f>ROUND(TTrainingSource[[#This Row],[Satisfaction_Score2]],0)</f>
        <v>5</v>
      </c>
      <c r="N639">
        <v>4.5</v>
      </c>
    </row>
    <row r="640" spans="1:14" x14ac:dyDescent="0.3">
      <c r="A640" t="s">
        <v>308</v>
      </c>
      <c r="B640" t="str">
        <f>TRIM(TTrainingSource[[#This Row],[EMPloyee_ID2]])</f>
        <v>EMP10316</v>
      </c>
      <c r="C640" t="str">
        <f>IFERROR(VLOOKUP(TTrainingSource[[#This Row],[Employee_ID]],THrList[],3,FALSE),"")</f>
        <v>BROWN</v>
      </c>
      <c r="D640" t="str">
        <f>IFERROR(VLOOKUP(TTrainingSource[[#This Row],[Employee_ID]],THrList[],4,FALSE),"")</f>
        <v>Layla</v>
      </c>
      <c r="E640" t="str">
        <f>IFERROR(VLOOKUP(TTrainingSource[[#This Row],[Employee_ID]],THrList[],10,FALSE),"")</f>
        <v>Compliance</v>
      </c>
      <c r="F640" t="str">
        <f>TRIM(PROPER(TTrainingSource[[#This Row],[Training_Status2]]))</f>
        <v>Completed</v>
      </c>
      <c r="G640" t="s">
        <v>17</v>
      </c>
      <c r="H640" t="str">
        <f>TRIM(PROPER(TTrainingSource[[#This Row],[Training_Title2]]))</f>
        <v>Sql For Data Analytics</v>
      </c>
      <c r="I640" t="s">
        <v>11</v>
      </c>
      <c r="J640" s="1">
        <v>45866</v>
      </c>
      <c r="K640" t="s">
        <v>46</v>
      </c>
      <c r="L640" s="7">
        <v>24</v>
      </c>
      <c r="M640">
        <f>ROUND(TTrainingSource[[#This Row],[Satisfaction_Score2]],0)</f>
        <v>4</v>
      </c>
      <c r="N640">
        <v>4.3</v>
      </c>
    </row>
    <row r="641" spans="1:14" x14ac:dyDescent="0.3">
      <c r="A641" t="s">
        <v>772</v>
      </c>
      <c r="B641" t="str">
        <f>TRIM(TTrainingSource[[#This Row],[EMPloyee_ID2]])</f>
        <v>EMP10317</v>
      </c>
      <c r="C641" t="str">
        <f>IFERROR(VLOOKUP(TTrainingSource[[#This Row],[Employee_ID]],THrList[],3,FALSE),"")</f>
        <v>RODRIGUEZ</v>
      </c>
      <c r="D641" t="str">
        <f>IFERROR(VLOOKUP(TTrainingSource[[#This Row],[Employee_ID]],THrList[],4,FALSE),"")</f>
        <v>Charlotte</v>
      </c>
      <c r="E641" t="str">
        <f>IFERROR(VLOOKUP(TTrainingSource[[#This Row],[Employee_ID]],THrList[],10,FALSE),"")</f>
        <v>Procurement</v>
      </c>
      <c r="F641" t="str">
        <f>TRIM(PROPER(TTrainingSource[[#This Row],[Training_Status2]]))</f>
        <v>Completed</v>
      </c>
      <c r="G641" t="s">
        <v>17</v>
      </c>
      <c r="H641" t="str">
        <f>TRIM(PROPER(TTrainingSource[[#This Row],[Training_Title2]]))</f>
        <v>Power Bi Reporting</v>
      </c>
      <c r="I641" t="s">
        <v>24</v>
      </c>
      <c r="J641" s="1">
        <v>44768</v>
      </c>
      <c r="K641" t="s">
        <v>42</v>
      </c>
      <c r="L641" s="7">
        <v>20</v>
      </c>
      <c r="M641">
        <f>ROUND(TTrainingSource[[#This Row],[Satisfaction_Score2]],0)</f>
        <v>3</v>
      </c>
      <c r="N641">
        <v>3.2</v>
      </c>
    </row>
    <row r="642" spans="1:14" x14ac:dyDescent="0.3">
      <c r="A642" t="s">
        <v>357</v>
      </c>
      <c r="B642" t="str">
        <f>TRIM(TTrainingSource[[#This Row],[EMPloyee_ID2]])</f>
        <v>EMP10318</v>
      </c>
      <c r="C642" t="str">
        <f>IFERROR(VLOOKUP(TTrainingSource[[#This Row],[Employee_ID]],THrList[],3,FALSE),"")</f>
        <v>TAYLOR</v>
      </c>
      <c r="D642" t="str">
        <f>IFERROR(VLOOKUP(TTrainingSource[[#This Row],[Employee_ID]],THrList[],4,FALSE),"")</f>
        <v>Binta</v>
      </c>
      <c r="E642" t="str">
        <f>IFERROR(VLOOKUP(TTrainingSource[[#This Row],[Employee_ID]],THrList[],10,FALSE),"")</f>
        <v>Human Resources</v>
      </c>
      <c r="F642" t="str">
        <f>TRIM(PROPER(TTrainingSource[[#This Row],[Training_Status2]]))</f>
        <v>Planned</v>
      </c>
      <c r="G642" t="s">
        <v>19</v>
      </c>
      <c r="H642" t="str">
        <f>TRIM(PROPER(TTrainingSource[[#This Row],[Training_Title2]]))</f>
        <v>Power Bi Reporting</v>
      </c>
      <c r="I642" t="s">
        <v>24</v>
      </c>
      <c r="J642" s="1">
        <v>45920</v>
      </c>
      <c r="K642" t="s">
        <v>46</v>
      </c>
      <c r="L642" s="7">
        <v>16</v>
      </c>
      <c r="M642">
        <f>ROUND(TTrainingSource[[#This Row],[Satisfaction_Score2]],0)</f>
        <v>3</v>
      </c>
      <c r="N642">
        <v>2.5</v>
      </c>
    </row>
    <row r="643" spans="1:14" x14ac:dyDescent="0.3">
      <c r="A643" t="s">
        <v>513</v>
      </c>
      <c r="B643" t="str">
        <f>TRIM(TTrainingSource[[#This Row],[EMPloyee_ID2]])</f>
        <v>EMP10319</v>
      </c>
      <c r="C643" t="str">
        <f>IFERROR(VLOOKUP(TTrainingSource[[#This Row],[Employee_ID]],THrList[],3,FALSE),"")</f>
        <v>DIALLO</v>
      </c>
      <c r="D643" t="str">
        <f>IFERROR(VLOOKUP(TTrainingSource[[#This Row],[Employee_ID]],THrList[],4,FALSE),"")</f>
        <v>Henry</v>
      </c>
      <c r="E643" t="str">
        <f>IFERROR(VLOOKUP(TTrainingSource[[#This Row],[Employee_ID]],THrList[],10,FALSE),"")</f>
        <v>Sales</v>
      </c>
      <c r="F643" t="str">
        <f>TRIM(PROPER(TTrainingSource[[#This Row],[Training_Status2]]))</f>
        <v>Completed</v>
      </c>
      <c r="G643" t="s">
        <v>35</v>
      </c>
      <c r="H643" t="str">
        <f>TRIM(PROPER(TTrainingSource[[#This Row],[Training_Title2]]))</f>
        <v>Introduction To Python For Data</v>
      </c>
      <c r="I643" t="s">
        <v>62</v>
      </c>
      <c r="J643" s="1">
        <v>45593</v>
      </c>
      <c r="K643" t="s">
        <v>42</v>
      </c>
      <c r="L643" s="7">
        <v>24</v>
      </c>
      <c r="M643">
        <f>ROUND(TTrainingSource[[#This Row],[Satisfaction_Score2]],0)</f>
        <v>5</v>
      </c>
      <c r="N643">
        <v>4.8</v>
      </c>
    </row>
    <row r="644" spans="1:14" x14ac:dyDescent="0.3">
      <c r="A644" t="s">
        <v>513</v>
      </c>
      <c r="B644" t="str">
        <f>TRIM(TTrainingSource[[#This Row],[EMPloyee_ID2]])</f>
        <v>EMP10319</v>
      </c>
      <c r="C644" t="str">
        <f>IFERROR(VLOOKUP(TTrainingSource[[#This Row],[Employee_ID]],THrList[],3,FALSE),"")</f>
        <v>DIALLO</v>
      </c>
      <c r="D644" t="str">
        <f>IFERROR(VLOOKUP(TTrainingSource[[#This Row],[Employee_ID]],THrList[],4,FALSE),"")</f>
        <v>Henry</v>
      </c>
      <c r="E644" t="str">
        <f>IFERROR(VLOOKUP(TTrainingSource[[#This Row],[Employee_ID]],THrList[],10,FALSE),"")</f>
        <v>Sales</v>
      </c>
      <c r="F644" t="str">
        <f>TRIM(PROPER(TTrainingSource[[#This Row],[Training_Status2]]))</f>
        <v>Planned</v>
      </c>
      <c r="G644" t="s">
        <v>19</v>
      </c>
      <c r="H644" t="str">
        <f>TRIM(PROPER(TTrainingSource[[#This Row],[Training_Title2]]))</f>
        <v>Power Bi Reporting</v>
      </c>
      <c r="I644" t="s">
        <v>24</v>
      </c>
      <c r="J644" s="1">
        <v>45320</v>
      </c>
      <c r="K644" t="s">
        <v>29</v>
      </c>
      <c r="L644" s="7">
        <v>8</v>
      </c>
      <c r="M644">
        <f>ROUND(TTrainingSource[[#This Row],[Satisfaction_Score2]],0)</f>
        <v>5</v>
      </c>
      <c r="N644">
        <v>4.7</v>
      </c>
    </row>
    <row r="645" spans="1:14" x14ac:dyDescent="0.3">
      <c r="A645" t="s">
        <v>177</v>
      </c>
      <c r="B645" t="str">
        <f>TRIM(TTrainingSource[[#This Row],[EMPloyee_ID2]])</f>
        <v>EMP10320</v>
      </c>
      <c r="C645" t="str">
        <f>IFERROR(VLOOKUP(TTrainingSource[[#This Row],[Employee_ID]],THrList[],3,FALSE),"")</f>
        <v>ABDULLAH</v>
      </c>
      <c r="D645" t="str">
        <f>IFERROR(VLOOKUP(TTrainingSource[[#This Row],[Employee_ID]],THrList[],4,FALSE),"")</f>
        <v>Emily</v>
      </c>
      <c r="E645" t="str">
        <f>IFERROR(VLOOKUP(TTrainingSource[[#This Row],[Employee_ID]],THrList[],10,FALSE),"")</f>
        <v>Compliance</v>
      </c>
      <c r="F645" t="str">
        <f>TRIM(PROPER(TTrainingSource[[#This Row],[Training_Status2]]))</f>
        <v>Completed</v>
      </c>
      <c r="G645" t="s">
        <v>17</v>
      </c>
      <c r="H645" t="str">
        <f>TRIM(PROPER(TTrainingSource[[#This Row],[Training_Title2]]))</f>
        <v>Data Analysis Fundamentals</v>
      </c>
      <c r="I645" t="s">
        <v>9</v>
      </c>
      <c r="J645" s="1">
        <v>44565</v>
      </c>
      <c r="K645" t="s">
        <v>44</v>
      </c>
      <c r="L645" s="7">
        <v>24</v>
      </c>
      <c r="M645">
        <f>ROUND(TTrainingSource[[#This Row],[Satisfaction_Score2]],0)</f>
        <v>4</v>
      </c>
      <c r="N645">
        <v>4.4000000000000004</v>
      </c>
    </row>
    <row r="646" spans="1:14" x14ac:dyDescent="0.3">
      <c r="A646" t="s">
        <v>984</v>
      </c>
      <c r="B646" t="str">
        <f>TRIM(TTrainingSource[[#This Row],[EMPloyee_ID2]])</f>
        <v>EMP10320</v>
      </c>
      <c r="C646" t="str">
        <f>IFERROR(VLOOKUP(TTrainingSource[[#This Row],[Employee_ID]],THrList[],3,FALSE),"")</f>
        <v>ABDULLAH</v>
      </c>
      <c r="D646" t="str">
        <f>IFERROR(VLOOKUP(TTrainingSource[[#This Row],[Employee_ID]],THrList[],4,FALSE),"")</f>
        <v>Emily</v>
      </c>
      <c r="E646" t="str">
        <f>IFERROR(VLOOKUP(TTrainingSource[[#This Row],[Employee_ID]],THrList[],10,FALSE),"")</f>
        <v>Compliance</v>
      </c>
      <c r="F646" t="str">
        <f>TRIM(PROPER(TTrainingSource[[#This Row],[Training_Status2]]))</f>
        <v>In Progress</v>
      </c>
      <c r="G646" t="s">
        <v>8</v>
      </c>
      <c r="H646" t="str">
        <f>TRIM(PROPER(TTrainingSource[[#This Row],[Training_Title2]]))</f>
        <v>Sql For Data Analytics</v>
      </c>
      <c r="I646" t="s">
        <v>26</v>
      </c>
      <c r="J646" s="1">
        <v>45216</v>
      </c>
      <c r="K646" t="s">
        <v>44</v>
      </c>
      <c r="L646" s="7">
        <v>32</v>
      </c>
      <c r="M646">
        <f>ROUND(TTrainingSource[[#This Row],[Satisfaction_Score2]],0)</f>
        <v>3</v>
      </c>
      <c r="N646">
        <v>2.5</v>
      </c>
    </row>
    <row r="647" spans="1:14" x14ac:dyDescent="0.3">
      <c r="A647" t="s">
        <v>752</v>
      </c>
      <c r="B647" t="str">
        <f>TRIM(TTrainingSource[[#This Row],[EMPloyee_ID2]])</f>
        <v>EMP10321</v>
      </c>
      <c r="C647" t="str">
        <f>IFERROR(VLOOKUP(TTrainingSource[[#This Row],[Employee_ID]],THrList[],3,FALSE),"")</f>
        <v>MERCIER</v>
      </c>
      <c r="D647" t="str">
        <f>IFERROR(VLOOKUP(TTrainingSource[[#This Row],[Employee_ID]],THrList[],4,FALSE),"")</f>
        <v>Henry</v>
      </c>
      <c r="E647" t="str">
        <f>IFERROR(VLOOKUP(TTrainingSource[[#This Row],[Employee_ID]],THrList[],10,FALSE),"")</f>
        <v>Marketing</v>
      </c>
      <c r="F647" t="str">
        <f>TRIM(PROPER(TTrainingSource[[#This Row],[Training_Status2]]))</f>
        <v>Completed</v>
      </c>
      <c r="G647" t="s">
        <v>17</v>
      </c>
      <c r="H647" t="str">
        <f>TRIM(PROPER(TTrainingSource[[#This Row],[Training_Title2]]))</f>
        <v>Introduction To Python For Data</v>
      </c>
      <c r="I647" t="s">
        <v>62</v>
      </c>
      <c r="J647" s="1">
        <v>45065</v>
      </c>
      <c r="K647" t="s">
        <v>39</v>
      </c>
      <c r="L647" s="7">
        <v>4</v>
      </c>
      <c r="M647">
        <f>ROUND(TTrainingSource[[#This Row],[Satisfaction_Score2]],0)</f>
        <v>3</v>
      </c>
      <c r="N647">
        <v>2.6</v>
      </c>
    </row>
    <row r="648" spans="1:14" x14ac:dyDescent="0.3">
      <c r="A648" t="s">
        <v>111</v>
      </c>
      <c r="B648" t="str">
        <f>TRIM(TTrainingSource[[#This Row],[EMPloyee_ID2]])</f>
        <v>EMP10322</v>
      </c>
      <c r="C648" t="str">
        <f>IFERROR(VLOOKUP(TTrainingSource[[#This Row],[Employee_ID]],THrList[],3,FALSE),"")</f>
        <v>DAVIS</v>
      </c>
      <c r="D648" t="str">
        <f>IFERROR(VLOOKUP(TTrainingSource[[#This Row],[Employee_ID]],THrList[],4,FALSE),"")</f>
        <v>Isabella</v>
      </c>
      <c r="E648" t="str">
        <f>IFERROR(VLOOKUP(TTrainingSource[[#This Row],[Employee_ID]],THrList[],10,FALSE),"")</f>
        <v>Compliance</v>
      </c>
      <c r="F648" t="str">
        <f>TRIM(PROPER(TTrainingSource[[#This Row],[Training_Status2]]))</f>
        <v>Planned</v>
      </c>
      <c r="G648" t="s">
        <v>19</v>
      </c>
      <c r="H648" t="str">
        <f>TRIM(PROPER(TTrainingSource[[#This Row],[Training_Title2]]))</f>
        <v>Digital Marketing Strategy</v>
      </c>
      <c r="I648" t="s">
        <v>43</v>
      </c>
      <c r="J648" s="1">
        <v>45487</v>
      </c>
      <c r="K648" t="s">
        <v>32</v>
      </c>
      <c r="L648" s="7">
        <v>32</v>
      </c>
      <c r="M648">
        <f>ROUND(TTrainingSource[[#This Row],[Satisfaction_Score2]],0)</f>
        <v>3</v>
      </c>
      <c r="N648">
        <v>2.8</v>
      </c>
    </row>
    <row r="649" spans="1:14" x14ac:dyDescent="0.3">
      <c r="A649" t="s">
        <v>243</v>
      </c>
      <c r="B649" t="str">
        <f>TRIM(TTrainingSource[[#This Row],[EMPloyee_ID2]])</f>
        <v>EMP10322</v>
      </c>
      <c r="C649" t="str">
        <f>IFERROR(VLOOKUP(TTrainingSource[[#This Row],[Employee_ID]],THrList[],3,FALSE),"")</f>
        <v>DAVIS</v>
      </c>
      <c r="D649" t="str">
        <f>IFERROR(VLOOKUP(TTrainingSource[[#This Row],[Employee_ID]],THrList[],4,FALSE),"")</f>
        <v>Isabella</v>
      </c>
      <c r="E649" t="str">
        <f>IFERROR(VLOOKUP(TTrainingSource[[#This Row],[Employee_ID]],THrList[],10,FALSE),"")</f>
        <v>Compliance</v>
      </c>
      <c r="F649" t="str">
        <f>TRIM(PROPER(TTrainingSource[[#This Row],[Training_Status2]]))</f>
        <v>In Progress</v>
      </c>
      <c r="G649" t="s">
        <v>8</v>
      </c>
      <c r="H649" t="str">
        <f>TRIM(PROPER(TTrainingSource[[#This Row],[Training_Title2]]))</f>
        <v>Customer Data Analysis</v>
      </c>
      <c r="I649" t="s">
        <v>31</v>
      </c>
      <c r="J649" s="1">
        <v>45075</v>
      </c>
      <c r="K649" t="s">
        <v>42</v>
      </c>
      <c r="L649" s="7">
        <v>6</v>
      </c>
      <c r="M649">
        <f>ROUND(TTrainingSource[[#This Row],[Satisfaction_Score2]],0)</f>
        <v>3</v>
      </c>
      <c r="N649">
        <v>3.2</v>
      </c>
    </row>
    <row r="650" spans="1:14" x14ac:dyDescent="0.3">
      <c r="A650" t="s">
        <v>111</v>
      </c>
      <c r="B650" t="str">
        <f>TRIM(TTrainingSource[[#This Row],[EMPloyee_ID2]])</f>
        <v>EMP10322</v>
      </c>
      <c r="C650" t="str">
        <f>IFERROR(VLOOKUP(TTrainingSource[[#This Row],[Employee_ID]],THrList[],3,FALSE),"")</f>
        <v>DAVIS</v>
      </c>
      <c r="D650" t="str">
        <f>IFERROR(VLOOKUP(TTrainingSource[[#This Row],[Employee_ID]],THrList[],4,FALSE),"")</f>
        <v>Isabella</v>
      </c>
      <c r="E650" t="str">
        <f>IFERROR(VLOOKUP(TTrainingSource[[#This Row],[Employee_ID]],THrList[],10,FALSE),"")</f>
        <v>Compliance</v>
      </c>
      <c r="F650" t="str">
        <f>TRIM(PROPER(TTrainingSource[[#This Row],[Training_Status2]]))</f>
        <v>Completed</v>
      </c>
      <c r="G650" t="s">
        <v>17</v>
      </c>
      <c r="H650" t="str">
        <f>TRIM(PROPER(TTrainingSource[[#This Row],[Training_Title2]]))</f>
        <v>Communication For Analysts</v>
      </c>
      <c r="I650" t="s">
        <v>28</v>
      </c>
      <c r="J650" s="1">
        <v>45429</v>
      </c>
      <c r="K650" t="s">
        <v>32</v>
      </c>
      <c r="L650" s="7">
        <v>24</v>
      </c>
      <c r="M650">
        <f>ROUND(TTrainingSource[[#This Row],[Satisfaction_Score2]],0)</f>
        <v>5</v>
      </c>
      <c r="N650">
        <v>4.8</v>
      </c>
    </row>
    <row r="651" spans="1:14" x14ac:dyDescent="0.3">
      <c r="A651" t="s">
        <v>168</v>
      </c>
      <c r="B651" t="str">
        <f>TRIM(TTrainingSource[[#This Row],[EMPloyee_ID2]])</f>
        <v>EMP10323</v>
      </c>
      <c r="C651" t="str">
        <f>IFERROR(VLOOKUP(TTrainingSource[[#This Row],[Employee_ID]],THrList[],3,FALSE),"")</f>
        <v>MOREAU</v>
      </c>
      <c r="D651" t="str">
        <f>IFERROR(VLOOKUP(TTrainingSource[[#This Row],[Employee_ID]],THrList[],4,FALSE),"")</f>
        <v>Akosua</v>
      </c>
      <c r="E651" t="str">
        <f>IFERROR(VLOOKUP(TTrainingSource[[#This Row],[Employee_ID]],THrList[],10,FALSE),"")</f>
        <v>Compliance</v>
      </c>
      <c r="F651" t="str">
        <f>TRIM(PROPER(TTrainingSource[[#This Row],[Training_Status2]]))</f>
        <v>Planned</v>
      </c>
      <c r="G651" t="s">
        <v>128</v>
      </c>
      <c r="H651" t="str">
        <f>TRIM(PROPER(TTrainingSource[[#This Row],[Training_Title2]]))</f>
        <v>Advanced Excel For Business</v>
      </c>
      <c r="I651" t="s">
        <v>52</v>
      </c>
      <c r="J651" s="1">
        <v>44641</v>
      </c>
      <c r="K651" t="s">
        <v>39</v>
      </c>
      <c r="L651" s="7">
        <v>20</v>
      </c>
      <c r="M651">
        <f>ROUND(TTrainingSource[[#This Row],[Satisfaction_Score2]],0)</f>
        <v>4</v>
      </c>
      <c r="N651">
        <v>4.0999999999999996</v>
      </c>
    </row>
    <row r="652" spans="1:14" x14ac:dyDescent="0.3">
      <c r="A652" t="s">
        <v>168</v>
      </c>
      <c r="B652" t="str">
        <f>TRIM(TTrainingSource[[#This Row],[EMPloyee_ID2]])</f>
        <v>EMP10323</v>
      </c>
      <c r="C652" t="str">
        <f>IFERROR(VLOOKUP(TTrainingSource[[#This Row],[Employee_ID]],THrList[],3,FALSE),"")</f>
        <v>MOREAU</v>
      </c>
      <c r="D652" t="str">
        <f>IFERROR(VLOOKUP(TTrainingSource[[#This Row],[Employee_ID]],THrList[],4,FALSE),"")</f>
        <v>Akosua</v>
      </c>
      <c r="E652" t="str">
        <f>IFERROR(VLOOKUP(TTrainingSource[[#This Row],[Employee_ID]],THrList[],10,FALSE),"")</f>
        <v>Compliance</v>
      </c>
      <c r="F652" t="str">
        <f>TRIM(PROPER(TTrainingSource[[#This Row],[Training_Status2]]))</f>
        <v>Planned</v>
      </c>
      <c r="G652" t="s">
        <v>19</v>
      </c>
      <c r="H652" t="str">
        <f>TRIM(PROPER(TTrainingSource[[#This Row],[Training_Title2]]))</f>
        <v>Introduction To Python For Data</v>
      </c>
      <c r="I652" t="s">
        <v>62</v>
      </c>
      <c r="J652" s="1">
        <v>44730</v>
      </c>
      <c r="K652" t="s">
        <v>44</v>
      </c>
      <c r="L652" s="7">
        <v>32</v>
      </c>
      <c r="M652">
        <f>ROUND(TTrainingSource[[#This Row],[Satisfaction_Score2]],0)</f>
        <v>4</v>
      </c>
      <c r="N652">
        <v>4.3</v>
      </c>
    </row>
    <row r="653" spans="1:14" x14ac:dyDescent="0.3">
      <c r="A653" t="s">
        <v>168</v>
      </c>
      <c r="B653" t="str">
        <f>TRIM(TTrainingSource[[#This Row],[EMPloyee_ID2]])</f>
        <v>EMP10323</v>
      </c>
      <c r="C653" t="str">
        <f>IFERROR(VLOOKUP(TTrainingSource[[#This Row],[Employee_ID]],THrList[],3,FALSE),"")</f>
        <v>MOREAU</v>
      </c>
      <c r="D653" t="str">
        <f>IFERROR(VLOOKUP(TTrainingSource[[#This Row],[Employee_ID]],THrList[],4,FALSE),"")</f>
        <v>Akosua</v>
      </c>
      <c r="E653" t="str">
        <f>IFERROR(VLOOKUP(TTrainingSource[[#This Row],[Employee_ID]],THrList[],10,FALSE),"")</f>
        <v>Compliance</v>
      </c>
      <c r="F653" t="str">
        <f>TRIM(PROPER(TTrainingSource[[#This Row],[Training_Status2]]))</f>
        <v>Completed</v>
      </c>
      <c r="G653" t="s">
        <v>17</v>
      </c>
      <c r="H653" t="str">
        <f>TRIM(PROPER(TTrainingSource[[#This Row],[Training_Title2]]))</f>
        <v>Sql For Data Analytics</v>
      </c>
      <c r="I653" t="s">
        <v>26</v>
      </c>
      <c r="J653" s="1">
        <v>45096</v>
      </c>
      <c r="K653" t="s">
        <v>32</v>
      </c>
      <c r="L653" s="7">
        <v>32</v>
      </c>
      <c r="M653">
        <f>ROUND(TTrainingSource[[#This Row],[Satisfaction_Score2]],0)</f>
        <v>4</v>
      </c>
      <c r="N653">
        <v>4.3</v>
      </c>
    </row>
    <row r="654" spans="1:14" x14ac:dyDescent="0.3">
      <c r="A654" t="s">
        <v>168</v>
      </c>
      <c r="B654" t="str">
        <f>TRIM(TTrainingSource[[#This Row],[EMPloyee_ID2]])</f>
        <v>EMP10323</v>
      </c>
      <c r="C654" t="str">
        <f>IFERROR(VLOOKUP(TTrainingSource[[#This Row],[Employee_ID]],THrList[],3,FALSE),"")</f>
        <v>MOREAU</v>
      </c>
      <c r="D654" t="str">
        <f>IFERROR(VLOOKUP(TTrainingSource[[#This Row],[Employee_ID]],THrList[],4,FALSE),"")</f>
        <v>Akosua</v>
      </c>
      <c r="E654" t="str">
        <f>IFERROR(VLOOKUP(TTrainingSource[[#This Row],[Employee_ID]],THrList[],10,FALSE),"")</f>
        <v>Compliance</v>
      </c>
      <c r="F654" t="str">
        <f>TRIM(PROPER(TTrainingSource[[#This Row],[Training_Status2]]))</f>
        <v>Completed</v>
      </c>
      <c r="G654" t="s">
        <v>35</v>
      </c>
      <c r="H654" t="str">
        <f>TRIM(PROPER(TTrainingSource[[#This Row],[Training_Title2]]))</f>
        <v>Business Intelligence With Tableau</v>
      </c>
      <c r="I654" t="s">
        <v>22</v>
      </c>
      <c r="J654" s="1">
        <v>45334</v>
      </c>
      <c r="K654" t="s">
        <v>42</v>
      </c>
      <c r="L654" s="7">
        <v>24</v>
      </c>
      <c r="M654">
        <f>ROUND(TTrainingSource[[#This Row],[Satisfaction_Score2]],0)</f>
        <v>3</v>
      </c>
      <c r="N654">
        <v>2.9</v>
      </c>
    </row>
    <row r="655" spans="1:14" x14ac:dyDescent="0.3">
      <c r="A655" t="s">
        <v>168</v>
      </c>
      <c r="B655" t="str">
        <f>TRIM(TTrainingSource[[#This Row],[EMPloyee_ID2]])</f>
        <v>EMP10323</v>
      </c>
      <c r="C655" t="str">
        <f>IFERROR(VLOOKUP(TTrainingSource[[#This Row],[Employee_ID]],THrList[],3,FALSE),"")</f>
        <v>MOREAU</v>
      </c>
      <c r="D655" t="str">
        <f>IFERROR(VLOOKUP(TTrainingSource[[#This Row],[Employee_ID]],THrList[],4,FALSE),"")</f>
        <v>Akosua</v>
      </c>
      <c r="E655" t="str">
        <f>IFERROR(VLOOKUP(TTrainingSource[[#This Row],[Employee_ID]],THrList[],10,FALSE),"")</f>
        <v>Compliance</v>
      </c>
      <c r="F655" t="str">
        <f>TRIM(PROPER(TTrainingSource[[#This Row],[Training_Status2]]))</f>
        <v>Completed</v>
      </c>
      <c r="G655" t="s">
        <v>17</v>
      </c>
      <c r="H655" t="str">
        <f>TRIM(PROPER(TTrainingSource[[#This Row],[Training_Title2]]))</f>
        <v>Digital Marketing Strategy</v>
      </c>
      <c r="I655" t="s">
        <v>43</v>
      </c>
      <c r="J655" s="1">
        <v>45935</v>
      </c>
      <c r="K655" t="s">
        <v>42</v>
      </c>
      <c r="L655" s="7">
        <v>16</v>
      </c>
      <c r="M655">
        <f>ROUND(TTrainingSource[[#This Row],[Satisfaction_Score2]],0)</f>
        <v>3</v>
      </c>
      <c r="N655">
        <v>2.7</v>
      </c>
    </row>
    <row r="656" spans="1:14" x14ac:dyDescent="0.3">
      <c r="A656" t="s">
        <v>205</v>
      </c>
      <c r="B656" t="str">
        <f>TRIM(TTrainingSource[[#This Row],[EMPloyee_ID2]])</f>
        <v>EMP10324</v>
      </c>
      <c r="C656" t="str">
        <f>IFERROR(VLOOKUP(TTrainingSource[[#This Row],[Employee_ID]],THrList[],3,FALSE),"")</f>
        <v xml:space="preserve"> WILSON</v>
      </c>
      <c r="D656" t="str">
        <f>IFERROR(VLOOKUP(TTrainingSource[[#This Row],[Employee_ID]],THrList[],4,FALSE),"")</f>
        <v>Ngozi</v>
      </c>
      <c r="E656" t="str">
        <f>IFERROR(VLOOKUP(TTrainingSource[[#This Row],[Employee_ID]],THrList[],10,FALSE),"")</f>
        <v>Procurement</v>
      </c>
      <c r="F656" t="str">
        <f>TRIM(PROPER(TTrainingSource[[#This Row],[Training_Status2]]))</f>
        <v>In Progress</v>
      </c>
      <c r="G656" t="s">
        <v>8</v>
      </c>
      <c r="H656" t="str">
        <f>TRIM(PROPER(TTrainingSource[[#This Row],[Training_Title2]]))</f>
        <v>Introduction To Python For Data</v>
      </c>
      <c r="I656" t="s">
        <v>62</v>
      </c>
      <c r="J656" s="1">
        <v>45594</v>
      </c>
      <c r="K656" t="s">
        <v>32</v>
      </c>
      <c r="L656" s="7">
        <v>24</v>
      </c>
      <c r="M656">
        <f>ROUND(TTrainingSource[[#This Row],[Satisfaction_Score2]],0)</f>
        <v>5</v>
      </c>
      <c r="N656">
        <v>4.7</v>
      </c>
    </row>
    <row r="657" spans="1:14" x14ac:dyDescent="0.3">
      <c r="A657" t="s">
        <v>205</v>
      </c>
      <c r="B657" t="str">
        <f>TRIM(TTrainingSource[[#This Row],[EMPloyee_ID2]])</f>
        <v>EMP10324</v>
      </c>
      <c r="C657" t="str">
        <f>IFERROR(VLOOKUP(TTrainingSource[[#This Row],[Employee_ID]],THrList[],3,FALSE),"")</f>
        <v xml:space="preserve"> WILSON</v>
      </c>
      <c r="D657" t="str">
        <f>IFERROR(VLOOKUP(TTrainingSource[[#This Row],[Employee_ID]],THrList[],4,FALSE),"")</f>
        <v>Ngozi</v>
      </c>
      <c r="E657" t="str">
        <f>IFERROR(VLOOKUP(TTrainingSource[[#This Row],[Employee_ID]],THrList[],10,FALSE),"")</f>
        <v>Procurement</v>
      </c>
      <c r="F657" t="str">
        <f>TRIM(PROPER(TTrainingSource[[#This Row],[Training_Status2]]))</f>
        <v>In Progress</v>
      </c>
      <c r="G657" t="s">
        <v>8</v>
      </c>
      <c r="H657" t="str">
        <f>TRIM(PROPER(TTrainingSource[[#This Row],[Training_Title2]]))</f>
        <v>Project Management Essentials</v>
      </c>
      <c r="I657" t="s">
        <v>14</v>
      </c>
      <c r="J657" s="1">
        <v>45405</v>
      </c>
      <c r="K657" t="s">
        <v>42</v>
      </c>
      <c r="L657" s="7">
        <v>4</v>
      </c>
      <c r="M657">
        <f>ROUND(TTrainingSource[[#This Row],[Satisfaction_Score2]],0)</f>
        <v>3</v>
      </c>
      <c r="N657">
        <v>3.3</v>
      </c>
    </row>
    <row r="658" spans="1:14" x14ac:dyDescent="0.3">
      <c r="A658" t="s">
        <v>205</v>
      </c>
      <c r="B658" t="str">
        <f>TRIM(TTrainingSource[[#This Row],[EMPloyee_ID2]])</f>
        <v>EMP10324</v>
      </c>
      <c r="C658" t="str">
        <f>IFERROR(VLOOKUP(TTrainingSource[[#This Row],[Employee_ID]],THrList[],3,FALSE),"")</f>
        <v xml:space="preserve"> WILSON</v>
      </c>
      <c r="D658" t="str">
        <f>IFERROR(VLOOKUP(TTrainingSource[[#This Row],[Employee_ID]],THrList[],4,FALSE),"")</f>
        <v>Ngozi</v>
      </c>
      <c r="E658" t="str">
        <f>IFERROR(VLOOKUP(TTrainingSource[[#This Row],[Employee_ID]],THrList[],10,FALSE),"")</f>
        <v>Procurement</v>
      </c>
      <c r="F658" t="str">
        <f>TRIM(PROPER(TTrainingSource[[#This Row],[Training_Status2]]))</f>
        <v>Planned</v>
      </c>
      <c r="G658" t="s">
        <v>19</v>
      </c>
      <c r="H658" t="str">
        <f>TRIM(PROPER(TTrainingSource[[#This Row],[Training_Title2]]))</f>
        <v>Business Intelligence With Tableau</v>
      </c>
      <c r="I658" t="s">
        <v>349</v>
      </c>
      <c r="J658" s="1">
        <v>45131</v>
      </c>
      <c r="K658" t="s">
        <v>42</v>
      </c>
      <c r="L658" s="7">
        <v>16</v>
      </c>
      <c r="M658">
        <f>ROUND(TTrainingSource[[#This Row],[Satisfaction_Score2]],0)</f>
        <v>4</v>
      </c>
      <c r="N658">
        <v>4.4000000000000004</v>
      </c>
    </row>
    <row r="659" spans="1:14" x14ac:dyDescent="0.3">
      <c r="A659" t="s">
        <v>205</v>
      </c>
      <c r="B659" t="str">
        <f>TRIM(TTrainingSource[[#This Row],[EMPloyee_ID2]])</f>
        <v>EMP10324</v>
      </c>
      <c r="C659" t="str">
        <f>IFERROR(VLOOKUP(TTrainingSource[[#This Row],[Employee_ID]],THrList[],3,FALSE),"")</f>
        <v xml:space="preserve"> WILSON</v>
      </c>
      <c r="D659" t="str">
        <f>IFERROR(VLOOKUP(TTrainingSource[[#This Row],[Employee_ID]],THrList[],4,FALSE),"")</f>
        <v>Ngozi</v>
      </c>
      <c r="E659" t="str">
        <f>IFERROR(VLOOKUP(TTrainingSource[[#This Row],[Employee_ID]],THrList[],10,FALSE),"")</f>
        <v>Procurement</v>
      </c>
      <c r="F659" t="str">
        <f>TRIM(PROPER(TTrainingSource[[#This Row],[Training_Status2]]))</f>
        <v>In Progress</v>
      </c>
      <c r="G659" t="s">
        <v>8</v>
      </c>
      <c r="H659" t="str">
        <f>TRIM(PROPER(TTrainingSource[[#This Row],[Training_Title2]]))</f>
        <v>Project Management Essentials</v>
      </c>
      <c r="I659" t="s">
        <v>360</v>
      </c>
      <c r="J659" s="1">
        <v>44736</v>
      </c>
      <c r="K659" t="s">
        <v>42</v>
      </c>
      <c r="L659" s="7">
        <v>12</v>
      </c>
      <c r="M659">
        <f>ROUND(TTrainingSource[[#This Row],[Satisfaction_Score2]],0)</f>
        <v>3</v>
      </c>
      <c r="N659">
        <v>2.7</v>
      </c>
    </row>
    <row r="660" spans="1:14" x14ac:dyDescent="0.3">
      <c r="A660" t="s">
        <v>54</v>
      </c>
      <c r="B660" t="str">
        <f>TRIM(TTrainingSource[[#This Row],[EMPloyee_ID2]])</f>
        <v>EMP10325</v>
      </c>
      <c r="C660" t="str">
        <f>IFERROR(VLOOKUP(TTrainingSource[[#This Row],[Employee_ID]],THrList[],3,FALSE),"")</f>
        <v>CHEN</v>
      </c>
      <c r="D660" t="str">
        <f>IFERROR(VLOOKUP(TTrainingSource[[#This Row],[Employee_ID]],THrList[],4,FALSE),"")</f>
        <v>Julien</v>
      </c>
      <c r="E660" t="str">
        <f>IFERROR(VLOOKUP(TTrainingSource[[#This Row],[Employee_ID]],THrList[],10,FALSE),"")</f>
        <v>Operations</v>
      </c>
      <c r="F660" t="str">
        <f>TRIM(PROPER(TTrainingSource[[#This Row],[Training_Status2]]))</f>
        <v>In Progress</v>
      </c>
      <c r="G660" t="s">
        <v>8</v>
      </c>
      <c r="H660" t="str">
        <f>TRIM(PROPER(TTrainingSource[[#This Row],[Training_Title2]]))</f>
        <v>Data Analysis Fundamentals</v>
      </c>
      <c r="I660" t="s">
        <v>55</v>
      </c>
      <c r="J660" s="1">
        <v>45419</v>
      </c>
      <c r="K660" t="s">
        <v>46</v>
      </c>
      <c r="L660" s="7">
        <v>32</v>
      </c>
      <c r="M660">
        <f>ROUND(TTrainingSource[[#This Row],[Satisfaction_Score2]],0)</f>
        <v>5</v>
      </c>
      <c r="N660">
        <v>4.5999999999999996</v>
      </c>
    </row>
    <row r="661" spans="1:14" x14ac:dyDescent="0.3">
      <c r="A661" t="s">
        <v>54</v>
      </c>
      <c r="B661" t="str">
        <f>TRIM(TTrainingSource[[#This Row],[EMPloyee_ID2]])</f>
        <v>EMP10325</v>
      </c>
      <c r="C661" t="str">
        <f>IFERROR(VLOOKUP(TTrainingSource[[#This Row],[Employee_ID]],THrList[],3,FALSE),"")</f>
        <v>CHEN</v>
      </c>
      <c r="D661" t="str">
        <f>IFERROR(VLOOKUP(TTrainingSource[[#This Row],[Employee_ID]],THrList[],4,FALSE),"")</f>
        <v>Julien</v>
      </c>
      <c r="E661" t="str">
        <f>IFERROR(VLOOKUP(TTrainingSource[[#This Row],[Employee_ID]],THrList[],10,FALSE),"")</f>
        <v>Operations</v>
      </c>
      <c r="F661" t="str">
        <f>TRIM(PROPER(TTrainingSource[[#This Row],[Training_Status2]]))</f>
        <v>Completed</v>
      </c>
      <c r="G661" t="s">
        <v>17</v>
      </c>
      <c r="H661" t="str">
        <f>TRIM(PROPER(TTrainingSource[[#This Row],[Training_Title2]]))</f>
        <v>Advanced Excel For Business</v>
      </c>
      <c r="I661" t="s">
        <v>52</v>
      </c>
      <c r="J661" s="1">
        <v>44570</v>
      </c>
      <c r="K661" t="s">
        <v>29</v>
      </c>
      <c r="L661" s="7">
        <v>0</v>
      </c>
      <c r="M661">
        <f>ROUND(TTrainingSource[[#This Row],[Satisfaction_Score2]],0)</f>
        <v>4</v>
      </c>
      <c r="N661">
        <v>4</v>
      </c>
    </row>
    <row r="662" spans="1:14" x14ac:dyDescent="0.3">
      <c r="A662" t="s">
        <v>54</v>
      </c>
      <c r="B662" t="str">
        <f>TRIM(TTrainingSource[[#This Row],[EMPloyee_ID2]])</f>
        <v>EMP10325</v>
      </c>
      <c r="C662" t="str">
        <f>IFERROR(VLOOKUP(TTrainingSource[[#This Row],[Employee_ID]],THrList[],3,FALSE),"")</f>
        <v>CHEN</v>
      </c>
      <c r="D662" t="str">
        <f>IFERROR(VLOOKUP(TTrainingSource[[#This Row],[Employee_ID]],THrList[],4,FALSE),"")</f>
        <v>Julien</v>
      </c>
      <c r="E662" t="str">
        <f>IFERROR(VLOOKUP(TTrainingSource[[#This Row],[Employee_ID]],THrList[],10,FALSE),"")</f>
        <v>Operations</v>
      </c>
      <c r="F662" t="str">
        <f>TRIM(PROPER(TTrainingSource[[#This Row],[Training_Status2]]))</f>
        <v>Completed</v>
      </c>
      <c r="G662" t="s">
        <v>17</v>
      </c>
      <c r="H662" t="str">
        <f>TRIM(PROPER(TTrainingSource[[#This Row],[Training_Title2]]))</f>
        <v>Communication For Analysts</v>
      </c>
      <c r="I662" t="s">
        <v>28</v>
      </c>
      <c r="J662" s="1">
        <v>44644</v>
      </c>
      <c r="K662" t="s">
        <v>98</v>
      </c>
      <c r="L662" s="7">
        <v>40</v>
      </c>
      <c r="M662">
        <f>ROUND(TTrainingSource[[#This Row],[Satisfaction_Score2]],0)</f>
        <v>5</v>
      </c>
      <c r="N662">
        <v>4.8</v>
      </c>
    </row>
    <row r="663" spans="1:14" x14ac:dyDescent="0.3">
      <c r="A663" t="s">
        <v>687</v>
      </c>
      <c r="B663" t="str">
        <f>TRIM(TTrainingSource[[#This Row],[EMPloyee_ID2]])</f>
        <v>EMP10325</v>
      </c>
      <c r="C663" t="str">
        <f>IFERROR(VLOOKUP(TTrainingSource[[#This Row],[Employee_ID]],THrList[],3,FALSE),"")</f>
        <v>CHEN</v>
      </c>
      <c r="D663" t="str">
        <f>IFERROR(VLOOKUP(TTrainingSource[[#This Row],[Employee_ID]],THrList[],4,FALSE),"")</f>
        <v>Julien</v>
      </c>
      <c r="E663" t="str">
        <f>IFERROR(VLOOKUP(TTrainingSource[[#This Row],[Employee_ID]],THrList[],10,FALSE),"")</f>
        <v>Operations</v>
      </c>
      <c r="F663" t="str">
        <f>TRIM(PROPER(TTrainingSource[[#This Row],[Training_Status2]]))</f>
        <v>Completed</v>
      </c>
      <c r="G663" t="s">
        <v>17</v>
      </c>
      <c r="H663" t="str">
        <f>TRIM(PROPER(TTrainingSource[[#This Row],[Training_Title2]]))</f>
        <v>Project Management Essentials</v>
      </c>
      <c r="I663" t="s">
        <v>14</v>
      </c>
      <c r="J663" s="1">
        <v>45560</v>
      </c>
      <c r="K663" t="s">
        <v>98</v>
      </c>
      <c r="L663" s="7">
        <v>6</v>
      </c>
      <c r="M663">
        <f>ROUND(TTrainingSource[[#This Row],[Satisfaction_Score2]],0)</f>
        <v>5</v>
      </c>
      <c r="N663">
        <v>5</v>
      </c>
    </row>
    <row r="664" spans="1:14" x14ac:dyDescent="0.3">
      <c r="A664" t="s">
        <v>54</v>
      </c>
      <c r="B664" t="str">
        <f>TRIM(TTrainingSource[[#This Row],[EMPloyee_ID2]])</f>
        <v>EMP10325</v>
      </c>
      <c r="C664" t="str">
        <f>IFERROR(VLOOKUP(TTrainingSource[[#This Row],[Employee_ID]],THrList[],3,FALSE),"")</f>
        <v>CHEN</v>
      </c>
      <c r="D664" t="str">
        <f>IFERROR(VLOOKUP(TTrainingSource[[#This Row],[Employee_ID]],THrList[],4,FALSE),"")</f>
        <v>Julien</v>
      </c>
      <c r="E664" t="str">
        <f>IFERROR(VLOOKUP(TTrainingSource[[#This Row],[Employee_ID]],THrList[],10,FALSE),"")</f>
        <v>Operations</v>
      </c>
      <c r="F664" t="str">
        <f>TRIM(PROPER(TTrainingSource[[#This Row],[Training_Status2]]))</f>
        <v>Completed</v>
      </c>
      <c r="G664" t="s">
        <v>17</v>
      </c>
      <c r="H664" t="str">
        <f>TRIM(PROPER(TTrainingSource[[#This Row],[Training_Title2]]))</f>
        <v>Digital Marketing Strategy</v>
      </c>
      <c r="I664" t="s">
        <v>43</v>
      </c>
      <c r="J664" s="1">
        <v>45238</v>
      </c>
      <c r="K664" t="s">
        <v>98</v>
      </c>
      <c r="L664" s="7">
        <v>40</v>
      </c>
      <c r="M664">
        <f>ROUND(TTrainingSource[[#This Row],[Satisfaction_Score2]],0)</f>
        <v>4</v>
      </c>
      <c r="N664">
        <v>4.0999999999999996</v>
      </c>
    </row>
    <row r="665" spans="1:14" x14ac:dyDescent="0.3">
      <c r="A665" t="s">
        <v>577</v>
      </c>
      <c r="B665" t="str">
        <f>TRIM(TTrainingSource[[#This Row],[EMPloyee_ID2]])</f>
        <v>EMP10326</v>
      </c>
      <c r="C665" t="str">
        <f>IFERROR(VLOOKUP(TTrainingSource[[#This Row],[Employee_ID]],THrList[],3,FALSE),"")</f>
        <v>JOHNSON</v>
      </c>
      <c r="D665" t="str">
        <f>IFERROR(VLOOKUP(TTrainingSource[[#This Row],[Employee_ID]],THrList[],4,FALSE),"")</f>
        <v>Akosua</v>
      </c>
      <c r="E665" t="str">
        <f>IFERROR(VLOOKUP(TTrainingSource[[#This Row],[Employee_ID]],THrList[],10,FALSE),"")</f>
        <v>Operations</v>
      </c>
      <c r="F665" t="str">
        <f>TRIM(PROPER(TTrainingSource[[#This Row],[Training_Status2]]))</f>
        <v>Completed</v>
      </c>
      <c r="G665" t="s">
        <v>17</v>
      </c>
      <c r="H665" t="str">
        <f>TRIM(PROPER(TTrainingSource[[#This Row],[Training_Title2]]))</f>
        <v>Project Management Essentials</v>
      </c>
      <c r="I665" t="s">
        <v>14</v>
      </c>
      <c r="J665" s="1">
        <v>45720</v>
      </c>
      <c r="K665" t="s">
        <v>44</v>
      </c>
      <c r="L665" s="7">
        <v>0</v>
      </c>
      <c r="M665">
        <f>ROUND(TTrainingSource[[#This Row],[Satisfaction_Score2]],0)</f>
        <v>3</v>
      </c>
      <c r="N665">
        <v>2.5</v>
      </c>
    </row>
    <row r="666" spans="1:14" x14ac:dyDescent="0.3">
      <c r="A666" t="s">
        <v>577</v>
      </c>
      <c r="B666" t="str">
        <f>TRIM(TTrainingSource[[#This Row],[EMPloyee_ID2]])</f>
        <v>EMP10326</v>
      </c>
      <c r="C666" t="str">
        <f>IFERROR(VLOOKUP(TTrainingSource[[#This Row],[Employee_ID]],THrList[],3,FALSE),"")</f>
        <v>JOHNSON</v>
      </c>
      <c r="D666" t="str">
        <f>IFERROR(VLOOKUP(TTrainingSource[[#This Row],[Employee_ID]],THrList[],4,FALSE),"")</f>
        <v>Akosua</v>
      </c>
      <c r="E666" t="str">
        <f>IFERROR(VLOOKUP(TTrainingSource[[#This Row],[Employee_ID]],THrList[],10,FALSE),"")</f>
        <v>Operations</v>
      </c>
      <c r="F666" t="str">
        <f>TRIM(PROPER(TTrainingSource[[#This Row],[Training_Status2]]))</f>
        <v>Planned</v>
      </c>
      <c r="G666" t="s">
        <v>19</v>
      </c>
      <c r="H666" t="str">
        <f>TRIM(PROPER(TTrainingSource[[#This Row],[Training_Title2]]))</f>
        <v>Advanced Excel For Business</v>
      </c>
      <c r="I666" t="s">
        <v>52</v>
      </c>
      <c r="J666" s="1">
        <v>44832</v>
      </c>
      <c r="K666" t="s">
        <v>29</v>
      </c>
      <c r="L666" s="7">
        <v>40</v>
      </c>
      <c r="M666">
        <f>ROUND(TTrainingSource[[#This Row],[Satisfaction_Score2]],0)</f>
        <v>4</v>
      </c>
      <c r="N666">
        <v>4.2</v>
      </c>
    </row>
    <row r="667" spans="1:14" x14ac:dyDescent="0.3">
      <c r="A667" t="s">
        <v>508</v>
      </c>
      <c r="B667" t="str">
        <f>TRIM(TTrainingSource[[#This Row],[EMPloyee_ID2]])</f>
        <v>EMP10328</v>
      </c>
      <c r="C667" t="str">
        <f>IFERROR(VLOOKUP(TTrainingSource[[#This Row],[Employee_ID]],THrList[],3,FALSE),"")</f>
        <v>ANDERSON</v>
      </c>
      <c r="D667" t="str">
        <f>IFERROR(VLOOKUP(TTrainingSource[[#This Row],[Employee_ID]],THrList[],4,FALSE),"")</f>
        <v>Camille</v>
      </c>
      <c r="E667" t="str">
        <f>IFERROR(VLOOKUP(TTrainingSource[[#This Row],[Employee_ID]],THrList[],10,FALSE),"")</f>
        <v>Finance</v>
      </c>
      <c r="F667" t="str">
        <f>TRIM(PROPER(TTrainingSource[[#This Row],[Training_Status2]]))</f>
        <v>Completed</v>
      </c>
      <c r="G667" t="s">
        <v>17</v>
      </c>
      <c r="H667" t="str">
        <f>TRIM(PROPER(TTrainingSource[[#This Row],[Training_Title2]]))</f>
        <v>Data Analysis Fundamentals</v>
      </c>
      <c r="I667" t="s">
        <v>9</v>
      </c>
      <c r="J667" s="1">
        <v>45357</v>
      </c>
      <c r="K667" t="s">
        <v>98</v>
      </c>
      <c r="L667" s="7">
        <v>40</v>
      </c>
      <c r="M667">
        <f>ROUND(TTrainingSource[[#This Row],[Satisfaction_Score2]],0)</f>
        <v>3</v>
      </c>
      <c r="N667">
        <v>3.4</v>
      </c>
    </row>
    <row r="668" spans="1:14" x14ac:dyDescent="0.3">
      <c r="A668" t="s">
        <v>508</v>
      </c>
      <c r="B668" t="str">
        <f>TRIM(TTrainingSource[[#This Row],[EMPloyee_ID2]])</f>
        <v>EMP10328</v>
      </c>
      <c r="C668" t="str">
        <f>IFERROR(VLOOKUP(TTrainingSource[[#This Row],[Employee_ID]],THrList[],3,FALSE),"")</f>
        <v>ANDERSON</v>
      </c>
      <c r="D668" t="str">
        <f>IFERROR(VLOOKUP(TTrainingSource[[#This Row],[Employee_ID]],THrList[],4,FALSE),"")</f>
        <v>Camille</v>
      </c>
      <c r="E668" t="str">
        <f>IFERROR(VLOOKUP(TTrainingSource[[#This Row],[Employee_ID]],THrList[],10,FALSE),"")</f>
        <v>Finance</v>
      </c>
      <c r="F668" t="str">
        <f>TRIM(PROPER(TTrainingSource[[#This Row],[Training_Status2]]))</f>
        <v>Planned</v>
      </c>
      <c r="G668" t="s">
        <v>19</v>
      </c>
      <c r="H668" t="str">
        <f>TRIM(PROPER(TTrainingSource[[#This Row],[Training_Title2]]))</f>
        <v>Digital Marketing Strategy</v>
      </c>
      <c r="I668" t="s">
        <v>43</v>
      </c>
      <c r="J668" s="1">
        <v>45681</v>
      </c>
      <c r="K668" t="s">
        <v>42</v>
      </c>
      <c r="L668" s="7">
        <v>40</v>
      </c>
      <c r="M668">
        <f>ROUND(TTrainingSource[[#This Row],[Satisfaction_Score2]],0)</f>
        <v>4</v>
      </c>
      <c r="N668">
        <v>3.5</v>
      </c>
    </row>
    <row r="669" spans="1:14" x14ac:dyDescent="0.3">
      <c r="A669" t="s">
        <v>508</v>
      </c>
      <c r="B669" t="str">
        <f>TRIM(TTrainingSource[[#This Row],[EMPloyee_ID2]])</f>
        <v>EMP10328</v>
      </c>
      <c r="C669" t="str">
        <f>IFERROR(VLOOKUP(TTrainingSource[[#This Row],[Employee_ID]],THrList[],3,FALSE),"")</f>
        <v>ANDERSON</v>
      </c>
      <c r="D669" t="str">
        <f>IFERROR(VLOOKUP(TTrainingSource[[#This Row],[Employee_ID]],THrList[],4,FALSE),"")</f>
        <v>Camille</v>
      </c>
      <c r="E669" t="str">
        <f>IFERROR(VLOOKUP(TTrainingSource[[#This Row],[Employee_ID]],THrList[],10,FALSE),"")</f>
        <v>Finance</v>
      </c>
      <c r="F669" t="str">
        <f>TRIM(PROPER(TTrainingSource[[#This Row],[Training_Status2]]))</f>
        <v>Completed</v>
      </c>
      <c r="G669" t="s">
        <v>35</v>
      </c>
      <c r="H669" t="str">
        <f>TRIM(PROPER(TTrainingSource[[#This Row],[Training_Title2]]))</f>
        <v>Data Analysis Fundamentals</v>
      </c>
      <c r="I669" t="s">
        <v>9</v>
      </c>
      <c r="J669" s="1">
        <v>44870</v>
      </c>
      <c r="K669" t="s">
        <v>42</v>
      </c>
      <c r="L669" s="7">
        <v>8</v>
      </c>
      <c r="M669">
        <f>ROUND(TTrainingSource[[#This Row],[Satisfaction_Score2]],0)</f>
        <v>5</v>
      </c>
      <c r="N669">
        <v>5</v>
      </c>
    </row>
    <row r="670" spans="1:14" x14ac:dyDescent="0.3">
      <c r="A670" t="s">
        <v>258</v>
      </c>
      <c r="B670" t="str">
        <f>TRIM(TTrainingSource[[#This Row],[EMPloyee_ID2]])</f>
        <v>EMP10329</v>
      </c>
      <c r="C670" t="str">
        <f>IFERROR(VLOOKUP(TTrainingSource[[#This Row],[Employee_ID]],THrList[],3,FALSE),"")</f>
        <v>IBRAHIM</v>
      </c>
      <c r="D670" t="str">
        <f>IFERROR(VLOOKUP(TTrainingSource[[#This Row],[Employee_ID]],THrList[],4,FALSE),"")</f>
        <v>Ama</v>
      </c>
      <c r="E670" t="str">
        <f>IFERROR(VLOOKUP(TTrainingSource[[#This Row],[Employee_ID]],THrList[],10,FALSE),"")</f>
        <v>IT</v>
      </c>
      <c r="F670" t="str">
        <f>TRIM(PROPER(TTrainingSource[[#This Row],[Training_Status2]]))</f>
        <v>Completed</v>
      </c>
      <c r="G670" t="s">
        <v>17</v>
      </c>
      <c r="H670" t="str">
        <f>TRIM(PROPER(TTrainingSource[[#This Row],[Training_Title2]]))</f>
        <v>Communication For Analysts</v>
      </c>
      <c r="I670" t="s">
        <v>28</v>
      </c>
      <c r="J670" s="1">
        <v>44747</v>
      </c>
      <c r="K670" t="s">
        <v>29</v>
      </c>
      <c r="L670" s="7">
        <v>32</v>
      </c>
      <c r="M670">
        <f>ROUND(TTrainingSource[[#This Row],[Satisfaction_Score2]],0)</f>
        <v>3</v>
      </c>
      <c r="N670">
        <v>3.1</v>
      </c>
    </row>
    <row r="671" spans="1:14" x14ac:dyDescent="0.3">
      <c r="A671" t="s">
        <v>258</v>
      </c>
      <c r="B671" t="str">
        <f>TRIM(TTrainingSource[[#This Row],[EMPloyee_ID2]])</f>
        <v>EMP10329</v>
      </c>
      <c r="C671" t="str">
        <f>IFERROR(VLOOKUP(TTrainingSource[[#This Row],[Employee_ID]],THrList[],3,FALSE),"")</f>
        <v>IBRAHIM</v>
      </c>
      <c r="D671" t="str">
        <f>IFERROR(VLOOKUP(TTrainingSource[[#This Row],[Employee_ID]],THrList[],4,FALSE),"")</f>
        <v>Ama</v>
      </c>
      <c r="E671" t="str">
        <f>IFERROR(VLOOKUP(TTrainingSource[[#This Row],[Employee_ID]],THrList[],10,FALSE),"")</f>
        <v>IT</v>
      </c>
      <c r="F671" t="str">
        <f>TRIM(PROPER(TTrainingSource[[#This Row],[Training_Status2]]))</f>
        <v>Completed</v>
      </c>
      <c r="G671" t="s">
        <v>17</v>
      </c>
      <c r="H671" t="str">
        <f>TRIM(PROPER(TTrainingSource[[#This Row],[Training_Title2]]))</f>
        <v>Digital Marketing Strategy</v>
      </c>
      <c r="I671" t="s">
        <v>43</v>
      </c>
      <c r="J671" s="1">
        <v>44732</v>
      </c>
      <c r="K671" t="s">
        <v>46</v>
      </c>
      <c r="L671" s="7">
        <v>20</v>
      </c>
      <c r="M671">
        <f>ROUND(TTrainingSource[[#This Row],[Satisfaction_Score2]],0)</f>
        <v>3</v>
      </c>
      <c r="N671">
        <v>3.4</v>
      </c>
    </row>
    <row r="672" spans="1:14" x14ac:dyDescent="0.3">
      <c r="A672" t="s">
        <v>740</v>
      </c>
      <c r="B672" t="str">
        <f>TRIM(TTrainingSource[[#This Row],[EMPloyee_ID2]])</f>
        <v>EMP10330</v>
      </c>
      <c r="C672" t="str">
        <f>IFERROR(VLOOKUP(TTrainingSource[[#This Row],[Employee_ID]],THrList[],3,FALSE),"")</f>
        <v>GARCIA</v>
      </c>
      <c r="D672" t="str">
        <f>IFERROR(VLOOKUP(TTrainingSource[[#This Row],[Employee_ID]],THrList[],4,FALSE),"")</f>
        <v>Mariama</v>
      </c>
      <c r="E672" t="str">
        <f>IFERROR(VLOOKUP(TTrainingSource[[#This Row],[Employee_ID]],THrList[],10,FALSE),"")</f>
        <v>IT</v>
      </c>
      <c r="F672" t="str">
        <f>TRIM(PROPER(TTrainingSource[[#This Row],[Training_Status2]]))</f>
        <v>Planned</v>
      </c>
      <c r="G672" t="s">
        <v>19</v>
      </c>
      <c r="H672" t="str">
        <f>TRIM(PROPER(TTrainingSource[[#This Row],[Training_Title2]]))</f>
        <v>Advanced Excel For Business</v>
      </c>
      <c r="I672" t="s">
        <v>346</v>
      </c>
      <c r="J672" s="1">
        <v>45818</v>
      </c>
      <c r="K672" t="s">
        <v>29</v>
      </c>
      <c r="L672" s="7">
        <v>8</v>
      </c>
      <c r="M672">
        <f>ROUND(TTrainingSource[[#This Row],[Satisfaction_Score2]],0)</f>
        <v>5</v>
      </c>
      <c r="N672">
        <v>4.7</v>
      </c>
    </row>
    <row r="673" spans="1:14" x14ac:dyDescent="0.3">
      <c r="A673" t="s">
        <v>136</v>
      </c>
      <c r="B673" t="str">
        <f>TRIM(TTrainingSource[[#This Row],[EMPloyee_ID2]])</f>
        <v>EMP10331</v>
      </c>
      <c r="C673" t="str">
        <f>IFERROR(VLOOKUP(TTrainingSource[[#This Row],[Employee_ID]],THrList[],3,FALSE),"")</f>
        <v>TOURE</v>
      </c>
      <c r="D673" t="str">
        <f>IFERROR(VLOOKUP(TTrainingSource[[#This Row],[Employee_ID]],THrList[],4,FALSE),"")</f>
        <v>Ngozi</v>
      </c>
      <c r="E673" t="str">
        <f>IFERROR(VLOOKUP(TTrainingSource[[#This Row],[Employee_ID]],THrList[],10,FALSE),"")</f>
        <v>Compliance</v>
      </c>
      <c r="F673" t="str">
        <f>TRIM(PROPER(TTrainingSource[[#This Row],[Training_Status2]]))</f>
        <v>Completed</v>
      </c>
      <c r="G673" t="s">
        <v>17</v>
      </c>
      <c r="H673" t="str">
        <f>TRIM(PROPER(TTrainingSource[[#This Row],[Training_Title2]]))</f>
        <v>Customer Data Analysis</v>
      </c>
      <c r="I673" t="s">
        <v>31</v>
      </c>
      <c r="J673" s="1">
        <v>45609</v>
      </c>
      <c r="K673" t="s">
        <v>46</v>
      </c>
      <c r="L673" s="7">
        <v>40</v>
      </c>
      <c r="M673">
        <f>ROUND(TTrainingSource[[#This Row],[Satisfaction_Score2]],0)</f>
        <v>3</v>
      </c>
      <c r="N673">
        <v>2.7</v>
      </c>
    </row>
    <row r="674" spans="1:14" x14ac:dyDescent="0.3">
      <c r="A674" t="s">
        <v>136</v>
      </c>
      <c r="B674" t="str">
        <f>TRIM(TTrainingSource[[#This Row],[EMPloyee_ID2]])</f>
        <v>EMP10331</v>
      </c>
      <c r="C674" t="str">
        <f>IFERROR(VLOOKUP(TTrainingSource[[#This Row],[Employee_ID]],THrList[],3,FALSE),"")</f>
        <v>TOURE</v>
      </c>
      <c r="D674" t="str">
        <f>IFERROR(VLOOKUP(TTrainingSource[[#This Row],[Employee_ID]],THrList[],4,FALSE),"")</f>
        <v>Ngozi</v>
      </c>
      <c r="E674" t="str">
        <f>IFERROR(VLOOKUP(TTrainingSource[[#This Row],[Employee_ID]],THrList[],10,FALSE),"")</f>
        <v>Compliance</v>
      </c>
      <c r="F674" t="str">
        <f>TRIM(PROPER(TTrainingSource[[#This Row],[Training_Status2]]))</f>
        <v>In Progress</v>
      </c>
      <c r="G674" t="s">
        <v>8</v>
      </c>
      <c r="H674" t="str">
        <f>TRIM(PROPER(TTrainingSource[[#This Row],[Training_Title2]]))</f>
        <v>Sql For Data Analytics</v>
      </c>
      <c r="I674" t="s">
        <v>418</v>
      </c>
      <c r="J674" s="1">
        <v>45809</v>
      </c>
      <c r="K674" t="s">
        <v>12</v>
      </c>
      <c r="L674" s="7">
        <v>16</v>
      </c>
      <c r="M674">
        <f>ROUND(TTrainingSource[[#This Row],[Satisfaction_Score2]],0)</f>
        <v>3</v>
      </c>
      <c r="N674">
        <v>2.6</v>
      </c>
    </row>
    <row r="675" spans="1:14" x14ac:dyDescent="0.3">
      <c r="A675" t="s">
        <v>58</v>
      </c>
      <c r="B675" t="str">
        <f>TRIM(TTrainingSource[[#This Row],[EMPloyee_ID2]])</f>
        <v>EMP10332</v>
      </c>
      <c r="C675" t="str">
        <f>IFERROR(VLOOKUP(TTrainingSource[[#This Row],[Employee_ID]],THrList[],3,FALSE),"")</f>
        <v>PATEL</v>
      </c>
      <c r="D675" t="str">
        <f>IFERROR(VLOOKUP(TTrainingSource[[#This Row],[Employee_ID]],THrList[],4,FALSE),"")</f>
        <v>Nadia</v>
      </c>
      <c r="E675" t="str">
        <f>IFERROR(VLOOKUP(TTrainingSource[[#This Row],[Employee_ID]],THrList[],10,FALSE),"")</f>
        <v>Compliance</v>
      </c>
      <c r="F675" t="str">
        <f>TRIM(PROPER(TTrainingSource[[#This Row],[Training_Status2]]))</f>
        <v>In Progress</v>
      </c>
      <c r="G675" t="s">
        <v>8</v>
      </c>
      <c r="H675" t="str">
        <f>TRIM(PROPER(TTrainingSource[[#This Row],[Training_Title2]]))</f>
        <v>Project Management Essentials</v>
      </c>
      <c r="I675" t="s">
        <v>14</v>
      </c>
      <c r="J675" s="1">
        <v>45268</v>
      </c>
      <c r="K675" t="s">
        <v>44</v>
      </c>
      <c r="L675" s="7">
        <v>20</v>
      </c>
      <c r="M675">
        <f>ROUND(TTrainingSource[[#This Row],[Satisfaction_Score2]],0)</f>
        <v>3</v>
      </c>
      <c r="N675">
        <v>3.2</v>
      </c>
    </row>
    <row r="676" spans="1:14" x14ac:dyDescent="0.3">
      <c r="A676" t="s">
        <v>58</v>
      </c>
      <c r="B676" t="str">
        <f>TRIM(TTrainingSource[[#This Row],[EMPloyee_ID2]])</f>
        <v>EMP10332</v>
      </c>
      <c r="C676" t="str">
        <f>IFERROR(VLOOKUP(TTrainingSource[[#This Row],[Employee_ID]],THrList[],3,FALSE),"")</f>
        <v>PATEL</v>
      </c>
      <c r="D676" t="str">
        <f>IFERROR(VLOOKUP(TTrainingSource[[#This Row],[Employee_ID]],THrList[],4,FALSE),"")</f>
        <v>Nadia</v>
      </c>
      <c r="E676" t="str">
        <f>IFERROR(VLOOKUP(TTrainingSource[[#This Row],[Employee_ID]],THrList[],10,FALSE),"")</f>
        <v>Compliance</v>
      </c>
      <c r="F676" t="str">
        <f>TRIM(PROPER(TTrainingSource[[#This Row],[Training_Status2]]))</f>
        <v>Completed</v>
      </c>
      <c r="G676" t="s">
        <v>17</v>
      </c>
      <c r="H676" t="str">
        <f>TRIM(PROPER(TTrainingSource[[#This Row],[Training_Title2]]))</f>
        <v>Project Management Essentials</v>
      </c>
      <c r="I676" t="s">
        <v>14</v>
      </c>
      <c r="J676" s="1">
        <v>45616</v>
      </c>
      <c r="K676" t="s">
        <v>46</v>
      </c>
      <c r="L676" s="7">
        <v>6</v>
      </c>
      <c r="M676">
        <f>ROUND(TTrainingSource[[#This Row],[Satisfaction_Score2]],0)</f>
        <v>3</v>
      </c>
      <c r="N676">
        <v>3.2</v>
      </c>
    </row>
    <row r="677" spans="1:14" x14ac:dyDescent="0.3">
      <c r="A677" t="s">
        <v>345</v>
      </c>
      <c r="B677" t="str">
        <f>TRIM(TTrainingSource[[#This Row],[EMPloyee_ID2]])</f>
        <v>EMP10333</v>
      </c>
      <c r="C677" t="str">
        <f>IFERROR(VLOOKUP(TTrainingSource[[#This Row],[Employee_ID]],THrList[],3,FALSE),"")</f>
        <v>DIALLO</v>
      </c>
      <c r="D677" t="str">
        <f>IFERROR(VLOOKUP(TTrainingSource[[#This Row],[Employee_ID]],THrList[],4,FALSE),"")</f>
        <v>Liam</v>
      </c>
      <c r="E677" t="str">
        <f>IFERROR(VLOOKUP(TTrainingSource[[#This Row],[Employee_ID]],THrList[],10,FALSE),"")</f>
        <v>IT</v>
      </c>
      <c r="F677" t="str">
        <f>TRIM(PROPER(TTrainingSource[[#This Row],[Training_Status2]]))</f>
        <v>Planned</v>
      </c>
      <c r="G677" t="s">
        <v>19</v>
      </c>
      <c r="H677" t="str">
        <f>TRIM(PROPER(TTrainingSource[[#This Row],[Training_Title2]]))</f>
        <v>Data Visualization Best Practices</v>
      </c>
      <c r="I677" t="s">
        <v>20</v>
      </c>
      <c r="J677" s="1">
        <v>45932</v>
      </c>
      <c r="K677" t="s">
        <v>71</v>
      </c>
      <c r="L677" s="7">
        <v>4</v>
      </c>
      <c r="M677">
        <f>ROUND(TTrainingSource[[#This Row],[Satisfaction_Score2]],0)</f>
        <v>3</v>
      </c>
      <c r="N677">
        <v>2.8</v>
      </c>
    </row>
    <row r="678" spans="1:14" x14ac:dyDescent="0.3">
      <c r="A678" t="s">
        <v>345</v>
      </c>
      <c r="B678" t="str">
        <f>TRIM(TTrainingSource[[#This Row],[EMPloyee_ID2]])</f>
        <v>EMP10333</v>
      </c>
      <c r="C678" t="str">
        <f>IFERROR(VLOOKUP(TTrainingSource[[#This Row],[Employee_ID]],THrList[],3,FALSE),"")</f>
        <v>DIALLO</v>
      </c>
      <c r="D678" t="str">
        <f>IFERROR(VLOOKUP(TTrainingSource[[#This Row],[Employee_ID]],THrList[],4,FALSE),"")</f>
        <v>Liam</v>
      </c>
      <c r="E678" t="str">
        <f>IFERROR(VLOOKUP(TTrainingSource[[#This Row],[Employee_ID]],THrList[],10,FALSE),"")</f>
        <v>IT</v>
      </c>
      <c r="F678" t="str">
        <f>TRIM(PROPER(TTrainingSource[[#This Row],[Training_Status2]]))</f>
        <v>Completed</v>
      </c>
      <c r="G678" t="s">
        <v>17</v>
      </c>
      <c r="H678" t="str">
        <f>TRIM(PROPER(TTrainingSource[[#This Row],[Training_Title2]]))</f>
        <v>Financial Modeling Basics</v>
      </c>
      <c r="I678" t="s">
        <v>38</v>
      </c>
      <c r="J678" s="1">
        <v>45072</v>
      </c>
      <c r="K678" t="s">
        <v>46</v>
      </c>
      <c r="L678" s="7">
        <v>20</v>
      </c>
      <c r="M678">
        <f>ROUND(TTrainingSource[[#This Row],[Satisfaction_Score2]],0)</f>
        <v>5</v>
      </c>
      <c r="N678">
        <v>4.5</v>
      </c>
    </row>
    <row r="679" spans="1:14" x14ac:dyDescent="0.3">
      <c r="A679" t="s">
        <v>769</v>
      </c>
      <c r="B679" t="str">
        <f>TRIM(TTrainingSource[[#This Row],[EMPloyee_ID2]])</f>
        <v>EMP10333</v>
      </c>
      <c r="C679" t="str">
        <f>IFERROR(VLOOKUP(TTrainingSource[[#This Row],[Employee_ID]],THrList[],3,FALSE),"")</f>
        <v>DIALLO</v>
      </c>
      <c r="D679" t="str">
        <f>IFERROR(VLOOKUP(TTrainingSource[[#This Row],[Employee_ID]],THrList[],4,FALSE),"")</f>
        <v>Liam</v>
      </c>
      <c r="E679" t="str">
        <f>IFERROR(VLOOKUP(TTrainingSource[[#This Row],[Employee_ID]],THrList[],10,FALSE),"")</f>
        <v>IT</v>
      </c>
      <c r="F679" t="str">
        <f>TRIM(PROPER(TTrainingSource[[#This Row],[Training_Status2]]))</f>
        <v>Planned</v>
      </c>
      <c r="G679" t="s">
        <v>19</v>
      </c>
      <c r="H679" t="str">
        <f>TRIM(PROPER(TTrainingSource[[#This Row],[Training_Title2]]))</f>
        <v>Introduction To Python For Data</v>
      </c>
      <c r="I679" t="s">
        <v>62</v>
      </c>
      <c r="J679" s="1">
        <v>45763</v>
      </c>
      <c r="K679" t="s">
        <v>39</v>
      </c>
      <c r="L679" s="7">
        <v>8</v>
      </c>
      <c r="M679">
        <f>ROUND(TTrainingSource[[#This Row],[Satisfaction_Score2]],0)</f>
        <v>3</v>
      </c>
      <c r="N679">
        <v>3.1</v>
      </c>
    </row>
    <row r="680" spans="1:14" x14ac:dyDescent="0.3">
      <c r="A680" t="s">
        <v>477</v>
      </c>
      <c r="B680" t="str">
        <f>TRIM(TTrainingSource[[#This Row],[EMPloyee_ID2]])</f>
        <v>EMP10334</v>
      </c>
      <c r="C680" t="str">
        <f>IFERROR(VLOOKUP(TTrainingSource[[#This Row],[Employee_ID]],THrList[],3,FALSE),"")</f>
        <v>NGUYEN</v>
      </c>
      <c r="D680" t="str">
        <f>IFERROR(VLOOKUP(TTrainingSource[[#This Row],[Employee_ID]],THrList[],4,FALSE),"")</f>
        <v>Nadia</v>
      </c>
      <c r="E680" t="str">
        <f>IFERROR(VLOOKUP(TTrainingSource[[#This Row],[Employee_ID]],THrList[],10,FALSE),"")</f>
        <v>Procurement</v>
      </c>
      <c r="F680" t="str">
        <f>TRIM(PROPER(TTrainingSource[[#This Row],[Training_Status2]]))</f>
        <v>Completed</v>
      </c>
      <c r="G680" t="s">
        <v>17</v>
      </c>
      <c r="H680" t="str">
        <f>TRIM(PROPER(TTrainingSource[[#This Row],[Training_Title2]]))</f>
        <v>Advanced Excel For Business</v>
      </c>
      <c r="I680" t="s">
        <v>52</v>
      </c>
      <c r="J680" s="1">
        <v>45325</v>
      </c>
      <c r="K680" t="s">
        <v>44</v>
      </c>
      <c r="L680" s="7">
        <v>12</v>
      </c>
      <c r="M680">
        <f>ROUND(TTrainingSource[[#This Row],[Satisfaction_Score2]],0)</f>
        <v>3</v>
      </c>
      <c r="N680">
        <v>3.2</v>
      </c>
    </row>
    <row r="681" spans="1:14" x14ac:dyDescent="0.3">
      <c r="A681" t="s">
        <v>477</v>
      </c>
      <c r="B681" t="str">
        <f>TRIM(TTrainingSource[[#This Row],[EMPloyee_ID2]])</f>
        <v>EMP10334</v>
      </c>
      <c r="C681" t="str">
        <f>IFERROR(VLOOKUP(TTrainingSource[[#This Row],[Employee_ID]],THrList[],3,FALSE),"")</f>
        <v>NGUYEN</v>
      </c>
      <c r="D681" t="str">
        <f>IFERROR(VLOOKUP(TTrainingSource[[#This Row],[Employee_ID]],THrList[],4,FALSE),"")</f>
        <v>Nadia</v>
      </c>
      <c r="E681" t="str">
        <f>IFERROR(VLOOKUP(TTrainingSource[[#This Row],[Employee_ID]],THrList[],10,FALSE),"")</f>
        <v>Procurement</v>
      </c>
      <c r="F681" t="str">
        <f>TRIM(PROPER(TTrainingSource[[#This Row],[Training_Status2]]))</f>
        <v>In Progress</v>
      </c>
      <c r="G681" t="s">
        <v>8</v>
      </c>
      <c r="H681" t="str">
        <f>TRIM(PROPER(TTrainingSource[[#This Row],[Training_Title2]]))</f>
        <v>Introduction To Python For Data</v>
      </c>
      <c r="I681" t="s">
        <v>62</v>
      </c>
      <c r="J681" s="1">
        <v>44924</v>
      </c>
      <c r="K681" t="s">
        <v>1072</v>
      </c>
      <c r="L681" s="7">
        <v>12</v>
      </c>
      <c r="M681">
        <f>ROUND(TTrainingSource[[#This Row],[Satisfaction_Score2]],0)</f>
        <v>4</v>
      </c>
      <c r="N681">
        <v>3.9</v>
      </c>
    </row>
    <row r="682" spans="1:14" x14ac:dyDescent="0.3">
      <c r="A682" t="s">
        <v>334</v>
      </c>
      <c r="B682" t="str">
        <f>TRIM(TTrainingSource[[#This Row],[EMPloyee_ID2]])</f>
        <v>EMP10335</v>
      </c>
      <c r="C682" t="str">
        <f>IFERROR(VLOOKUP(TTrainingSource[[#This Row],[Employee_ID]],THrList[],3,FALSE),"")</f>
        <v>ANDERSON</v>
      </c>
      <c r="D682" t="str">
        <f>IFERROR(VLOOKUP(TTrainingSource[[#This Row],[Employee_ID]],THrList[],4,FALSE),"")</f>
        <v>Kofi</v>
      </c>
      <c r="E682" t="str">
        <f>IFERROR(VLOOKUP(TTrainingSource[[#This Row],[Employee_ID]],THrList[],10,FALSE),"")</f>
        <v>Operations</v>
      </c>
      <c r="F682" t="str">
        <f>TRIM(PROPER(TTrainingSource[[#This Row],[Training_Status2]]))</f>
        <v>Completed</v>
      </c>
      <c r="G682" t="s">
        <v>17</v>
      </c>
      <c r="H682" t="str">
        <f>TRIM(PROPER(TTrainingSource[[#This Row],[Training_Title2]]))</f>
        <v>Sql For Data Analytics</v>
      </c>
      <c r="I682" t="s">
        <v>26</v>
      </c>
      <c r="J682" s="1">
        <v>45459</v>
      </c>
      <c r="K682" t="s">
        <v>42</v>
      </c>
      <c r="L682" s="7">
        <v>6</v>
      </c>
      <c r="M682">
        <f>ROUND(TTrainingSource[[#This Row],[Satisfaction_Score2]],0)</f>
        <v>3</v>
      </c>
      <c r="N682">
        <v>2.8</v>
      </c>
    </row>
    <row r="683" spans="1:14" x14ac:dyDescent="0.3">
      <c r="A683" t="s">
        <v>334</v>
      </c>
      <c r="B683" t="str">
        <f>TRIM(TTrainingSource[[#This Row],[EMPloyee_ID2]])</f>
        <v>EMP10335</v>
      </c>
      <c r="C683" t="str">
        <f>IFERROR(VLOOKUP(TTrainingSource[[#This Row],[Employee_ID]],THrList[],3,FALSE),"")</f>
        <v>ANDERSON</v>
      </c>
      <c r="D683" t="str">
        <f>IFERROR(VLOOKUP(TTrainingSource[[#This Row],[Employee_ID]],THrList[],4,FALSE),"")</f>
        <v>Kofi</v>
      </c>
      <c r="E683" t="str">
        <f>IFERROR(VLOOKUP(TTrainingSource[[#This Row],[Employee_ID]],THrList[],10,FALSE),"")</f>
        <v>Operations</v>
      </c>
      <c r="F683" t="str">
        <f>TRIM(PROPER(TTrainingSource[[#This Row],[Training_Status2]]))</f>
        <v>Completed</v>
      </c>
      <c r="G683" t="s">
        <v>17</v>
      </c>
      <c r="H683" t="str">
        <f>TRIM(PROPER(TTrainingSource[[#This Row],[Training_Title2]]))</f>
        <v>Data Visualization Best Practices</v>
      </c>
      <c r="I683" t="s">
        <v>411</v>
      </c>
      <c r="J683" s="1">
        <v>45404</v>
      </c>
      <c r="K683" t="s">
        <v>12</v>
      </c>
      <c r="L683" s="7">
        <v>8</v>
      </c>
      <c r="M683">
        <f>ROUND(TTrainingSource[[#This Row],[Satisfaction_Score2]],0)</f>
        <v>5</v>
      </c>
      <c r="N683">
        <v>4.9000000000000004</v>
      </c>
    </row>
    <row r="684" spans="1:14" x14ac:dyDescent="0.3">
      <c r="A684" t="s">
        <v>334</v>
      </c>
      <c r="B684" t="str">
        <f>TRIM(TTrainingSource[[#This Row],[EMPloyee_ID2]])</f>
        <v>EMP10335</v>
      </c>
      <c r="C684" t="str">
        <f>IFERROR(VLOOKUP(TTrainingSource[[#This Row],[Employee_ID]],THrList[],3,FALSE),"")</f>
        <v>ANDERSON</v>
      </c>
      <c r="D684" t="str">
        <f>IFERROR(VLOOKUP(TTrainingSource[[#This Row],[Employee_ID]],THrList[],4,FALSE),"")</f>
        <v>Kofi</v>
      </c>
      <c r="E684" t="str">
        <f>IFERROR(VLOOKUP(TTrainingSource[[#This Row],[Employee_ID]],THrList[],10,FALSE),"")</f>
        <v>Operations</v>
      </c>
      <c r="F684" t="str">
        <f>TRIM(PROPER(TTrainingSource[[#This Row],[Training_Status2]]))</f>
        <v>Planned</v>
      </c>
      <c r="G684" t="s">
        <v>19</v>
      </c>
      <c r="H684" t="str">
        <f>TRIM(PROPER(TTrainingSource[[#This Row],[Training_Title2]]))</f>
        <v>Power Bi Reporting</v>
      </c>
      <c r="I684" t="s">
        <v>24</v>
      </c>
      <c r="J684" s="1">
        <v>44908</v>
      </c>
      <c r="K684" t="s">
        <v>44</v>
      </c>
      <c r="L684" s="7">
        <v>6</v>
      </c>
      <c r="M684">
        <f>ROUND(TTrainingSource[[#This Row],[Satisfaction_Score2]],0)</f>
        <v>4</v>
      </c>
      <c r="N684">
        <v>3.6</v>
      </c>
    </row>
    <row r="685" spans="1:14" x14ac:dyDescent="0.3">
      <c r="A685" t="s">
        <v>334</v>
      </c>
      <c r="B685" t="str">
        <f>TRIM(TTrainingSource[[#This Row],[EMPloyee_ID2]])</f>
        <v>EMP10335</v>
      </c>
      <c r="C685" t="str">
        <f>IFERROR(VLOOKUP(TTrainingSource[[#This Row],[Employee_ID]],THrList[],3,FALSE),"")</f>
        <v>ANDERSON</v>
      </c>
      <c r="D685" t="str">
        <f>IFERROR(VLOOKUP(TTrainingSource[[#This Row],[Employee_ID]],THrList[],4,FALSE),"")</f>
        <v>Kofi</v>
      </c>
      <c r="E685" t="str">
        <f>IFERROR(VLOOKUP(TTrainingSource[[#This Row],[Employee_ID]],THrList[],10,FALSE),"")</f>
        <v>Operations</v>
      </c>
      <c r="F685" t="str">
        <f>TRIM(PROPER(TTrainingSource[[#This Row],[Training_Status2]]))</f>
        <v>In Progress</v>
      </c>
      <c r="G685" t="s">
        <v>8</v>
      </c>
      <c r="H685" t="str">
        <f>TRIM(PROPER(TTrainingSource[[#This Row],[Training_Title2]]))</f>
        <v>Business Intelligence With Tableau</v>
      </c>
      <c r="I685" t="s">
        <v>517</v>
      </c>
      <c r="J685" s="1">
        <v>45470</v>
      </c>
      <c r="K685" t="s">
        <v>46</v>
      </c>
      <c r="L685" s="7">
        <v>32</v>
      </c>
      <c r="M685">
        <f>ROUND(TTrainingSource[[#This Row],[Satisfaction_Score2]],0)</f>
        <v>4</v>
      </c>
      <c r="N685">
        <v>3.6</v>
      </c>
    </row>
    <row r="686" spans="1:14" x14ac:dyDescent="0.3">
      <c r="A686" t="s">
        <v>730</v>
      </c>
      <c r="B686" t="str">
        <f>TRIM(TTrainingSource[[#This Row],[EMPloyee_ID2]])</f>
        <v>EMP10337</v>
      </c>
      <c r="C686" t="str">
        <f>IFERROR(VLOOKUP(TTrainingSource[[#This Row],[Employee_ID]],THrList[],3,FALSE),"")</f>
        <v>MOREAU</v>
      </c>
      <c r="D686" t="str">
        <f>IFERROR(VLOOKUP(TTrainingSource[[#This Row],[Employee_ID]],THrList[],4,FALSE),"")</f>
        <v>Noah</v>
      </c>
      <c r="E686" t="str">
        <f>IFERROR(VLOOKUP(TTrainingSource[[#This Row],[Employee_ID]],THrList[],10,FALSE),"")</f>
        <v>IT</v>
      </c>
      <c r="F686" t="str">
        <f>TRIM(PROPER(TTrainingSource[[#This Row],[Training_Status2]]))</f>
        <v>Completed</v>
      </c>
      <c r="G686" t="s">
        <v>17</v>
      </c>
      <c r="H686" t="str">
        <f>TRIM(PROPER(TTrainingSource[[#This Row],[Training_Title2]]))</f>
        <v>Introduction To Python For Data</v>
      </c>
      <c r="I686" t="s">
        <v>62</v>
      </c>
      <c r="J686" s="1">
        <v>45762</v>
      </c>
      <c r="K686" t="s">
        <v>29</v>
      </c>
      <c r="L686" s="7">
        <v>6</v>
      </c>
      <c r="M686">
        <f>ROUND(TTrainingSource[[#This Row],[Satisfaction_Score2]],0)</f>
        <v>3</v>
      </c>
      <c r="N686">
        <v>3.2</v>
      </c>
    </row>
    <row r="687" spans="1:14" x14ac:dyDescent="0.3">
      <c r="A687" t="s">
        <v>81</v>
      </c>
      <c r="B687" t="str">
        <f>TRIM(TTrainingSource[[#This Row],[EMPloyee_ID2]])</f>
        <v>EMP10338</v>
      </c>
      <c r="C687" t="str">
        <f>IFERROR(VLOOKUP(TTrainingSource[[#This Row],[Employee_ID]],THrList[],3,FALSE),"")</f>
        <v>DUBOIS</v>
      </c>
      <c r="D687" t="str">
        <f>IFERROR(VLOOKUP(TTrainingSource[[#This Row],[Employee_ID]],THrList[],4,FALSE),"")</f>
        <v>Mariama</v>
      </c>
      <c r="E687" t="str">
        <f>IFERROR(VLOOKUP(TTrainingSource[[#This Row],[Employee_ID]],THrList[],10,FALSE),"")</f>
        <v>Procurement</v>
      </c>
      <c r="F687" t="str">
        <f>TRIM(PROPER(TTrainingSource[[#This Row],[Training_Status2]]))</f>
        <v>Planned</v>
      </c>
      <c r="G687" t="s">
        <v>19</v>
      </c>
      <c r="H687" t="str">
        <f>TRIM(PROPER(TTrainingSource[[#This Row],[Training_Title2]]))</f>
        <v>Advanced Excel For Business</v>
      </c>
      <c r="I687" t="s">
        <v>82</v>
      </c>
      <c r="J687" s="1">
        <v>45300</v>
      </c>
      <c r="K687" t="s">
        <v>44</v>
      </c>
      <c r="L687" s="7">
        <v>24</v>
      </c>
      <c r="M687">
        <f>ROUND(TTrainingSource[[#This Row],[Satisfaction_Score2]],0)</f>
        <v>4</v>
      </c>
      <c r="N687">
        <v>3.5</v>
      </c>
    </row>
    <row r="688" spans="1:14" x14ac:dyDescent="0.3">
      <c r="A688" t="s">
        <v>81</v>
      </c>
      <c r="B688" t="str">
        <f>TRIM(TTrainingSource[[#This Row],[EMPloyee_ID2]])</f>
        <v>EMP10338</v>
      </c>
      <c r="C688" t="str">
        <f>IFERROR(VLOOKUP(TTrainingSource[[#This Row],[Employee_ID]],THrList[],3,FALSE),"")</f>
        <v>DUBOIS</v>
      </c>
      <c r="D688" t="str">
        <f>IFERROR(VLOOKUP(TTrainingSource[[#This Row],[Employee_ID]],THrList[],4,FALSE),"")</f>
        <v>Mariama</v>
      </c>
      <c r="E688" t="str">
        <f>IFERROR(VLOOKUP(TTrainingSource[[#This Row],[Employee_ID]],THrList[],10,FALSE),"")</f>
        <v>Procurement</v>
      </c>
      <c r="F688" t="str">
        <f>TRIM(PROPER(TTrainingSource[[#This Row],[Training_Status2]]))</f>
        <v>Completed</v>
      </c>
      <c r="G688" t="s">
        <v>17</v>
      </c>
      <c r="H688" t="str">
        <f>TRIM(PROPER(TTrainingSource[[#This Row],[Training_Title2]]))</f>
        <v>Business Intelligence With Tableau</v>
      </c>
      <c r="I688" t="s">
        <v>22</v>
      </c>
      <c r="J688" s="1">
        <v>45380</v>
      </c>
      <c r="K688" t="s">
        <v>44</v>
      </c>
      <c r="L688" s="7">
        <v>40</v>
      </c>
      <c r="M688">
        <f>ROUND(TTrainingSource[[#This Row],[Satisfaction_Score2]],0)</f>
        <v>3</v>
      </c>
      <c r="N688">
        <v>3</v>
      </c>
    </row>
    <row r="689" spans="1:14" x14ac:dyDescent="0.3">
      <c r="A689" t="s">
        <v>81</v>
      </c>
      <c r="B689" t="str">
        <f>TRIM(TTrainingSource[[#This Row],[EMPloyee_ID2]])</f>
        <v>EMP10338</v>
      </c>
      <c r="C689" t="str">
        <f>IFERROR(VLOOKUP(TTrainingSource[[#This Row],[Employee_ID]],THrList[],3,FALSE),"")</f>
        <v>DUBOIS</v>
      </c>
      <c r="D689" t="str">
        <f>IFERROR(VLOOKUP(TTrainingSource[[#This Row],[Employee_ID]],THrList[],4,FALSE),"")</f>
        <v>Mariama</v>
      </c>
      <c r="E689" t="str">
        <f>IFERROR(VLOOKUP(TTrainingSource[[#This Row],[Employee_ID]],THrList[],10,FALSE),"")</f>
        <v>Procurement</v>
      </c>
      <c r="F689" t="str">
        <f>TRIM(PROPER(TTrainingSource[[#This Row],[Training_Status2]]))</f>
        <v>Planned</v>
      </c>
      <c r="G689" t="s">
        <v>19</v>
      </c>
      <c r="H689" t="str">
        <f>TRIM(PROPER(TTrainingSource[[#This Row],[Training_Title2]]))</f>
        <v>Sql For Data Analytics</v>
      </c>
      <c r="I689" t="s">
        <v>26</v>
      </c>
      <c r="J689" s="1">
        <v>45797</v>
      </c>
      <c r="K689" t="s">
        <v>29</v>
      </c>
      <c r="L689" s="7">
        <v>24</v>
      </c>
      <c r="M689">
        <f>ROUND(TTrainingSource[[#This Row],[Satisfaction_Score2]],0)</f>
        <v>3</v>
      </c>
      <c r="N689">
        <v>3.4</v>
      </c>
    </row>
    <row r="690" spans="1:14" x14ac:dyDescent="0.3">
      <c r="A690" t="s">
        <v>81</v>
      </c>
      <c r="B690" t="str">
        <f>TRIM(TTrainingSource[[#This Row],[EMPloyee_ID2]])</f>
        <v>EMP10338</v>
      </c>
      <c r="C690" t="str">
        <f>IFERROR(VLOOKUP(TTrainingSource[[#This Row],[Employee_ID]],THrList[],3,FALSE),"")</f>
        <v>DUBOIS</v>
      </c>
      <c r="D690" t="str">
        <f>IFERROR(VLOOKUP(TTrainingSource[[#This Row],[Employee_ID]],THrList[],4,FALSE),"")</f>
        <v>Mariama</v>
      </c>
      <c r="E690" t="str">
        <f>IFERROR(VLOOKUP(TTrainingSource[[#This Row],[Employee_ID]],THrList[],10,FALSE),"")</f>
        <v>Procurement</v>
      </c>
      <c r="F690" t="str">
        <f>TRIM(PROPER(TTrainingSource[[#This Row],[Training_Status2]]))</f>
        <v>Completed</v>
      </c>
      <c r="G690" t="s">
        <v>17</v>
      </c>
      <c r="H690" t="str">
        <f>TRIM(PROPER(TTrainingSource[[#This Row],[Training_Title2]]))</f>
        <v>Project Management Essentials</v>
      </c>
      <c r="I690" t="s">
        <v>14</v>
      </c>
      <c r="J690" s="1">
        <v>45320</v>
      </c>
      <c r="K690" t="s">
        <v>44</v>
      </c>
      <c r="L690" s="7">
        <v>4</v>
      </c>
      <c r="M690">
        <f>ROUND(TTrainingSource[[#This Row],[Satisfaction_Score2]],0)</f>
        <v>5</v>
      </c>
      <c r="N690">
        <v>4.5999999999999996</v>
      </c>
    </row>
    <row r="691" spans="1:14" x14ac:dyDescent="0.3">
      <c r="A691" t="s">
        <v>81</v>
      </c>
      <c r="B691" t="str">
        <f>TRIM(TTrainingSource[[#This Row],[EMPloyee_ID2]])</f>
        <v>EMP10338</v>
      </c>
      <c r="C691" t="str">
        <f>IFERROR(VLOOKUP(TTrainingSource[[#This Row],[Employee_ID]],THrList[],3,FALSE),"")</f>
        <v>DUBOIS</v>
      </c>
      <c r="D691" t="str">
        <f>IFERROR(VLOOKUP(TTrainingSource[[#This Row],[Employee_ID]],THrList[],4,FALSE),"")</f>
        <v>Mariama</v>
      </c>
      <c r="E691" t="str">
        <f>IFERROR(VLOOKUP(TTrainingSource[[#This Row],[Employee_ID]],THrList[],10,FALSE),"")</f>
        <v>Procurement</v>
      </c>
      <c r="F691" t="str">
        <f>TRIM(PROPER(TTrainingSource[[#This Row],[Training_Status2]]))</f>
        <v>Completed</v>
      </c>
      <c r="G691" t="s">
        <v>17</v>
      </c>
      <c r="H691" t="str">
        <f>TRIM(PROPER(TTrainingSource[[#This Row],[Training_Title2]]))</f>
        <v>Project Management Essentials</v>
      </c>
      <c r="I691" t="s">
        <v>14</v>
      </c>
      <c r="J691" s="1">
        <v>45144</v>
      </c>
      <c r="K691" t="s">
        <v>42</v>
      </c>
      <c r="L691" s="7">
        <v>8</v>
      </c>
      <c r="M691">
        <f>ROUND(TTrainingSource[[#This Row],[Satisfaction_Score2]],0)</f>
        <v>4</v>
      </c>
      <c r="N691">
        <v>4.4000000000000004</v>
      </c>
    </row>
    <row r="692" spans="1:14" x14ac:dyDescent="0.3">
      <c r="A692" t="s">
        <v>81</v>
      </c>
      <c r="B692" t="str">
        <f>TRIM(TTrainingSource[[#This Row],[EMPloyee_ID2]])</f>
        <v>EMP10338</v>
      </c>
      <c r="C692" t="str">
        <f>IFERROR(VLOOKUP(TTrainingSource[[#This Row],[Employee_ID]],THrList[],3,FALSE),"")</f>
        <v>DUBOIS</v>
      </c>
      <c r="D692" t="str">
        <f>IFERROR(VLOOKUP(TTrainingSource[[#This Row],[Employee_ID]],THrList[],4,FALSE),"")</f>
        <v>Mariama</v>
      </c>
      <c r="E692" t="str">
        <f>IFERROR(VLOOKUP(TTrainingSource[[#This Row],[Employee_ID]],THrList[],10,FALSE),"")</f>
        <v>Procurement</v>
      </c>
      <c r="F692" t="str">
        <f>TRIM(PROPER(TTrainingSource[[#This Row],[Training_Status2]]))</f>
        <v>In Progress</v>
      </c>
      <c r="G692" t="s">
        <v>8</v>
      </c>
      <c r="H692" t="str">
        <f>TRIM(PROPER(TTrainingSource[[#This Row],[Training_Title2]]))</f>
        <v>Digital Marketing Strategy</v>
      </c>
      <c r="I692" t="s">
        <v>43</v>
      </c>
      <c r="J692" s="1">
        <v>44763</v>
      </c>
      <c r="K692" t="s">
        <v>39</v>
      </c>
      <c r="L692" s="7">
        <v>12</v>
      </c>
      <c r="M692">
        <f>ROUND(TTrainingSource[[#This Row],[Satisfaction_Score2]],0)</f>
        <v>4</v>
      </c>
      <c r="N692">
        <v>4</v>
      </c>
    </row>
    <row r="693" spans="1:14" x14ac:dyDescent="0.3">
      <c r="A693" t="s">
        <v>81</v>
      </c>
      <c r="B693" t="str">
        <f>TRIM(TTrainingSource[[#This Row],[EMPloyee_ID2]])</f>
        <v>EMP10338</v>
      </c>
      <c r="C693" t="str">
        <f>IFERROR(VLOOKUP(TTrainingSource[[#This Row],[Employee_ID]],THrList[],3,FALSE),"")</f>
        <v>DUBOIS</v>
      </c>
      <c r="D693" t="str">
        <f>IFERROR(VLOOKUP(TTrainingSource[[#This Row],[Employee_ID]],THrList[],4,FALSE),"")</f>
        <v>Mariama</v>
      </c>
      <c r="E693" t="str">
        <f>IFERROR(VLOOKUP(TTrainingSource[[#This Row],[Employee_ID]],THrList[],10,FALSE),"")</f>
        <v>Procurement</v>
      </c>
      <c r="F693" t="str">
        <f>TRIM(PROPER(TTrainingSource[[#This Row],[Training_Status2]]))</f>
        <v>Completed</v>
      </c>
      <c r="G693" t="s">
        <v>17</v>
      </c>
      <c r="H693" t="str">
        <f>TRIM(PROPER(TTrainingSource[[#This Row],[Training_Title2]]))</f>
        <v>Power Bi Reporting</v>
      </c>
      <c r="I693" t="s">
        <v>24</v>
      </c>
      <c r="J693" s="1">
        <v>45766</v>
      </c>
      <c r="K693" t="s">
        <v>29</v>
      </c>
      <c r="L693" s="7">
        <v>6</v>
      </c>
      <c r="M693">
        <f>ROUND(TTrainingSource[[#This Row],[Satisfaction_Score2]],0)</f>
        <v>4</v>
      </c>
      <c r="N693">
        <v>4</v>
      </c>
    </row>
    <row r="694" spans="1:14" x14ac:dyDescent="0.3">
      <c r="A694" t="s">
        <v>652</v>
      </c>
      <c r="B694" t="str">
        <f>TRIM(TTrainingSource[[#This Row],[EMPloyee_ID2]])</f>
        <v>EMP10339</v>
      </c>
      <c r="C694" t="str">
        <f>IFERROR(VLOOKUP(TTrainingSource[[#This Row],[Employee_ID]],THrList[],3,FALSE),"")</f>
        <v>ABDULLAH</v>
      </c>
      <c r="D694" t="str">
        <f>IFERROR(VLOOKUP(TTrainingSource[[#This Row],[Employee_ID]],THrList[],4,FALSE),"")</f>
        <v>Binta</v>
      </c>
      <c r="E694" t="str">
        <f>IFERROR(VLOOKUP(TTrainingSource[[#This Row],[Employee_ID]],THrList[],10,FALSE),"")</f>
        <v>Operations</v>
      </c>
      <c r="F694" t="str">
        <f>TRIM(PROPER(TTrainingSource[[#This Row],[Training_Status2]]))</f>
        <v>Completed</v>
      </c>
      <c r="G694" t="s">
        <v>17</v>
      </c>
      <c r="H694" t="str">
        <f>TRIM(PROPER(TTrainingSource[[#This Row],[Training_Title2]]))</f>
        <v>Introduction To Python For Data</v>
      </c>
      <c r="I694" t="s">
        <v>62</v>
      </c>
      <c r="J694" s="1">
        <v>44967</v>
      </c>
      <c r="K694" t="s">
        <v>42</v>
      </c>
      <c r="L694" s="7">
        <v>24</v>
      </c>
      <c r="M694">
        <f>ROUND(TTrainingSource[[#This Row],[Satisfaction_Score2]],0)</f>
        <v>3</v>
      </c>
      <c r="N694">
        <v>2.7</v>
      </c>
    </row>
    <row r="695" spans="1:14" x14ac:dyDescent="0.3">
      <c r="A695" t="s">
        <v>652</v>
      </c>
      <c r="B695" t="str">
        <f>TRIM(TTrainingSource[[#This Row],[EMPloyee_ID2]])</f>
        <v>EMP10339</v>
      </c>
      <c r="C695" t="str">
        <f>IFERROR(VLOOKUP(TTrainingSource[[#This Row],[Employee_ID]],THrList[],3,FALSE),"")</f>
        <v>ABDULLAH</v>
      </c>
      <c r="D695" t="str">
        <f>IFERROR(VLOOKUP(TTrainingSource[[#This Row],[Employee_ID]],THrList[],4,FALSE),"")</f>
        <v>Binta</v>
      </c>
      <c r="E695" t="str">
        <f>IFERROR(VLOOKUP(TTrainingSource[[#This Row],[Employee_ID]],THrList[],10,FALSE),"")</f>
        <v>Operations</v>
      </c>
      <c r="F695" t="str">
        <f>TRIM(PROPER(TTrainingSource[[#This Row],[Training_Status2]]))</f>
        <v>Planned</v>
      </c>
      <c r="G695" t="s">
        <v>19</v>
      </c>
      <c r="H695" t="str">
        <f>TRIM(PROPER(TTrainingSource[[#This Row],[Training_Title2]]))</f>
        <v>Power Bi Reporting</v>
      </c>
      <c r="I695" t="s">
        <v>24</v>
      </c>
      <c r="J695" s="1">
        <v>45694</v>
      </c>
      <c r="K695" t="s">
        <v>1072</v>
      </c>
      <c r="L695" s="7">
        <v>32</v>
      </c>
      <c r="M695">
        <f>ROUND(TTrainingSource[[#This Row],[Satisfaction_Score2]],0)</f>
        <v>5</v>
      </c>
      <c r="N695">
        <v>4.9000000000000004</v>
      </c>
    </row>
    <row r="696" spans="1:14" x14ac:dyDescent="0.3">
      <c r="A696" t="s">
        <v>437</v>
      </c>
      <c r="B696" t="str">
        <f>TRIM(TTrainingSource[[#This Row],[EMPloyee_ID2]])</f>
        <v>EMP10340</v>
      </c>
      <c r="C696" t="str">
        <f>IFERROR(VLOOKUP(TTrainingSource[[#This Row],[Employee_ID]],THrList[],3,FALSE),"")</f>
        <v>GONZALEZ</v>
      </c>
      <c r="D696" t="str">
        <f>IFERROR(VLOOKUP(TTrainingSource[[#This Row],[Employee_ID]],THrList[],4,FALSE),"")</f>
        <v>Julien</v>
      </c>
      <c r="E696" t="str">
        <f>IFERROR(VLOOKUP(TTrainingSource[[#This Row],[Employee_ID]],THrList[],10,FALSE),"")</f>
        <v>Marketing</v>
      </c>
      <c r="F696" t="str">
        <f>TRIM(PROPER(TTrainingSource[[#This Row],[Training_Status2]]))</f>
        <v>In Progress</v>
      </c>
      <c r="G696" t="s">
        <v>67</v>
      </c>
      <c r="H696" t="str">
        <f>TRIM(PROPER(TTrainingSource[[#This Row],[Training_Title2]]))</f>
        <v>Advanced Excel For Business</v>
      </c>
      <c r="I696" t="s">
        <v>52</v>
      </c>
      <c r="J696" s="1">
        <v>45467</v>
      </c>
      <c r="K696" t="s">
        <v>42</v>
      </c>
      <c r="L696" s="7">
        <v>32</v>
      </c>
      <c r="M696">
        <f>ROUND(TTrainingSource[[#This Row],[Satisfaction_Score2]],0)</f>
        <v>3</v>
      </c>
      <c r="N696">
        <v>3.2</v>
      </c>
    </row>
    <row r="697" spans="1:14" x14ac:dyDescent="0.3">
      <c r="A697" t="s">
        <v>437</v>
      </c>
      <c r="B697" t="str">
        <f>TRIM(TTrainingSource[[#This Row],[EMPloyee_ID2]])</f>
        <v>EMP10340</v>
      </c>
      <c r="C697" t="str">
        <f>IFERROR(VLOOKUP(TTrainingSource[[#This Row],[Employee_ID]],THrList[],3,FALSE),"")</f>
        <v>GONZALEZ</v>
      </c>
      <c r="D697" t="str">
        <f>IFERROR(VLOOKUP(TTrainingSource[[#This Row],[Employee_ID]],THrList[],4,FALSE),"")</f>
        <v>Julien</v>
      </c>
      <c r="E697" t="str">
        <f>IFERROR(VLOOKUP(TTrainingSource[[#This Row],[Employee_ID]],THrList[],10,FALSE),"")</f>
        <v>Marketing</v>
      </c>
      <c r="F697" t="str">
        <f>TRIM(PROPER(TTrainingSource[[#This Row],[Training_Status2]]))</f>
        <v>Completed</v>
      </c>
      <c r="G697" t="s">
        <v>17</v>
      </c>
      <c r="H697" t="str">
        <f>TRIM(PROPER(TTrainingSource[[#This Row],[Training_Title2]]))</f>
        <v>Business Intelligence With Tableau</v>
      </c>
      <c r="I697" t="s">
        <v>433</v>
      </c>
      <c r="J697" s="1">
        <v>45891</v>
      </c>
      <c r="K697" t="s">
        <v>29</v>
      </c>
      <c r="L697" s="7">
        <v>6</v>
      </c>
      <c r="M697">
        <f>ROUND(TTrainingSource[[#This Row],[Satisfaction_Score2]],0)</f>
        <v>4</v>
      </c>
      <c r="N697">
        <v>4.2</v>
      </c>
    </row>
    <row r="698" spans="1:14" x14ac:dyDescent="0.3">
      <c r="A698" t="s">
        <v>725</v>
      </c>
      <c r="B698" t="str">
        <f>TRIM(TTrainingSource[[#This Row],[EMPloyee_ID2]])</f>
        <v>EMP10340</v>
      </c>
      <c r="C698" t="str">
        <f>IFERROR(VLOOKUP(TTrainingSource[[#This Row],[Employee_ID]],THrList[],3,FALSE),"")</f>
        <v>GONZALEZ</v>
      </c>
      <c r="D698" t="str">
        <f>IFERROR(VLOOKUP(TTrainingSource[[#This Row],[Employee_ID]],THrList[],4,FALSE),"")</f>
        <v>Julien</v>
      </c>
      <c r="E698" t="str">
        <f>IFERROR(VLOOKUP(TTrainingSource[[#This Row],[Employee_ID]],THrList[],10,FALSE),"")</f>
        <v>Marketing</v>
      </c>
      <c r="F698" t="str">
        <f>TRIM(PROPER(TTrainingSource[[#This Row],[Training_Status2]]))</f>
        <v>Completed</v>
      </c>
      <c r="G698" t="s">
        <v>17</v>
      </c>
      <c r="H698" t="str">
        <f>TRIM(PROPER(TTrainingSource[[#This Row],[Training_Title2]]))</f>
        <v>Financial Modeling Basics</v>
      </c>
      <c r="I698" t="s">
        <v>38</v>
      </c>
      <c r="J698" s="1">
        <v>44983</v>
      </c>
      <c r="K698" t="s">
        <v>1072</v>
      </c>
      <c r="L698" s="7">
        <v>20</v>
      </c>
      <c r="M698">
        <f>ROUND(TTrainingSource[[#This Row],[Satisfaction_Score2]],0)</f>
        <v>3</v>
      </c>
      <c r="N698">
        <v>2.6</v>
      </c>
    </row>
    <row r="699" spans="1:14" x14ac:dyDescent="0.3">
      <c r="A699" t="s">
        <v>725</v>
      </c>
      <c r="B699" t="str">
        <f>TRIM(TTrainingSource[[#This Row],[EMPloyee_ID2]])</f>
        <v>EMP10340</v>
      </c>
      <c r="C699" t="str">
        <f>IFERROR(VLOOKUP(TTrainingSource[[#This Row],[Employee_ID]],THrList[],3,FALSE),"")</f>
        <v>GONZALEZ</v>
      </c>
      <c r="D699" t="str">
        <f>IFERROR(VLOOKUP(TTrainingSource[[#This Row],[Employee_ID]],THrList[],4,FALSE),"")</f>
        <v>Julien</v>
      </c>
      <c r="E699" t="str">
        <f>IFERROR(VLOOKUP(TTrainingSource[[#This Row],[Employee_ID]],THrList[],10,FALSE),"")</f>
        <v>Marketing</v>
      </c>
      <c r="F699" t="str">
        <f>TRIM(PROPER(TTrainingSource[[#This Row],[Training_Status2]]))</f>
        <v>Completed</v>
      </c>
      <c r="G699" t="s">
        <v>17</v>
      </c>
      <c r="H699" t="str">
        <f>TRIM(PROPER(TTrainingSource[[#This Row],[Training_Title2]]))</f>
        <v>Communication For Analysts</v>
      </c>
      <c r="I699" t="s">
        <v>297</v>
      </c>
      <c r="J699" s="1">
        <v>45862</v>
      </c>
      <c r="K699" t="s">
        <v>46</v>
      </c>
      <c r="L699" s="7">
        <v>12</v>
      </c>
      <c r="M699">
        <f>ROUND(TTrainingSource[[#This Row],[Satisfaction_Score2]],0)</f>
        <v>3</v>
      </c>
      <c r="N699">
        <v>3.4</v>
      </c>
    </row>
    <row r="700" spans="1:14" x14ac:dyDescent="0.3">
      <c r="A700" t="s">
        <v>437</v>
      </c>
      <c r="B700" t="str">
        <f>TRIM(TTrainingSource[[#This Row],[EMPloyee_ID2]])</f>
        <v>EMP10340</v>
      </c>
      <c r="C700" t="str">
        <f>IFERROR(VLOOKUP(TTrainingSource[[#This Row],[Employee_ID]],THrList[],3,FALSE),"")</f>
        <v>GONZALEZ</v>
      </c>
      <c r="D700" t="str">
        <f>IFERROR(VLOOKUP(TTrainingSource[[#This Row],[Employee_ID]],THrList[],4,FALSE),"")</f>
        <v>Julien</v>
      </c>
      <c r="E700" t="str">
        <f>IFERROR(VLOOKUP(TTrainingSource[[#This Row],[Employee_ID]],THrList[],10,FALSE),"")</f>
        <v>Marketing</v>
      </c>
      <c r="F700" t="str">
        <f>TRIM(PROPER(TTrainingSource[[#This Row],[Training_Status2]]))</f>
        <v>In Progress</v>
      </c>
      <c r="G700" t="s">
        <v>8</v>
      </c>
      <c r="H700" t="str">
        <f>TRIM(PROPER(TTrainingSource[[#This Row],[Training_Title2]]))</f>
        <v>Financial Modeling Basics</v>
      </c>
      <c r="I700" t="s">
        <v>38</v>
      </c>
      <c r="J700" s="1">
        <v>45686</v>
      </c>
      <c r="K700" t="s">
        <v>32</v>
      </c>
      <c r="L700" s="7">
        <v>32</v>
      </c>
      <c r="M700">
        <f>ROUND(TTrainingSource[[#This Row],[Satisfaction_Score2]],0)</f>
        <v>4</v>
      </c>
      <c r="N700">
        <v>4</v>
      </c>
    </row>
    <row r="701" spans="1:14" x14ac:dyDescent="0.3">
      <c r="A701" t="s">
        <v>648</v>
      </c>
      <c r="B701" t="str">
        <f>TRIM(TTrainingSource[[#This Row],[EMPloyee_ID2]])</f>
        <v>EMP10341</v>
      </c>
      <c r="C701" t="str">
        <f>IFERROR(VLOOKUP(TTrainingSource[[#This Row],[Employee_ID]],THrList[],3,FALSE),"")</f>
        <v>SMITH</v>
      </c>
      <c r="D701" t="str">
        <f>IFERROR(VLOOKUP(TTrainingSource[[#This Row],[Employee_ID]],THrList[],4,FALSE),"")</f>
        <v>Fatima</v>
      </c>
      <c r="E701" t="str">
        <f>IFERROR(VLOOKUP(TTrainingSource[[#This Row],[Employee_ID]],THrList[],10,FALSE),"")</f>
        <v>Finance</v>
      </c>
      <c r="F701" t="str">
        <f>TRIM(PROPER(TTrainingSource[[#This Row],[Training_Status2]]))</f>
        <v>Completed</v>
      </c>
      <c r="G701" t="s">
        <v>17</v>
      </c>
      <c r="H701" t="str">
        <f>TRIM(PROPER(TTrainingSource[[#This Row],[Training_Title2]]))</f>
        <v>Business Intelligence With Tableau</v>
      </c>
      <c r="I701" t="s">
        <v>517</v>
      </c>
      <c r="J701" s="1">
        <v>45530</v>
      </c>
      <c r="K701" t="s">
        <v>29</v>
      </c>
      <c r="L701" s="7">
        <v>20</v>
      </c>
      <c r="M701">
        <f>ROUND(TTrainingSource[[#This Row],[Satisfaction_Score2]],0)</f>
        <v>4</v>
      </c>
      <c r="N701">
        <v>3.7</v>
      </c>
    </row>
    <row r="702" spans="1:14" x14ac:dyDescent="0.3">
      <c r="A702" t="s">
        <v>648</v>
      </c>
      <c r="B702" t="str">
        <f>TRIM(TTrainingSource[[#This Row],[EMPloyee_ID2]])</f>
        <v>EMP10341</v>
      </c>
      <c r="C702" t="str">
        <f>IFERROR(VLOOKUP(TTrainingSource[[#This Row],[Employee_ID]],THrList[],3,FALSE),"")</f>
        <v>SMITH</v>
      </c>
      <c r="D702" t="str">
        <f>IFERROR(VLOOKUP(TTrainingSource[[#This Row],[Employee_ID]],THrList[],4,FALSE),"")</f>
        <v>Fatima</v>
      </c>
      <c r="E702" t="str">
        <f>IFERROR(VLOOKUP(TTrainingSource[[#This Row],[Employee_ID]],THrList[],10,FALSE),"")</f>
        <v>Finance</v>
      </c>
      <c r="F702" t="str">
        <f>TRIM(PROPER(TTrainingSource[[#This Row],[Training_Status2]]))</f>
        <v>Completed</v>
      </c>
      <c r="G702" t="s">
        <v>35</v>
      </c>
      <c r="H702" t="str">
        <f>TRIM(PROPER(TTrainingSource[[#This Row],[Training_Title2]]))</f>
        <v>Financial Modeling Basics</v>
      </c>
      <c r="I702" t="s">
        <v>38</v>
      </c>
      <c r="J702" s="1">
        <v>45871</v>
      </c>
      <c r="K702" t="s">
        <v>32</v>
      </c>
      <c r="L702" s="7">
        <v>24</v>
      </c>
      <c r="M702">
        <f>ROUND(TTrainingSource[[#This Row],[Satisfaction_Score2]],0)</f>
        <v>3</v>
      </c>
      <c r="N702">
        <v>2.9</v>
      </c>
    </row>
    <row r="703" spans="1:14" x14ac:dyDescent="0.3">
      <c r="A703" t="s">
        <v>648</v>
      </c>
      <c r="B703" t="str">
        <f>TRIM(TTrainingSource[[#This Row],[EMPloyee_ID2]])</f>
        <v>EMP10341</v>
      </c>
      <c r="C703" t="str">
        <f>IFERROR(VLOOKUP(TTrainingSource[[#This Row],[Employee_ID]],THrList[],3,FALSE),"")</f>
        <v>SMITH</v>
      </c>
      <c r="D703" t="str">
        <f>IFERROR(VLOOKUP(TTrainingSource[[#This Row],[Employee_ID]],THrList[],4,FALSE),"")</f>
        <v>Fatima</v>
      </c>
      <c r="E703" t="str">
        <f>IFERROR(VLOOKUP(TTrainingSource[[#This Row],[Employee_ID]],THrList[],10,FALSE),"")</f>
        <v>Finance</v>
      </c>
      <c r="F703" t="str">
        <f>TRIM(PROPER(TTrainingSource[[#This Row],[Training_Status2]]))</f>
        <v>Completed</v>
      </c>
      <c r="G703" t="s">
        <v>17</v>
      </c>
      <c r="H703" t="str">
        <f>TRIM(PROPER(TTrainingSource[[#This Row],[Training_Title2]]))</f>
        <v>Business Intelligence With Tableau</v>
      </c>
      <c r="I703" t="s">
        <v>22</v>
      </c>
      <c r="J703" s="1">
        <v>44912</v>
      </c>
      <c r="K703" t="s">
        <v>15</v>
      </c>
      <c r="L703" s="7">
        <v>16</v>
      </c>
      <c r="M703">
        <f>ROUND(TTrainingSource[[#This Row],[Satisfaction_Score2]],0)</f>
        <v>4</v>
      </c>
      <c r="N703">
        <v>3.5</v>
      </c>
    </row>
    <row r="704" spans="1:14" x14ac:dyDescent="0.3">
      <c r="A704" t="s">
        <v>648</v>
      </c>
      <c r="B704" t="str">
        <f>TRIM(TTrainingSource[[#This Row],[EMPloyee_ID2]])</f>
        <v>EMP10341</v>
      </c>
      <c r="C704" t="str">
        <f>IFERROR(VLOOKUP(TTrainingSource[[#This Row],[Employee_ID]],THrList[],3,FALSE),"")</f>
        <v>SMITH</v>
      </c>
      <c r="D704" t="str">
        <f>IFERROR(VLOOKUP(TTrainingSource[[#This Row],[Employee_ID]],THrList[],4,FALSE),"")</f>
        <v>Fatima</v>
      </c>
      <c r="E704" t="str">
        <f>IFERROR(VLOOKUP(TTrainingSource[[#This Row],[Employee_ID]],THrList[],10,FALSE),"")</f>
        <v>Finance</v>
      </c>
      <c r="F704" t="str">
        <f>TRIM(PROPER(TTrainingSource[[#This Row],[Training_Status2]]))</f>
        <v>Planned</v>
      </c>
      <c r="G704" t="s">
        <v>19</v>
      </c>
      <c r="H704" t="str">
        <f>TRIM(PROPER(TTrainingSource[[#This Row],[Training_Title2]]))</f>
        <v>Data Analysis Fundamentals</v>
      </c>
      <c r="I704" t="s">
        <v>9</v>
      </c>
      <c r="J704" s="1">
        <v>44678</v>
      </c>
      <c r="K704" t="s">
        <v>39</v>
      </c>
      <c r="L704" s="7">
        <v>6</v>
      </c>
      <c r="M704">
        <f>ROUND(TTrainingSource[[#This Row],[Satisfaction_Score2]],0)</f>
        <v>5</v>
      </c>
      <c r="N704">
        <v>4.7</v>
      </c>
    </row>
    <row r="705" spans="1:14" x14ac:dyDescent="0.3">
      <c r="A705" t="s">
        <v>756</v>
      </c>
      <c r="B705" t="str">
        <f>TRIM(TTrainingSource[[#This Row],[EMPloyee_ID2]])</f>
        <v>EMP10342</v>
      </c>
      <c r="C705" t="str">
        <f>IFERROR(VLOOKUP(TTrainingSource[[#This Row],[Employee_ID]],THrList[],3,FALSE),"")</f>
        <v>DAVIS</v>
      </c>
      <c r="D705" t="str">
        <f>IFERROR(VLOOKUP(TTrainingSource[[#This Row],[Employee_ID]],THrList[],4,FALSE),"")</f>
        <v>Camille</v>
      </c>
      <c r="E705" t="str">
        <f>IFERROR(VLOOKUP(TTrainingSource[[#This Row],[Employee_ID]],THrList[],10,FALSE),"")</f>
        <v>Customer Support</v>
      </c>
      <c r="F705" t="str">
        <f>TRIM(PROPER(TTrainingSource[[#This Row],[Training_Status2]]))</f>
        <v>Completed</v>
      </c>
      <c r="G705" t="s">
        <v>17</v>
      </c>
      <c r="H705" t="str">
        <f>TRIM(PROPER(TTrainingSource[[#This Row],[Training_Title2]]))</f>
        <v>Customer Data Analysis</v>
      </c>
      <c r="I705" t="s">
        <v>31</v>
      </c>
      <c r="J705" s="1">
        <v>44639</v>
      </c>
      <c r="K705" t="s">
        <v>1072</v>
      </c>
      <c r="L705" s="7">
        <v>4</v>
      </c>
      <c r="M705">
        <f>ROUND(TTrainingSource[[#This Row],[Satisfaction_Score2]],0)</f>
        <v>3</v>
      </c>
      <c r="N705">
        <v>2.7</v>
      </c>
    </row>
    <row r="706" spans="1:14" x14ac:dyDescent="0.3">
      <c r="A706" t="s">
        <v>342</v>
      </c>
      <c r="B706" t="str">
        <f>TRIM(TTrainingSource[[#This Row],[EMPloyee_ID2]])</f>
        <v>EMP10344</v>
      </c>
      <c r="C706" t="str">
        <f>IFERROR(VLOOKUP(TTrainingSource[[#This Row],[Employee_ID]],THrList[],3,FALSE),"")</f>
        <v>GONZALEZ</v>
      </c>
      <c r="D706" t="str">
        <f>IFERROR(VLOOKUP(TTrainingSource[[#This Row],[Employee_ID]],THrList[],4,FALSE),"")</f>
        <v>Khalid</v>
      </c>
      <c r="E706" t="str">
        <f>IFERROR(VLOOKUP(TTrainingSource[[#This Row],[Employee_ID]],THrList[],10,FALSE),"")</f>
        <v>Compliance</v>
      </c>
      <c r="F706" t="str">
        <f>TRIM(PROPER(TTrainingSource[[#This Row],[Training_Status2]]))</f>
        <v>Planned</v>
      </c>
      <c r="G706" t="s">
        <v>19</v>
      </c>
      <c r="H706" t="str">
        <f>TRIM(PROPER(TTrainingSource[[#This Row],[Training_Title2]]))</f>
        <v>Advanced Excel For Business</v>
      </c>
      <c r="I706" t="s">
        <v>52</v>
      </c>
      <c r="J706" s="1">
        <v>44746</v>
      </c>
      <c r="K706" t="s">
        <v>42</v>
      </c>
      <c r="L706" s="7">
        <v>20</v>
      </c>
      <c r="M706">
        <f>ROUND(TTrainingSource[[#This Row],[Satisfaction_Score2]],0)</f>
        <v>3</v>
      </c>
      <c r="N706">
        <v>2.7</v>
      </c>
    </row>
    <row r="707" spans="1:14" x14ac:dyDescent="0.3">
      <c r="A707" t="s">
        <v>342</v>
      </c>
      <c r="B707" t="str">
        <f>TRIM(TTrainingSource[[#This Row],[EMPloyee_ID2]])</f>
        <v>EMP10344</v>
      </c>
      <c r="C707" t="str">
        <f>IFERROR(VLOOKUP(TTrainingSource[[#This Row],[Employee_ID]],THrList[],3,FALSE),"")</f>
        <v>GONZALEZ</v>
      </c>
      <c r="D707" t="str">
        <f>IFERROR(VLOOKUP(TTrainingSource[[#This Row],[Employee_ID]],THrList[],4,FALSE),"")</f>
        <v>Khalid</v>
      </c>
      <c r="E707" t="str">
        <f>IFERROR(VLOOKUP(TTrainingSource[[#This Row],[Employee_ID]],THrList[],10,FALSE),"")</f>
        <v>Compliance</v>
      </c>
      <c r="F707" t="str">
        <f>TRIM(PROPER(TTrainingSource[[#This Row],[Training_Status2]]))</f>
        <v>Completed</v>
      </c>
      <c r="G707" t="s">
        <v>17</v>
      </c>
      <c r="H707" t="str">
        <f>TRIM(PROPER(TTrainingSource[[#This Row],[Training_Title2]]))</f>
        <v>Customer Data Analysis</v>
      </c>
      <c r="I707" t="s">
        <v>31</v>
      </c>
      <c r="J707" s="1">
        <v>45238</v>
      </c>
      <c r="K707" t="s">
        <v>44</v>
      </c>
      <c r="L707" s="7">
        <v>12</v>
      </c>
      <c r="M707">
        <f>ROUND(TTrainingSource[[#This Row],[Satisfaction_Score2]],0)</f>
        <v>5</v>
      </c>
      <c r="N707">
        <v>4.5</v>
      </c>
    </row>
    <row r="708" spans="1:14" x14ac:dyDescent="0.3">
      <c r="A708" t="s">
        <v>342</v>
      </c>
      <c r="B708" t="str">
        <f>TRIM(TTrainingSource[[#This Row],[EMPloyee_ID2]])</f>
        <v>EMP10344</v>
      </c>
      <c r="C708" t="str">
        <f>IFERROR(VLOOKUP(TTrainingSource[[#This Row],[Employee_ID]],THrList[],3,FALSE),"")</f>
        <v>GONZALEZ</v>
      </c>
      <c r="D708" t="str">
        <f>IFERROR(VLOOKUP(TTrainingSource[[#This Row],[Employee_ID]],THrList[],4,FALSE),"")</f>
        <v>Khalid</v>
      </c>
      <c r="E708" t="str">
        <f>IFERROR(VLOOKUP(TTrainingSource[[#This Row],[Employee_ID]],THrList[],10,FALSE),"")</f>
        <v>Compliance</v>
      </c>
      <c r="F708" t="str">
        <f>TRIM(PROPER(TTrainingSource[[#This Row],[Training_Status2]]))</f>
        <v>Completed</v>
      </c>
      <c r="G708" t="s">
        <v>17</v>
      </c>
      <c r="H708" t="str">
        <f>TRIM(PROPER(TTrainingSource[[#This Row],[Training_Title2]]))</f>
        <v>Sql For Data Analytics</v>
      </c>
      <c r="I708" t="s">
        <v>26</v>
      </c>
      <c r="J708" s="1">
        <v>44610</v>
      </c>
      <c r="K708" t="s">
        <v>42</v>
      </c>
      <c r="L708" s="7">
        <v>6</v>
      </c>
      <c r="M708">
        <f>ROUND(TTrainingSource[[#This Row],[Satisfaction_Score2]],0)</f>
        <v>5</v>
      </c>
      <c r="N708">
        <v>4.8</v>
      </c>
    </row>
    <row r="709" spans="1:14" x14ac:dyDescent="0.3">
      <c r="A709" t="s">
        <v>202</v>
      </c>
      <c r="B709" t="str">
        <f>TRIM(TTrainingSource[[#This Row],[EMPloyee_ID2]])</f>
        <v>EMP10345</v>
      </c>
      <c r="C709" t="str">
        <f>IFERROR(VLOOKUP(TTrainingSource[[#This Row],[Employee_ID]],THrList[],3,FALSE),"")</f>
        <v>HASSAN</v>
      </c>
      <c r="D709" t="str">
        <f>IFERROR(VLOOKUP(TTrainingSource[[#This Row],[Employee_ID]],THrList[],4,FALSE),"")</f>
        <v>Hugo</v>
      </c>
      <c r="E709" t="str">
        <f>IFERROR(VLOOKUP(TTrainingSource[[#This Row],[Employee_ID]],THrList[],10,FALSE),"")</f>
        <v>Procurement</v>
      </c>
      <c r="F709" t="str">
        <f>TRIM(PROPER(TTrainingSource[[#This Row],[Training_Status2]]))</f>
        <v>Completed</v>
      </c>
      <c r="G709" t="s">
        <v>17</v>
      </c>
      <c r="H709" t="str">
        <f>TRIM(PROPER(TTrainingSource[[#This Row],[Training_Title2]]))</f>
        <v>Communication For Analysts</v>
      </c>
      <c r="I709" t="s">
        <v>28</v>
      </c>
      <c r="J709" s="1">
        <v>45774</v>
      </c>
      <c r="K709" t="s">
        <v>39</v>
      </c>
      <c r="L709" s="7">
        <v>4</v>
      </c>
      <c r="M709">
        <f>ROUND(TTrainingSource[[#This Row],[Satisfaction_Score2]],0)</f>
        <v>5</v>
      </c>
      <c r="N709">
        <v>4.5999999999999996</v>
      </c>
    </row>
    <row r="710" spans="1:14" x14ac:dyDescent="0.3">
      <c r="A710" t="s">
        <v>202</v>
      </c>
      <c r="B710" t="str">
        <f>TRIM(TTrainingSource[[#This Row],[EMPloyee_ID2]])</f>
        <v>EMP10345</v>
      </c>
      <c r="C710" t="str">
        <f>IFERROR(VLOOKUP(TTrainingSource[[#This Row],[Employee_ID]],THrList[],3,FALSE),"")</f>
        <v>HASSAN</v>
      </c>
      <c r="D710" t="str">
        <f>IFERROR(VLOOKUP(TTrainingSource[[#This Row],[Employee_ID]],THrList[],4,FALSE),"")</f>
        <v>Hugo</v>
      </c>
      <c r="E710" t="str">
        <f>IFERROR(VLOOKUP(TTrainingSource[[#This Row],[Employee_ID]],THrList[],10,FALSE),"")</f>
        <v>Procurement</v>
      </c>
      <c r="F710" t="str">
        <f>TRIM(PROPER(TTrainingSource[[#This Row],[Training_Status2]]))</f>
        <v>Completed</v>
      </c>
      <c r="G710" t="s">
        <v>17</v>
      </c>
      <c r="H710" t="str">
        <f>TRIM(PROPER(TTrainingSource[[#This Row],[Training_Title2]]))</f>
        <v>Sql For Data Analytics</v>
      </c>
      <c r="I710" t="s">
        <v>272</v>
      </c>
      <c r="J710" s="1">
        <v>45208</v>
      </c>
      <c r="K710" t="s">
        <v>42</v>
      </c>
      <c r="L710" s="7">
        <v>8</v>
      </c>
      <c r="M710">
        <f>ROUND(TTrainingSource[[#This Row],[Satisfaction_Score2]],0)</f>
        <v>5</v>
      </c>
      <c r="N710">
        <v>4.9000000000000004</v>
      </c>
    </row>
    <row r="711" spans="1:14" x14ac:dyDescent="0.3">
      <c r="A711" t="s">
        <v>202</v>
      </c>
      <c r="B711" t="str">
        <f>TRIM(TTrainingSource[[#This Row],[EMPloyee_ID2]])</f>
        <v>EMP10345</v>
      </c>
      <c r="C711" t="str">
        <f>IFERROR(VLOOKUP(TTrainingSource[[#This Row],[Employee_ID]],THrList[],3,FALSE),"")</f>
        <v>HASSAN</v>
      </c>
      <c r="D711" t="str">
        <f>IFERROR(VLOOKUP(TTrainingSource[[#This Row],[Employee_ID]],THrList[],4,FALSE),"")</f>
        <v>Hugo</v>
      </c>
      <c r="E711" t="str">
        <f>IFERROR(VLOOKUP(TTrainingSource[[#This Row],[Employee_ID]],THrList[],10,FALSE),"")</f>
        <v>Procurement</v>
      </c>
      <c r="F711" t="str">
        <f>TRIM(PROPER(TTrainingSource[[#This Row],[Training_Status2]]))</f>
        <v>Completed</v>
      </c>
      <c r="G711" t="s">
        <v>69</v>
      </c>
      <c r="H711" t="str">
        <f>TRIM(PROPER(TTrainingSource[[#This Row],[Training_Title2]]))</f>
        <v>Data Visualization Best Practices</v>
      </c>
      <c r="I711" t="s">
        <v>20</v>
      </c>
      <c r="J711" s="1">
        <v>45486</v>
      </c>
      <c r="K711" t="s">
        <v>46</v>
      </c>
      <c r="L711" s="7">
        <v>0</v>
      </c>
      <c r="M711">
        <f>ROUND(TTrainingSource[[#This Row],[Satisfaction_Score2]],0)</f>
        <v>3</v>
      </c>
      <c r="N711">
        <v>3</v>
      </c>
    </row>
    <row r="712" spans="1:14" x14ac:dyDescent="0.3">
      <c r="A712" t="s">
        <v>202</v>
      </c>
      <c r="B712" t="str">
        <f>TRIM(TTrainingSource[[#This Row],[EMPloyee_ID2]])</f>
        <v>EMP10345</v>
      </c>
      <c r="C712" t="str">
        <f>IFERROR(VLOOKUP(TTrainingSource[[#This Row],[Employee_ID]],THrList[],3,FALSE),"")</f>
        <v>HASSAN</v>
      </c>
      <c r="D712" t="str">
        <f>IFERROR(VLOOKUP(TTrainingSource[[#This Row],[Employee_ID]],THrList[],4,FALSE),"")</f>
        <v>Hugo</v>
      </c>
      <c r="E712" t="str">
        <f>IFERROR(VLOOKUP(TTrainingSource[[#This Row],[Employee_ID]],THrList[],10,FALSE),"")</f>
        <v>Procurement</v>
      </c>
      <c r="F712" t="str">
        <f>TRIM(PROPER(TTrainingSource[[#This Row],[Training_Status2]]))</f>
        <v>In Progress</v>
      </c>
      <c r="G712" t="s">
        <v>8</v>
      </c>
      <c r="H712" t="str">
        <f>TRIM(PROPER(TTrainingSource[[#This Row],[Training_Title2]]))</f>
        <v>Power Bi Reporting</v>
      </c>
      <c r="I712" t="s">
        <v>142</v>
      </c>
      <c r="J712" s="1">
        <v>45371</v>
      </c>
      <c r="K712" t="s">
        <v>42</v>
      </c>
      <c r="L712" s="7">
        <v>32</v>
      </c>
      <c r="M712">
        <f>ROUND(TTrainingSource[[#This Row],[Satisfaction_Score2]],0)</f>
        <v>4</v>
      </c>
      <c r="N712">
        <v>4.0999999999999996</v>
      </c>
    </row>
    <row r="713" spans="1:14" x14ac:dyDescent="0.3">
      <c r="A713" t="s">
        <v>731</v>
      </c>
      <c r="B713" t="str">
        <f>TRIM(TTrainingSource[[#This Row],[EMPloyee_ID2]])</f>
        <v>EMP10346</v>
      </c>
      <c r="C713" t="str">
        <f>IFERROR(VLOOKUP(TTrainingSource[[#This Row],[Employee_ID]],THrList[],3,FALSE),"")</f>
        <v>RODRIGUEZ</v>
      </c>
      <c r="D713" t="str">
        <f>IFERROR(VLOOKUP(TTrainingSource[[#This Row],[Employee_ID]],THrList[],4,FALSE),"")</f>
        <v>Sophia</v>
      </c>
      <c r="E713" t="str">
        <f>IFERROR(VLOOKUP(TTrainingSource[[#This Row],[Employee_ID]],THrList[],10,FALSE),"")</f>
        <v>Marketing</v>
      </c>
      <c r="F713" t="str">
        <f>TRIM(PROPER(TTrainingSource[[#This Row],[Training_Status2]]))</f>
        <v>Completed</v>
      </c>
      <c r="G713" t="s">
        <v>17</v>
      </c>
      <c r="H713" t="str">
        <f>TRIM(PROPER(TTrainingSource[[#This Row],[Training_Title2]]))</f>
        <v>Introduction To Python For Data</v>
      </c>
      <c r="I713" t="s">
        <v>62</v>
      </c>
      <c r="J713" s="1">
        <v>44683</v>
      </c>
      <c r="K713" t="s">
        <v>29</v>
      </c>
      <c r="L713" s="7">
        <v>32</v>
      </c>
      <c r="M713">
        <f>ROUND(TTrainingSource[[#This Row],[Satisfaction_Score2]],0)</f>
        <v>4</v>
      </c>
      <c r="N713">
        <v>3.7</v>
      </c>
    </row>
    <row r="714" spans="1:14" x14ac:dyDescent="0.3">
      <c r="A714" t="s">
        <v>731</v>
      </c>
      <c r="B714" t="str">
        <f>TRIM(TTrainingSource[[#This Row],[EMPloyee_ID2]])</f>
        <v>EMP10346</v>
      </c>
      <c r="C714" t="str">
        <f>IFERROR(VLOOKUP(TTrainingSource[[#This Row],[Employee_ID]],THrList[],3,FALSE),"")</f>
        <v>RODRIGUEZ</v>
      </c>
      <c r="D714" t="str">
        <f>IFERROR(VLOOKUP(TTrainingSource[[#This Row],[Employee_ID]],THrList[],4,FALSE),"")</f>
        <v>Sophia</v>
      </c>
      <c r="E714" t="str">
        <f>IFERROR(VLOOKUP(TTrainingSource[[#This Row],[Employee_ID]],THrList[],10,FALSE),"")</f>
        <v>Marketing</v>
      </c>
      <c r="F714" t="str">
        <f>TRIM(PROPER(TTrainingSource[[#This Row],[Training_Status2]]))</f>
        <v>Completed</v>
      </c>
      <c r="G714" t="s">
        <v>69</v>
      </c>
      <c r="H714" t="str">
        <f>TRIM(PROPER(TTrainingSource[[#This Row],[Training_Title2]]))</f>
        <v>Power Bi Reporting</v>
      </c>
      <c r="I714" t="s">
        <v>24</v>
      </c>
      <c r="J714" s="1">
        <v>45021</v>
      </c>
      <c r="K714" t="s">
        <v>46</v>
      </c>
      <c r="L714" s="7">
        <v>24</v>
      </c>
      <c r="M714">
        <f>ROUND(TTrainingSource[[#This Row],[Satisfaction_Score2]],0)</f>
        <v>4</v>
      </c>
      <c r="N714">
        <v>3.9</v>
      </c>
    </row>
    <row r="715" spans="1:14" x14ac:dyDescent="0.3">
      <c r="A715" t="s">
        <v>654</v>
      </c>
      <c r="B715" t="str">
        <f>TRIM(TTrainingSource[[#This Row],[EMPloyee_ID2]])</f>
        <v>EMP10348</v>
      </c>
      <c r="C715" t="str">
        <f>IFERROR(VLOOKUP(TTrainingSource[[#This Row],[Employee_ID]],THrList[],3,FALSE),"")</f>
        <v>NGUYEN</v>
      </c>
      <c r="D715" t="str">
        <f>IFERROR(VLOOKUP(TTrainingSource[[#This Row],[Employee_ID]],THrList[],4,FALSE),"")</f>
        <v>Ava</v>
      </c>
      <c r="E715" t="str">
        <f>IFERROR(VLOOKUP(TTrainingSource[[#This Row],[Employee_ID]],THrList[],10,FALSE),"")</f>
        <v>Operations</v>
      </c>
      <c r="F715" t="str">
        <f>TRIM(PROPER(TTrainingSource[[#This Row],[Training_Status2]]))</f>
        <v>Planned</v>
      </c>
      <c r="G715" t="s">
        <v>19</v>
      </c>
      <c r="H715" t="str">
        <f>TRIM(PROPER(TTrainingSource[[#This Row],[Training_Title2]]))</f>
        <v>Digital Marketing Strategy</v>
      </c>
      <c r="I715" t="s">
        <v>43</v>
      </c>
      <c r="J715" s="1">
        <v>44614</v>
      </c>
      <c r="K715" t="s">
        <v>46</v>
      </c>
      <c r="L715" s="7">
        <v>8</v>
      </c>
      <c r="M715">
        <f>ROUND(TTrainingSource[[#This Row],[Satisfaction_Score2]],0)</f>
        <v>4</v>
      </c>
      <c r="N715">
        <v>4.2</v>
      </c>
    </row>
    <row r="716" spans="1:14" x14ac:dyDescent="0.3">
      <c r="A716" t="s">
        <v>990</v>
      </c>
      <c r="B716" t="str">
        <f>TRIM(TTrainingSource[[#This Row],[EMPloyee_ID2]])</f>
        <v>EMP10349</v>
      </c>
      <c r="C716" t="str">
        <f>IFERROR(VLOOKUP(TTrainingSource[[#This Row],[Employee_ID]],THrList[],3,FALSE),"")</f>
        <v>SINGH</v>
      </c>
      <c r="D716" t="str">
        <f>IFERROR(VLOOKUP(TTrainingSource[[#This Row],[Employee_ID]],THrList[],4,FALSE),"")</f>
        <v>Claire</v>
      </c>
      <c r="E716" t="str">
        <f>IFERROR(VLOOKUP(TTrainingSource[[#This Row],[Employee_ID]],THrList[],10,FALSE),"")</f>
        <v>Customer Support</v>
      </c>
      <c r="F716" t="str">
        <f>TRIM(PROPER(TTrainingSource[[#This Row],[Training_Status2]]))</f>
        <v>In Progress</v>
      </c>
      <c r="G716" t="s">
        <v>8</v>
      </c>
      <c r="H716" t="str">
        <f>TRIM(PROPER(TTrainingSource[[#This Row],[Training_Title2]]))</f>
        <v>Project Management Essentials</v>
      </c>
      <c r="I716" t="s">
        <v>224</v>
      </c>
      <c r="J716" s="1">
        <v>45286</v>
      </c>
      <c r="K716" t="s">
        <v>29</v>
      </c>
      <c r="L716" s="7">
        <v>40</v>
      </c>
      <c r="M716">
        <f>ROUND(TTrainingSource[[#This Row],[Satisfaction_Score2]],0)</f>
        <v>3</v>
      </c>
      <c r="N716">
        <v>3.3</v>
      </c>
    </row>
    <row r="717" spans="1:14" x14ac:dyDescent="0.3">
      <c r="A717" t="s">
        <v>135</v>
      </c>
      <c r="B717" t="str">
        <f>TRIM(TTrainingSource[[#This Row],[EMPloyee_ID2]])</f>
        <v>EMP10350</v>
      </c>
      <c r="C717" t="str">
        <f>IFERROR(VLOOKUP(TTrainingSource[[#This Row],[Employee_ID]],THrList[],3,FALSE),"")</f>
        <v>MARTINEZ</v>
      </c>
      <c r="D717" t="str">
        <f>IFERROR(VLOOKUP(TTrainingSource[[#This Row],[Employee_ID]],THrList[],4,FALSE),"")</f>
        <v>Zainab</v>
      </c>
      <c r="E717" t="str">
        <f>IFERROR(VLOOKUP(TTrainingSource[[#This Row],[Employee_ID]],THrList[],10,FALSE),"")</f>
        <v>Marketing</v>
      </c>
      <c r="F717" t="str">
        <f>TRIM(PROPER(TTrainingSource[[#This Row],[Training_Status2]]))</f>
        <v>Planned</v>
      </c>
      <c r="G717" t="s">
        <v>10</v>
      </c>
      <c r="H717" t="str">
        <f>TRIM(PROPER(TTrainingSource[[#This Row],[Training_Title2]]))</f>
        <v>Power Bi Reporting</v>
      </c>
      <c r="I717" t="s">
        <v>24</v>
      </c>
      <c r="J717" s="1">
        <v>44689</v>
      </c>
      <c r="K717" t="s">
        <v>29</v>
      </c>
      <c r="L717" s="7">
        <v>16</v>
      </c>
      <c r="M717">
        <f>ROUND(TTrainingSource[[#This Row],[Satisfaction_Score2]],0)</f>
        <v>3</v>
      </c>
      <c r="N717">
        <v>3.4</v>
      </c>
    </row>
    <row r="718" spans="1:14" x14ac:dyDescent="0.3">
      <c r="A718" t="s">
        <v>135</v>
      </c>
      <c r="B718" t="str">
        <f>TRIM(TTrainingSource[[#This Row],[EMPloyee_ID2]])</f>
        <v>EMP10350</v>
      </c>
      <c r="C718" t="str">
        <f>IFERROR(VLOOKUP(TTrainingSource[[#This Row],[Employee_ID]],THrList[],3,FALSE),"")</f>
        <v>MARTINEZ</v>
      </c>
      <c r="D718" t="str">
        <f>IFERROR(VLOOKUP(TTrainingSource[[#This Row],[Employee_ID]],THrList[],4,FALSE),"")</f>
        <v>Zainab</v>
      </c>
      <c r="E718" t="str">
        <f>IFERROR(VLOOKUP(TTrainingSource[[#This Row],[Employee_ID]],THrList[],10,FALSE),"")</f>
        <v>Marketing</v>
      </c>
      <c r="F718" t="str">
        <f>TRIM(PROPER(TTrainingSource[[#This Row],[Training_Status2]]))</f>
        <v>In Progress</v>
      </c>
      <c r="G718" t="s">
        <v>8</v>
      </c>
      <c r="H718" t="str">
        <f>TRIM(PROPER(TTrainingSource[[#This Row],[Training_Title2]]))</f>
        <v>Communication For Analysts</v>
      </c>
      <c r="I718" t="s">
        <v>119</v>
      </c>
      <c r="J718" s="1">
        <v>45008</v>
      </c>
      <c r="K718" t="s">
        <v>98</v>
      </c>
      <c r="L718" s="7">
        <v>16</v>
      </c>
      <c r="M718">
        <f>ROUND(TTrainingSource[[#This Row],[Satisfaction_Score2]],0)</f>
        <v>4</v>
      </c>
      <c r="N718">
        <v>3.6</v>
      </c>
    </row>
    <row r="719" spans="1:14" x14ac:dyDescent="0.3">
      <c r="A719" t="s">
        <v>603</v>
      </c>
      <c r="B719" t="str">
        <f>TRIM(TTrainingSource[[#This Row],[EMPloyee_ID2]])</f>
        <v>EMP10350</v>
      </c>
      <c r="C719" t="str">
        <f>IFERROR(VLOOKUP(TTrainingSource[[#This Row],[Employee_ID]],THrList[],3,FALSE),"")</f>
        <v>MARTINEZ</v>
      </c>
      <c r="D719" t="str">
        <f>IFERROR(VLOOKUP(TTrainingSource[[#This Row],[Employee_ID]],THrList[],4,FALSE),"")</f>
        <v>Zainab</v>
      </c>
      <c r="E719" t="str">
        <f>IFERROR(VLOOKUP(TTrainingSource[[#This Row],[Employee_ID]],THrList[],10,FALSE),"")</f>
        <v>Marketing</v>
      </c>
      <c r="F719" t="str">
        <f>TRIM(PROPER(TTrainingSource[[#This Row],[Training_Status2]]))</f>
        <v>Completed</v>
      </c>
      <c r="G719" t="s">
        <v>17</v>
      </c>
      <c r="H719" t="str">
        <f>TRIM(PROPER(TTrainingSource[[#This Row],[Training_Title2]]))</f>
        <v>Data Visualization Best Practices</v>
      </c>
      <c r="I719" t="s">
        <v>20</v>
      </c>
      <c r="J719" s="1">
        <v>45176</v>
      </c>
      <c r="K719" t="s">
        <v>29</v>
      </c>
      <c r="L719" s="7">
        <v>20</v>
      </c>
      <c r="M719">
        <f>ROUND(TTrainingSource[[#This Row],[Satisfaction_Score2]],0)</f>
        <v>3</v>
      </c>
      <c r="N719">
        <v>3.4</v>
      </c>
    </row>
    <row r="720" spans="1:14" x14ac:dyDescent="0.3">
      <c r="A720" t="s">
        <v>147</v>
      </c>
      <c r="B720" t="str">
        <f>TRIM(TTrainingSource[[#This Row],[EMPloyee_ID2]])</f>
        <v>EMP10351</v>
      </c>
      <c r="C720" t="str">
        <f>IFERROR(VLOOKUP(TTrainingSource[[#This Row],[Employee_ID]],THrList[],3,FALSE),"")</f>
        <v>LEFEVRE</v>
      </c>
      <c r="D720" t="str">
        <f>IFERROR(VLOOKUP(TTrainingSource[[#This Row],[Employee_ID]],THrList[],4,FALSE),"")</f>
        <v>Ada</v>
      </c>
      <c r="E720" t="str">
        <f>IFERROR(VLOOKUP(TTrainingSource[[#This Row],[Employee_ID]],THrList[],10,FALSE),"")</f>
        <v>Human Resources</v>
      </c>
      <c r="F720" t="str">
        <f>TRIM(PROPER(TTrainingSource[[#This Row],[Training_Status2]]))</f>
        <v>In Progress</v>
      </c>
      <c r="G720" t="s">
        <v>8</v>
      </c>
      <c r="H720" t="str">
        <f>TRIM(PROPER(TTrainingSource[[#This Row],[Training_Title2]]))</f>
        <v>Financial Modeling Basics</v>
      </c>
      <c r="I720" t="s">
        <v>38</v>
      </c>
      <c r="J720" s="1">
        <v>44775</v>
      </c>
      <c r="K720" t="s">
        <v>29</v>
      </c>
      <c r="L720" s="7">
        <v>12</v>
      </c>
      <c r="M720">
        <f>ROUND(TTrainingSource[[#This Row],[Satisfaction_Score2]],0)</f>
        <v>4</v>
      </c>
      <c r="N720">
        <v>3.9</v>
      </c>
    </row>
    <row r="721" spans="1:14" x14ac:dyDescent="0.3">
      <c r="A721" t="s">
        <v>686</v>
      </c>
      <c r="B721" t="str">
        <f>TRIM(TTrainingSource[[#This Row],[EMPloyee_ID2]])</f>
        <v>EMP10352</v>
      </c>
      <c r="C721" t="str">
        <f>IFERROR(VLOOKUP(TTrainingSource[[#This Row],[Employee_ID]],THrList[],3,FALSE),"")</f>
        <v>LEROY</v>
      </c>
      <c r="D721" t="str">
        <f>IFERROR(VLOOKUP(TTrainingSource[[#This Row],[Employee_ID]],THrList[],4,FALSE),"")</f>
        <v>Olivia</v>
      </c>
      <c r="E721" t="str">
        <f>IFERROR(VLOOKUP(TTrainingSource[[#This Row],[Employee_ID]],THrList[],10,FALSE),"")</f>
        <v>IT</v>
      </c>
      <c r="F721" t="str">
        <f>TRIM(PROPER(TTrainingSource[[#This Row],[Training_Status2]]))</f>
        <v>Completed</v>
      </c>
      <c r="G721" t="s">
        <v>17</v>
      </c>
      <c r="H721" t="str">
        <f>TRIM(PROPER(TTrainingSource[[#This Row],[Training_Title2]]))</f>
        <v>Power Bi Reporting</v>
      </c>
      <c r="I721" t="s">
        <v>24</v>
      </c>
      <c r="J721" s="1">
        <v>44731</v>
      </c>
      <c r="K721" t="s">
        <v>44</v>
      </c>
      <c r="L721" s="7">
        <v>40</v>
      </c>
      <c r="M721">
        <f>ROUND(TTrainingSource[[#This Row],[Satisfaction_Score2]],0)</f>
        <v>5</v>
      </c>
      <c r="N721">
        <v>4.5999999999999996</v>
      </c>
    </row>
    <row r="722" spans="1:14" x14ac:dyDescent="0.3">
      <c r="A722" t="s">
        <v>104</v>
      </c>
      <c r="B722" t="str">
        <f>TRIM(TTrainingSource[[#This Row],[EMPloyee_ID2]])</f>
        <v>EMP10354</v>
      </c>
      <c r="C722" t="str">
        <f>IFERROR(VLOOKUP(TTrainingSource[[#This Row],[Employee_ID]],THrList[],3,FALSE),"")</f>
        <v>BALDE</v>
      </c>
      <c r="D722" t="str">
        <f>IFERROR(VLOOKUP(TTrainingSource[[#This Row],[Employee_ID]],THrList[],4,FALSE),"")</f>
        <v>Ama</v>
      </c>
      <c r="E722" t="str">
        <f>IFERROR(VLOOKUP(TTrainingSource[[#This Row],[Employee_ID]],THrList[],10,FALSE),"")</f>
        <v>Sales</v>
      </c>
      <c r="F722" t="str">
        <f>TRIM(PROPER(TTrainingSource[[#This Row],[Training_Status2]]))</f>
        <v>In Progress</v>
      </c>
      <c r="G722" t="s">
        <v>8</v>
      </c>
      <c r="H722" t="str">
        <f>TRIM(PROPER(TTrainingSource[[#This Row],[Training_Title2]]))</f>
        <v>Business Intelligence With Tableau</v>
      </c>
      <c r="I722" t="s">
        <v>22</v>
      </c>
      <c r="J722" s="1">
        <v>45615</v>
      </c>
      <c r="K722" t="s">
        <v>71</v>
      </c>
      <c r="L722" s="7">
        <v>16</v>
      </c>
      <c r="M722">
        <f>ROUND(TTrainingSource[[#This Row],[Satisfaction_Score2]],0)</f>
        <v>4</v>
      </c>
      <c r="N722">
        <v>4.0999999999999996</v>
      </c>
    </row>
    <row r="723" spans="1:14" x14ac:dyDescent="0.3">
      <c r="A723" t="s">
        <v>466</v>
      </c>
      <c r="B723" t="str">
        <f>TRIM(TTrainingSource[[#This Row],[EMPloyee_ID2]])</f>
        <v>EMP10355</v>
      </c>
      <c r="C723" t="str">
        <f>IFERROR(VLOOKUP(TTrainingSource[[#This Row],[Employee_ID]],THrList[],3,FALSE),"")</f>
        <v>DUBOIS</v>
      </c>
      <c r="D723" t="str">
        <f>IFERROR(VLOOKUP(TTrainingSource[[#This Row],[Employee_ID]],THrList[],4,FALSE),"")</f>
        <v>Yaw</v>
      </c>
      <c r="E723" t="str">
        <f>IFERROR(VLOOKUP(TTrainingSource[[#This Row],[Employee_ID]],THrList[],10,FALSE),"")</f>
        <v>Finance</v>
      </c>
      <c r="F723" t="str">
        <f>TRIM(PROPER(TTrainingSource[[#This Row],[Training_Status2]]))</f>
        <v>Completed</v>
      </c>
      <c r="G723" t="s">
        <v>17</v>
      </c>
      <c r="H723" t="str">
        <f>TRIM(PROPER(TTrainingSource[[#This Row],[Training_Title2]]))</f>
        <v>Digital Marketing Strategy</v>
      </c>
      <c r="I723" t="s">
        <v>43</v>
      </c>
      <c r="J723" s="1">
        <v>45527</v>
      </c>
      <c r="K723" t="s">
        <v>39</v>
      </c>
      <c r="L723" s="7">
        <v>24</v>
      </c>
      <c r="M723">
        <f>ROUND(TTrainingSource[[#This Row],[Satisfaction_Score2]],0)</f>
        <v>3</v>
      </c>
      <c r="N723">
        <v>2.7</v>
      </c>
    </row>
    <row r="724" spans="1:14" x14ac:dyDescent="0.3">
      <c r="A724" t="s">
        <v>466</v>
      </c>
      <c r="B724" t="str">
        <f>TRIM(TTrainingSource[[#This Row],[EMPloyee_ID2]])</f>
        <v>EMP10355</v>
      </c>
      <c r="C724" t="str">
        <f>IFERROR(VLOOKUP(TTrainingSource[[#This Row],[Employee_ID]],THrList[],3,FALSE),"")</f>
        <v>DUBOIS</v>
      </c>
      <c r="D724" t="str">
        <f>IFERROR(VLOOKUP(TTrainingSource[[#This Row],[Employee_ID]],THrList[],4,FALSE),"")</f>
        <v>Yaw</v>
      </c>
      <c r="E724" t="str">
        <f>IFERROR(VLOOKUP(TTrainingSource[[#This Row],[Employee_ID]],THrList[],10,FALSE),"")</f>
        <v>Finance</v>
      </c>
      <c r="F724" t="str">
        <f>TRIM(PROPER(TTrainingSource[[#This Row],[Training_Status2]]))</f>
        <v>Planned</v>
      </c>
      <c r="G724" t="s">
        <v>19</v>
      </c>
      <c r="H724" t="str">
        <f>TRIM(PROPER(TTrainingSource[[#This Row],[Training_Title2]]))</f>
        <v>Sql For Data Analytics</v>
      </c>
      <c r="I724" t="s">
        <v>26</v>
      </c>
      <c r="J724" s="1">
        <v>44881</v>
      </c>
      <c r="K724" t="s">
        <v>1072</v>
      </c>
      <c r="L724" s="7">
        <v>8</v>
      </c>
      <c r="M724">
        <f>ROUND(TTrainingSource[[#This Row],[Satisfaction_Score2]],0)</f>
        <v>3</v>
      </c>
      <c r="N724">
        <v>3.1</v>
      </c>
    </row>
    <row r="725" spans="1:14" x14ac:dyDescent="0.3">
      <c r="A725" t="s">
        <v>466</v>
      </c>
      <c r="B725" t="str">
        <f>TRIM(TTrainingSource[[#This Row],[EMPloyee_ID2]])</f>
        <v>EMP10355</v>
      </c>
      <c r="C725" t="str">
        <f>IFERROR(VLOOKUP(TTrainingSource[[#This Row],[Employee_ID]],THrList[],3,FALSE),"")</f>
        <v>DUBOIS</v>
      </c>
      <c r="D725" t="str">
        <f>IFERROR(VLOOKUP(TTrainingSource[[#This Row],[Employee_ID]],THrList[],4,FALSE),"")</f>
        <v>Yaw</v>
      </c>
      <c r="E725" t="str">
        <f>IFERROR(VLOOKUP(TTrainingSource[[#This Row],[Employee_ID]],THrList[],10,FALSE),"")</f>
        <v>Finance</v>
      </c>
      <c r="F725" t="str">
        <f>TRIM(PROPER(TTrainingSource[[#This Row],[Training_Status2]]))</f>
        <v>In Progress</v>
      </c>
      <c r="G725" t="s">
        <v>8</v>
      </c>
      <c r="H725" t="str">
        <f>TRIM(PROPER(TTrainingSource[[#This Row],[Training_Title2]]))</f>
        <v>Digital Marketing Strategy</v>
      </c>
      <c r="I725" t="s">
        <v>746</v>
      </c>
      <c r="J725" s="1">
        <v>44955</v>
      </c>
      <c r="K725" t="s">
        <v>39</v>
      </c>
      <c r="L725" s="7">
        <v>8</v>
      </c>
      <c r="M725">
        <f>ROUND(TTrainingSource[[#This Row],[Satisfaction_Score2]],0)</f>
        <v>4</v>
      </c>
      <c r="N725">
        <v>3.6</v>
      </c>
    </row>
    <row r="726" spans="1:14" x14ac:dyDescent="0.3">
      <c r="A726" t="s">
        <v>212</v>
      </c>
      <c r="B726" t="str">
        <f>TRIM(TTrainingSource[[#This Row],[EMPloyee_ID2]])</f>
        <v>EMP10356</v>
      </c>
      <c r="C726" t="str">
        <f>IFERROR(VLOOKUP(TTrainingSource[[#This Row],[Employee_ID]],THrList[],3,FALSE),"")</f>
        <v>ANDERSON</v>
      </c>
      <c r="D726" t="str">
        <f>IFERROR(VLOOKUP(TTrainingSource[[#This Row],[Employee_ID]],THrList[],4,FALSE),"")</f>
        <v>Layla</v>
      </c>
      <c r="E726" t="str">
        <f>IFERROR(VLOOKUP(TTrainingSource[[#This Row],[Employee_ID]],THrList[],10,FALSE),"")</f>
        <v>Compliance</v>
      </c>
      <c r="F726" t="str">
        <f>TRIM(PROPER(TTrainingSource[[#This Row],[Training_Status2]]))</f>
        <v>Completed</v>
      </c>
      <c r="G726" t="s">
        <v>17</v>
      </c>
      <c r="H726" t="str">
        <f>TRIM(PROPER(TTrainingSource[[#This Row],[Training_Title2]]))</f>
        <v>Data Analysis Fundamentals</v>
      </c>
      <c r="I726" t="s">
        <v>9</v>
      </c>
      <c r="J726" s="1">
        <v>45946</v>
      </c>
      <c r="K726" t="s">
        <v>39</v>
      </c>
      <c r="L726" s="7">
        <v>16</v>
      </c>
      <c r="M726">
        <f>ROUND(TTrainingSource[[#This Row],[Satisfaction_Score2]],0)</f>
        <v>3</v>
      </c>
      <c r="N726">
        <v>3.4</v>
      </c>
    </row>
    <row r="727" spans="1:14" x14ac:dyDescent="0.3">
      <c r="A727" t="s">
        <v>212</v>
      </c>
      <c r="B727" t="str">
        <f>TRIM(TTrainingSource[[#This Row],[EMPloyee_ID2]])</f>
        <v>EMP10356</v>
      </c>
      <c r="C727" t="str">
        <f>IFERROR(VLOOKUP(TTrainingSource[[#This Row],[Employee_ID]],THrList[],3,FALSE),"")</f>
        <v>ANDERSON</v>
      </c>
      <c r="D727" t="str">
        <f>IFERROR(VLOOKUP(TTrainingSource[[#This Row],[Employee_ID]],THrList[],4,FALSE),"")</f>
        <v>Layla</v>
      </c>
      <c r="E727" t="str">
        <f>IFERROR(VLOOKUP(TTrainingSource[[#This Row],[Employee_ID]],THrList[],10,FALSE),"")</f>
        <v>Compliance</v>
      </c>
      <c r="F727" t="str">
        <f>TRIM(PROPER(TTrainingSource[[#This Row],[Training_Status2]]))</f>
        <v>In Progress</v>
      </c>
      <c r="G727" t="s">
        <v>8</v>
      </c>
      <c r="H727" t="str">
        <f>TRIM(PROPER(TTrainingSource[[#This Row],[Training_Title2]]))</f>
        <v>Digital Marketing Strategy</v>
      </c>
      <c r="I727" t="s">
        <v>43</v>
      </c>
      <c r="J727" s="1">
        <v>45008</v>
      </c>
      <c r="K727" t="s">
        <v>39</v>
      </c>
      <c r="L727" s="7">
        <v>12</v>
      </c>
      <c r="M727">
        <f>ROUND(TTrainingSource[[#This Row],[Satisfaction_Score2]],0)</f>
        <v>3</v>
      </c>
      <c r="N727">
        <v>3.3</v>
      </c>
    </row>
    <row r="728" spans="1:14" x14ac:dyDescent="0.3">
      <c r="A728" t="s">
        <v>354</v>
      </c>
      <c r="B728" t="str">
        <f>TRIM(TTrainingSource[[#This Row],[EMPloyee_ID2]])</f>
        <v>EMP10357</v>
      </c>
      <c r="C728" t="str">
        <f>IFERROR(VLOOKUP(TTrainingSource[[#This Row],[Employee_ID]],THrList[],3,FALSE),"")</f>
        <v>MOORE</v>
      </c>
      <c r="D728" t="str">
        <f>IFERROR(VLOOKUP(TTrainingSource[[#This Row],[Employee_ID]],THrList[],4,FALSE),"")</f>
        <v>Claire</v>
      </c>
      <c r="E728" t="str">
        <f>IFERROR(VLOOKUP(TTrainingSource[[#This Row],[Employee_ID]],THrList[],10,FALSE),"")</f>
        <v>Finance</v>
      </c>
      <c r="F728" t="str">
        <f>TRIM(PROPER(TTrainingSource[[#This Row],[Training_Status2]]))</f>
        <v>In Progress</v>
      </c>
      <c r="G728" t="s">
        <v>8</v>
      </c>
      <c r="H728" t="str">
        <f>TRIM(PROPER(TTrainingSource[[#This Row],[Training_Title2]]))</f>
        <v>Customer Data Analysis</v>
      </c>
      <c r="I728" t="s">
        <v>31</v>
      </c>
      <c r="J728" s="1">
        <v>45223</v>
      </c>
      <c r="K728" t="s">
        <v>32</v>
      </c>
      <c r="L728" s="7">
        <v>32</v>
      </c>
      <c r="M728">
        <f>ROUND(TTrainingSource[[#This Row],[Satisfaction_Score2]],0)</f>
        <v>4</v>
      </c>
      <c r="N728">
        <v>4.2</v>
      </c>
    </row>
    <row r="729" spans="1:14" x14ac:dyDescent="0.3">
      <c r="A729" t="s">
        <v>354</v>
      </c>
      <c r="B729" t="str">
        <f>TRIM(TTrainingSource[[#This Row],[EMPloyee_ID2]])</f>
        <v>EMP10357</v>
      </c>
      <c r="C729" t="str">
        <f>IFERROR(VLOOKUP(TTrainingSource[[#This Row],[Employee_ID]],THrList[],3,FALSE),"")</f>
        <v>MOORE</v>
      </c>
      <c r="D729" t="str">
        <f>IFERROR(VLOOKUP(TTrainingSource[[#This Row],[Employee_ID]],THrList[],4,FALSE),"")</f>
        <v>Claire</v>
      </c>
      <c r="E729" t="str">
        <f>IFERROR(VLOOKUP(TTrainingSource[[#This Row],[Employee_ID]],THrList[],10,FALSE),"")</f>
        <v>Finance</v>
      </c>
      <c r="F729" t="str">
        <f>TRIM(PROPER(TTrainingSource[[#This Row],[Training_Status2]]))</f>
        <v>Completed</v>
      </c>
      <c r="G729" t="s">
        <v>69</v>
      </c>
      <c r="H729" t="str">
        <f>TRIM(PROPER(TTrainingSource[[#This Row],[Training_Title2]]))</f>
        <v>Business Intelligence With Tableau</v>
      </c>
      <c r="I729" t="s">
        <v>22</v>
      </c>
      <c r="J729" s="1">
        <v>44666</v>
      </c>
      <c r="K729" t="s">
        <v>42</v>
      </c>
      <c r="L729" s="7">
        <v>40</v>
      </c>
      <c r="M729">
        <f>ROUND(TTrainingSource[[#This Row],[Satisfaction_Score2]],0)</f>
        <v>4</v>
      </c>
      <c r="N729">
        <v>3.8</v>
      </c>
    </row>
    <row r="730" spans="1:14" x14ac:dyDescent="0.3">
      <c r="A730" t="s">
        <v>354</v>
      </c>
      <c r="B730" t="str">
        <f>TRIM(TTrainingSource[[#This Row],[EMPloyee_ID2]])</f>
        <v>EMP10357</v>
      </c>
      <c r="C730" t="str">
        <f>IFERROR(VLOOKUP(TTrainingSource[[#This Row],[Employee_ID]],THrList[],3,FALSE),"")</f>
        <v>MOORE</v>
      </c>
      <c r="D730" t="str">
        <f>IFERROR(VLOOKUP(TTrainingSource[[#This Row],[Employee_ID]],THrList[],4,FALSE),"")</f>
        <v>Claire</v>
      </c>
      <c r="E730" t="str">
        <f>IFERROR(VLOOKUP(TTrainingSource[[#This Row],[Employee_ID]],THrList[],10,FALSE),"")</f>
        <v>Finance</v>
      </c>
      <c r="F730" t="str">
        <f>TRIM(PROPER(TTrainingSource[[#This Row],[Training_Status2]]))</f>
        <v>Completed</v>
      </c>
      <c r="G730" t="s">
        <v>17</v>
      </c>
      <c r="H730" t="str">
        <f>TRIM(PROPER(TTrainingSource[[#This Row],[Training_Title2]]))</f>
        <v>Data Visualization Best Practices</v>
      </c>
      <c r="I730" t="s">
        <v>20</v>
      </c>
      <c r="J730" s="1">
        <v>45758</v>
      </c>
      <c r="K730" t="s">
        <v>32</v>
      </c>
      <c r="L730" s="7">
        <v>6</v>
      </c>
      <c r="M730">
        <f>ROUND(TTrainingSource[[#This Row],[Satisfaction_Score2]],0)</f>
        <v>4</v>
      </c>
      <c r="N730">
        <v>4.2</v>
      </c>
    </row>
    <row r="731" spans="1:14" x14ac:dyDescent="0.3">
      <c r="A731" t="s">
        <v>85</v>
      </c>
      <c r="B731" t="str">
        <f>TRIM(TTrainingSource[[#This Row],[EMPloyee_ID2]])</f>
        <v>EMP10358</v>
      </c>
      <c r="C731" t="str">
        <f>IFERROR(VLOOKUP(TTrainingSource[[#This Row],[Employee_ID]],THrList[],3,FALSE),"")</f>
        <v>ANDERSON</v>
      </c>
      <c r="D731" t="str">
        <f>IFERROR(VLOOKUP(TTrainingSource[[#This Row],[Employee_ID]],THrList[],4,FALSE),"")</f>
        <v>Omar</v>
      </c>
      <c r="E731" t="str">
        <f>IFERROR(VLOOKUP(TTrainingSource[[#This Row],[Employee_ID]],THrList[],10,FALSE),"")</f>
        <v>Procurement</v>
      </c>
      <c r="F731" t="str">
        <f>TRIM(PROPER(TTrainingSource[[#This Row],[Training_Status2]]))</f>
        <v>In Progress</v>
      </c>
      <c r="G731" t="s">
        <v>8</v>
      </c>
      <c r="H731" t="str">
        <f>TRIM(PROPER(TTrainingSource[[#This Row],[Training_Title2]]))</f>
        <v>Digital Marketing Strategy</v>
      </c>
      <c r="I731" t="s">
        <v>43</v>
      </c>
      <c r="J731" s="1">
        <v>45059</v>
      </c>
      <c r="K731" t="s">
        <v>1072</v>
      </c>
      <c r="L731" s="7">
        <v>12</v>
      </c>
      <c r="M731">
        <f>ROUND(TTrainingSource[[#This Row],[Satisfaction_Score2]],0)</f>
        <v>4</v>
      </c>
      <c r="N731">
        <v>4.4000000000000004</v>
      </c>
    </row>
    <row r="732" spans="1:14" x14ac:dyDescent="0.3">
      <c r="A732" t="s">
        <v>85</v>
      </c>
      <c r="B732" t="str">
        <f>TRIM(TTrainingSource[[#This Row],[EMPloyee_ID2]])</f>
        <v>EMP10358</v>
      </c>
      <c r="C732" t="str">
        <f>IFERROR(VLOOKUP(TTrainingSource[[#This Row],[Employee_ID]],THrList[],3,FALSE),"")</f>
        <v>ANDERSON</v>
      </c>
      <c r="D732" t="str">
        <f>IFERROR(VLOOKUP(TTrainingSource[[#This Row],[Employee_ID]],THrList[],4,FALSE),"")</f>
        <v>Omar</v>
      </c>
      <c r="E732" t="str">
        <f>IFERROR(VLOOKUP(TTrainingSource[[#This Row],[Employee_ID]],THrList[],10,FALSE),"")</f>
        <v>Procurement</v>
      </c>
      <c r="F732" t="str">
        <f>TRIM(PROPER(TTrainingSource[[#This Row],[Training_Status2]]))</f>
        <v>Completed</v>
      </c>
      <c r="G732" t="s">
        <v>17</v>
      </c>
      <c r="H732" t="str">
        <f>TRIM(PROPER(TTrainingSource[[#This Row],[Training_Title2]]))</f>
        <v>Data Analysis Fundamentals</v>
      </c>
      <c r="I732" t="s">
        <v>9</v>
      </c>
      <c r="J732" s="1">
        <v>45452</v>
      </c>
      <c r="K732" t="s">
        <v>32</v>
      </c>
      <c r="L732" s="7">
        <v>12</v>
      </c>
      <c r="M732">
        <f>ROUND(TTrainingSource[[#This Row],[Satisfaction_Score2]],0)</f>
        <v>5</v>
      </c>
      <c r="N732">
        <v>4.7</v>
      </c>
    </row>
    <row r="733" spans="1:14" x14ac:dyDescent="0.3">
      <c r="A733" t="s">
        <v>85</v>
      </c>
      <c r="B733" t="str">
        <f>TRIM(TTrainingSource[[#This Row],[EMPloyee_ID2]])</f>
        <v>EMP10358</v>
      </c>
      <c r="C733" t="str">
        <f>IFERROR(VLOOKUP(TTrainingSource[[#This Row],[Employee_ID]],THrList[],3,FALSE),"")</f>
        <v>ANDERSON</v>
      </c>
      <c r="D733" t="str">
        <f>IFERROR(VLOOKUP(TTrainingSource[[#This Row],[Employee_ID]],THrList[],4,FALSE),"")</f>
        <v>Omar</v>
      </c>
      <c r="E733" t="str">
        <f>IFERROR(VLOOKUP(TTrainingSource[[#This Row],[Employee_ID]],THrList[],10,FALSE),"")</f>
        <v>Procurement</v>
      </c>
      <c r="F733" t="str">
        <f>TRIM(PROPER(TTrainingSource[[#This Row],[Training_Status2]]))</f>
        <v>Completed</v>
      </c>
      <c r="G733" t="s">
        <v>35</v>
      </c>
      <c r="H733" t="str">
        <f>TRIM(PROPER(TTrainingSource[[#This Row],[Training_Title2]]))</f>
        <v>Communication For Analysts</v>
      </c>
      <c r="I733" t="s">
        <v>28</v>
      </c>
      <c r="J733" s="1">
        <v>45016</v>
      </c>
      <c r="K733" t="s">
        <v>71</v>
      </c>
      <c r="L733" s="7">
        <v>0</v>
      </c>
      <c r="M733">
        <f>ROUND(TTrainingSource[[#This Row],[Satisfaction_Score2]],0)</f>
        <v>4</v>
      </c>
      <c r="N733">
        <v>3.8</v>
      </c>
    </row>
    <row r="734" spans="1:14" x14ac:dyDescent="0.3">
      <c r="A734" t="s">
        <v>521</v>
      </c>
      <c r="B734" t="str">
        <f>TRIM(TTrainingSource[[#This Row],[EMPloyee_ID2]])</f>
        <v>EMP10359</v>
      </c>
      <c r="C734" t="str">
        <f>IFERROR(VLOOKUP(TTrainingSource[[#This Row],[Employee_ID]],THrList[],3,FALSE),"")</f>
        <v>LOPEZ</v>
      </c>
      <c r="D734" t="str">
        <f>IFERROR(VLOOKUP(TTrainingSource[[#This Row],[Employee_ID]],THrList[],4,FALSE),"")</f>
        <v>Yaw</v>
      </c>
      <c r="E734" t="str">
        <f>IFERROR(VLOOKUP(TTrainingSource[[#This Row],[Employee_ID]],THrList[],10,FALSE),"")</f>
        <v>Compliance</v>
      </c>
      <c r="F734" t="str">
        <f>TRIM(PROPER(TTrainingSource[[#This Row],[Training_Status2]]))</f>
        <v>Completed</v>
      </c>
      <c r="G734" t="s">
        <v>17</v>
      </c>
      <c r="H734" t="str">
        <f>TRIM(PROPER(TTrainingSource[[#This Row],[Training_Title2]]))</f>
        <v>Business Intelligence With Tableau</v>
      </c>
      <c r="I734" t="s">
        <v>162</v>
      </c>
      <c r="J734" s="1">
        <v>45472</v>
      </c>
      <c r="K734" t="s">
        <v>46</v>
      </c>
      <c r="L734" s="7">
        <v>6</v>
      </c>
      <c r="M734">
        <f>ROUND(TTrainingSource[[#This Row],[Satisfaction_Score2]],0)</f>
        <v>3</v>
      </c>
      <c r="N734">
        <v>3.2</v>
      </c>
    </row>
    <row r="735" spans="1:14" x14ac:dyDescent="0.3">
      <c r="A735" t="s">
        <v>521</v>
      </c>
      <c r="B735" t="str">
        <f>TRIM(TTrainingSource[[#This Row],[EMPloyee_ID2]])</f>
        <v>EMP10359</v>
      </c>
      <c r="C735" t="str">
        <f>IFERROR(VLOOKUP(TTrainingSource[[#This Row],[Employee_ID]],THrList[],3,FALSE),"")</f>
        <v>LOPEZ</v>
      </c>
      <c r="D735" t="str">
        <f>IFERROR(VLOOKUP(TTrainingSource[[#This Row],[Employee_ID]],THrList[],4,FALSE),"")</f>
        <v>Yaw</v>
      </c>
      <c r="E735" t="str">
        <f>IFERROR(VLOOKUP(TTrainingSource[[#This Row],[Employee_ID]],THrList[],10,FALSE),"")</f>
        <v>Compliance</v>
      </c>
      <c r="F735" t="str">
        <f>TRIM(PROPER(TTrainingSource[[#This Row],[Training_Status2]]))</f>
        <v>Completed</v>
      </c>
      <c r="G735" t="s">
        <v>17</v>
      </c>
      <c r="H735" t="str">
        <f>TRIM(PROPER(TTrainingSource[[#This Row],[Training_Title2]]))</f>
        <v>Project Management Essentials</v>
      </c>
      <c r="I735" t="s">
        <v>14</v>
      </c>
      <c r="J735" s="1">
        <v>45310</v>
      </c>
      <c r="K735" t="s">
        <v>39</v>
      </c>
      <c r="L735" s="7">
        <v>16</v>
      </c>
      <c r="M735">
        <f>ROUND(TTrainingSource[[#This Row],[Satisfaction_Score2]],0)</f>
        <v>5</v>
      </c>
      <c r="N735">
        <v>4.7</v>
      </c>
    </row>
    <row r="736" spans="1:14" x14ac:dyDescent="0.3">
      <c r="A736" t="s">
        <v>521</v>
      </c>
      <c r="B736" t="str">
        <f>TRIM(TTrainingSource[[#This Row],[EMPloyee_ID2]])</f>
        <v>EMP10359</v>
      </c>
      <c r="C736" t="str">
        <f>IFERROR(VLOOKUP(TTrainingSource[[#This Row],[Employee_ID]],THrList[],3,FALSE),"")</f>
        <v>LOPEZ</v>
      </c>
      <c r="D736" t="str">
        <f>IFERROR(VLOOKUP(TTrainingSource[[#This Row],[Employee_ID]],THrList[],4,FALSE),"")</f>
        <v>Yaw</v>
      </c>
      <c r="E736" t="str">
        <f>IFERROR(VLOOKUP(TTrainingSource[[#This Row],[Employee_ID]],THrList[],10,FALSE),"")</f>
        <v>Compliance</v>
      </c>
      <c r="F736" t="str">
        <f>TRIM(PROPER(TTrainingSource[[#This Row],[Training_Status2]]))</f>
        <v>In Progress</v>
      </c>
      <c r="G736" t="s">
        <v>8</v>
      </c>
      <c r="H736" t="str">
        <f>TRIM(PROPER(TTrainingSource[[#This Row],[Training_Title2]]))</f>
        <v>Data Analysis Fundamentals</v>
      </c>
      <c r="I736" t="s">
        <v>9</v>
      </c>
      <c r="J736" s="1">
        <v>45925</v>
      </c>
      <c r="K736" t="s">
        <v>98</v>
      </c>
      <c r="L736" s="7">
        <v>4</v>
      </c>
      <c r="M736">
        <f>ROUND(TTrainingSource[[#This Row],[Satisfaction_Score2]],0)</f>
        <v>5</v>
      </c>
      <c r="N736">
        <v>4.5999999999999996</v>
      </c>
    </row>
    <row r="737" spans="1:14" x14ac:dyDescent="0.3">
      <c r="A737" t="s">
        <v>452</v>
      </c>
      <c r="B737" t="str">
        <f>TRIM(TTrainingSource[[#This Row],[EMPloyee_ID2]])</f>
        <v>EMP10360</v>
      </c>
      <c r="C737" t="str">
        <f>IFERROR(VLOOKUP(TTrainingSource[[#This Row],[Employee_ID]],THrList[],3,FALSE),"")</f>
        <v>DUBOIS</v>
      </c>
      <c r="D737" t="str">
        <f>IFERROR(VLOOKUP(TTrainingSource[[#This Row],[Employee_ID]],THrList[],4,FALSE),"")</f>
        <v>Kofi</v>
      </c>
      <c r="E737" t="str">
        <f>IFERROR(VLOOKUP(TTrainingSource[[#This Row],[Employee_ID]],THrList[],10,FALSE),"")</f>
        <v>Human Resources</v>
      </c>
      <c r="F737" t="str">
        <f>TRIM(PROPER(TTrainingSource[[#This Row],[Training_Status2]]))</f>
        <v>Completed</v>
      </c>
      <c r="G737" t="s">
        <v>69</v>
      </c>
      <c r="H737" t="str">
        <f>TRIM(PROPER(TTrainingSource[[#This Row],[Training_Title2]]))</f>
        <v>Communication For Analysts</v>
      </c>
      <c r="I737" t="s">
        <v>28</v>
      </c>
      <c r="J737" s="1">
        <v>45619</v>
      </c>
      <c r="K737" t="s">
        <v>98</v>
      </c>
      <c r="L737" s="7">
        <v>0</v>
      </c>
      <c r="M737">
        <f>ROUND(TTrainingSource[[#This Row],[Satisfaction_Score2]],0)</f>
        <v>3</v>
      </c>
      <c r="N737">
        <v>3.2</v>
      </c>
    </row>
    <row r="738" spans="1:14" x14ac:dyDescent="0.3">
      <c r="A738" t="s">
        <v>452</v>
      </c>
      <c r="B738" t="str">
        <f>TRIM(TTrainingSource[[#This Row],[EMPloyee_ID2]])</f>
        <v>EMP10360</v>
      </c>
      <c r="C738" t="str">
        <f>IFERROR(VLOOKUP(TTrainingSource[[#This Row],[Employee_ID]],THrList[],3,FALSE),"")</f>
        <v>DUBOIS</v>
      </c>
      <c r="D738" t="str">
        <f>IFERROR(VLOOKUP(TTrainingSource[[#This Row],[Employee_ID]],THrList[],4,FALSE),"")</f>
        <v>Kofi</v>
      </c>
      <c r="E738" t="str">
        <f>IFERROR(VLOOKUP(TTrainingSource[[#This Row],[Employee_ID]],THrList[],10,FALSE),"")</f>
        <v>Human Resources</v>
      </c>
      <c r="F738" t="str">
        <f>TRIM(PROPER(TTrainingSource[[#This Row],[Training_Status2]]))</f>
        <v>In Progress</v>
      </c>
      <c r="G738" t="s">
        <v>8</v>
      </c>
      <c r="H738" t="str">
        <f>TRIM(PROPER(TTrainingSource[[#This Row],[Training_Title2]]))</f>
        <v>Introduction To Python For Data</v>
      </c>
      <c r="I738" t="s">
        <v>62</v>
      </c>
      <c r="J738" s="1">
        <v>44984</v>
      </c>
      <c r="K738" t="s">
        <v>44</v>
      </c>
      <c r="L738" s="7">
        <v>40</v>
      </c>
      <c r="M738">
        <f>ROUND(TTrainingSource[[#This Row],[Satisfaction_Score2]],0)</f>
        <v>3</v>
      </c>
      <c r="N738">
        <v>2.6</v>
      </c>
    </row>
    <row r="739" spans="1:14" x14ac:dyDescent="0.3">
      <c r="A739" t="s">
        <v>774</v>
      </c>
      <c r="B739" t="str">
        <f>TRIM(TTrainingSource[[#This Row],[EMPloyee_ID2]])</f>
        <v>EMP10360</v>
      </c>
      <c r="C739" t="str">
        <f>IFERROR(VLOOKUP(TTrainingSource[[#This Row],[Employee_ID]],THrList[],3,FALSE),"")</f>
        <v>DUBOIS</v>
      </c>
      <c r="D739" t="str">
        <f>IFERROR(VLOOKUP(TTrainingSource[[#This Row],[Employee_ID]],THrList[],4,FALSE),"")</f>
        <v>Kofi</v>
      </c>
      <c r="E739" t="str">
        <f>IFERROR(VLOOKUP(TTrainingSource[[#This Row],[Employee_ID]],THrList[],10,FALSE),"")</f>
        <v>Human Resources</v>
      </c>
      <c r="F739" t="str">
        <f>TRIM(PROPER(TTrainingSource[[#This Row],[Training_Status2]]))</f>
        <v>Completed</v>
      </c>
      <c r="G739" t="s">
        <v>17</v>
      </c>
      <c r="H739" t="str">
        <f>TRIM(PROPER(TTrainingSource[[#This Row],[Training_Title2]]))</f>
        <v>Business Intelligence With Tableau</v>
      </c>
      <c r="I739" t="s">
        <v>162</v>
      </c>
      <c r="J739" s="1">
        <v>44796</v>
      </c>
      <c r="K739" t="s">
        <v>44</v>
      </c>
      <c r="L739" s="7">
        <v>24</v>
      </c>
      <c r="M739">
        <f>ROUND(TTrainingSource[[#This Row],[Satisfaction_Score2]],0)</f>
        <v>3</v>
      </c>
      <c r="N739">
        <v>2.8</v>
      </c>
    </row>
    <row r="740" spans="1:14" x14ac:dyDescent="0.3">
      <c r="A740" t="s">
        <v>123</v>
      </c>
      <c r="B740" t="str">
        <f>TRIM(TTrainingSource[[#This Row],[EMPloyee_ID2]])</f>
        <v>EMP10361</v>
      </c>
      <c r="C740" t="str">
        <f>IFERROR(VLOOKUP(TTrainingSource[[#This Row],[Employee_ID]],THrList[],3,FALSE),"")</f>
        <v>KONE</v>
      </c>
      <c r="D740" t="str">
        <f>IFERROR(VLOOKUP(TTrainingSource[[#This Row],[Employee_ID]],THrList[],4,FALSE),"")</f>
        <v>Amelia</v>
      </c>
      <c r="E740" t="str">
        <f>IFERROR(VLOOKUP(TTrainingSource[[#This Row],[Employee_ID]],THrList[],10,FALSE),"")</f>
        <v>Finance</v>
      </c>
      <c r="F740" t="str">
        <f>TRIM(PROPER(TTrainingSource[[#This Row],[Training_Status2]]))</f>
        <v>Completed</v>
      </c>
      <c r="G740" t="s">
        <v>17</v>
      </c>
      <c r="H740" t="str">
        <f>TRIM(PROPER(TTrainingSource[[#This Row],[Training_Title2]]))</f>
        <v>Advanced Excel For Business</v>
      </c>
      <c r="I740" t="s">
        <v>124</v>
      </c>
      <c r="J740" s="1">
        <v>44908</v>
      </c>
      <c r="K740" t="s">
        <v>15</v>
      </c>
      <c r="L740" s="7">
        <v>20</v>
      </c>
      <c r="M740">
        <f>ROUND(TTrainingSource[[#This Row],[Satisfaction_Score2]],0)</f>
        <v>3</v>
      </c>
      <c r="N740">
        <v>3</v>
      </c>
    </row>
    <row r="741" spans="1:14" x14ac:dyDescent="0.3">
      <c r="A741" t="s">
        <v>363</v>
      </c>
      <c r="B741" t="str">
        <f>TRIM(TTrainingSource[[#This Row],[EMPloyee_ID2]])</f>
        <v>EMP10362</v>
      </c>
      <c r="C741" t="str">
        <f>IFERROR(VLOOKUP(TTrainingSource[[#This Row],[Employee_ID]],THrList[],3,FALSE),"")</f>
        <v>ROUSSEAU</v>
      </c>
      <c r="D741" t="str">
        <f>IFERROR(VLOOKUP(TTrainingSource[[#This Row],[Employee_ID]],THrList[],4,FALSE),"")</f>
        <v>Julien</v>
      </c>
      <c r="E741" t="str">
        <f>IFERROR(VLOOKUP(TTrainingSource[[#This Row],[Employee_ID]],THrList[],10,FALSE),"")</f>
        <v>IT</v>
      </c>
      <c r="F741" t="str">
        <f>TRIM(PROPER(TTrainingSource[[#This Row],[Training_Status2]]))</f>
        <v>Completed</v>
      </c>
      <c r="G741" t="s">
        <v>17</v>
      </c>
      <c r="H741" t="str">
        <f>TRIM(PROPER(TTrainingSource[[#This Row],[Training_Title2]]))</f>
        <v>Sql For Data Analytics</v>
      </c>
      <c r="I741" t="s">
        <v>26</v>
      </c>
      <c r="J741" s="1">
        <v>45436</v>
      </c>
      <c r="K741" t="s">
        <v>1072</v>
      </c>
      <c r="L741" s="7">
        <v>0</v>
      </c>
      <c r="M741">
        <f>ROUND(TTrainingSource[[#This Row],[Satisfaction_Score2]],0)</f>
        <v>4</v>
      </c>
      <c r="N741">
        <v>3.6</v>
      </c>
    </row>
    <row r="742" spans="1:14" x14ac:dyDescent="0.3">
      <c r="A742" t="s">
        <v>363</v>
      </c>
      <c r="B742" t="str">
        <f>TRIM(TTrainingSource[[#This Row],[EMPloyee_ID2]])</f>
        <v>EMP10362</v>
      </c>
      <c r="C742" t="str">
        <f>IFERROR(VLOOKUP(TTrainingSource[[#This Row],[Employee_ID]],THrList[],3,FALSE),"")</f>
        <v>ROUSSEAU</v>
      </c>
      <c r="D742" t="str">
        <f>IFERROR(VLOOKUP(TTrainingSource[[#This Row],[Employee_ID]],THrList[],4,FALSE),"")</f>
        <v>Julien</v>
      </c>
      <c r="E742" t="str">
        <f>IFERROR(VLOOKUP(TTrainingSource[[#This Row],[Employee_ID]],THrList[],10,FALSE),"")</f>
        <v>IT</v>
      </c>
      <c r="F742" t="str">
        <f>TRIM(PROPER(TTrainingSource[[#This Row],[Training_Status2]]))</f>
        <v>Completed</v>
      </c>
      <c r="G742" t="s">
        <v>17</v>
      </c>
      <c r="H742" t="str">
        <f>TRIM(PROPER(TTrainingSource[[#This Row],[Training_Title2]]))</f>
        <v>Customer Data Analysis</v>
      </c>
      <c r="I742" t="s">
        <v>31</v>
      </c>
      <c r="J742" s="1">
        <v>45247</v>
      </c>
      <c r="K742" t="s">
        <v>32</v>
      </c>
      <c r="L742" s="7">
        <v>24</v>
      </c>
      <c r="M742">
        <f>ROUND(TTrainingSource[[#This Row],[Satisfaction_Score2]],0)</f>
        <v>4</v>
      </c>
      <c r="N742">
        <v>4</v>
      </c>
    </row>
    <row r="743" spans="1:14" x14ac:dyDescent="0.3">
      <c r="A743" t="s">
        <v>637</v>
      </c>
      <c r="B743" t="str">
        <f>TRIM(TTrainingSource[[#This Row],[EMPloyee_ID2]])</f>
        <v>EMP10364</v>
      </c>
      <c r="C743" t="str">
        <f>IFERROR(VLOOKUP(TTrainingSource[[#This Row],[Employee_ID]],THrList[],3,FALSE),"")</f>
        <v>CAMARA</v>
      </c>
      <c r="D743" t="str">
        <f>IFERROR(VLOOKUP(TTrainingSource[[#This Row],[Employee_ID]],THrList[],4,FALSE),"")</f>
        <v>Omar</v>
      </c>
      <c r="E743" t="str">
        <f>IFERROR(VLOOKUP(TTrainingSource[[#This Row],[Employee_ID]],THrList[],10,FALSE),"")</f>
        <v>Customer Support</v>
      </c>
      <c r="F743" t="str">
        <f>TRIM(PROPER(TTrainingSource[[#This Row],[Training_Status2]]))</f>
        <v>Completed</v>
      </c>
      <c r="G743" t="s">
        <v>69</v>
      </c>
      <c r="H743" t="str">
        <f>TRIM(PROPER(TTrainingSource[[#This Row],[Training_Title2]]))</f>
        <v>Data Analysis Fundamentals</v>
      </c>
      <c r="I743" t="s">
        <v>9</v>
      </c>
      <c r="J743" s="1">
        <v>45066</v>
      </c>
      <c r="K743" t="s">
        <v>1072</v>
      </c>
      <c r="L743" s="7">
        <v>12</v>
      </c>
      <c r="M743">
        <f>ROUND(TTrainingSource[[#This Row],[Satisfaction_Score2]],0)</f>
        <v>3</v>
      </c>
      <c r="N743">
        <v>3.3</v>
      </c>
    </row>
    <row r="744" spans="1:14" x14ac:dyDescent="0.3">
      <c r="A744" t="s">
        <v>637</v>
      </c>
      <c r="B744" t="str">
        <f>TRIM(TTrainingSource[[#This Row],[EMPloyee_ID2]])</f>
        <v>EMP10364</v>
      </c>
      <c r="C744" t="str">
        <f>IFERROR(VLOOKUP(TTrainingSource[[#This Row],[Employee_ID]],THrList[],3,FALSE),"")</f>
        <v>CAMARA</v>
      </c>
      <c r="D744" t="str">
        <f>IFERROR(VLOOKUP(TTrainingSource[[#This Row],[Employee_ID]],THrList[],4,FALSE),"")</f>
        <v>Omar</v>
      </c>
      <c r="E744" t="str">
        <f>IFERROR(VLOOKUP(TTrainingSource[[#This Row],[Employee_ID]],THrList[],10,FALSE),"")</f>
        <v>Customer Support</v>
      </c>
      <c r="F744" t="str">
        <f>TRIM(PROPER(TTrainingSource[[#This Row],[Training_Status2]]))</f>
        <v>Completed</v>
      </c>
      <c r="G744" t="s">
        <v>17</v>
      </c>
      <c r="H744" t="str">
        <f>TRIM(PROPER(TTrainingSource[[#This Row],[Training_Title2]]))</f>
        <v>Financial Modeling Basics</v>
      </c>
      <c r="I744" t="s">
        <v>38</v>
      </c>
      <c r="J744" s="1">
        <v>44937</v>
      </c>
      <c r="K744" t="s">
        <v>132</v>
      </c>
      <c r="L744" s="7">
        <v>12</v>
      </c>
      <c r="M744">
        <f>ROUND(TTrainingSource[[#This Row],[Satisfaction_Score2]],0)</f>
        <v>5</v>
      </c>
      <c r="N744">
        <v>4.8</v>
      </c>
    </row>
    <row r="745" spans="1:14" x14ac:dyDescent="0.3">
      <c r="A745" t="s">
        <v>637</v>
      </c>
      <c r="B745" t="str">
        <f>TRIM(TTrainingSource[[#This Row],[EMPloyee_ID2]])</f>
        <v>EMP10364</v>
      </c>
      <c r="C745" t="str">
        <f>IFERROR(VLOOKUP(TTrainingSource[[#This Row],[Employee_ID]],THrList[],3,FALSE),"")</f>
        <v>CAMARA</v>
      </c>
      <c r="D745" t="str">
        <f>IFERROR(VLOOKUP(TTrainingSource[[#This Row],[Employee_ID]],THrList[],4,FALSE),"")</f>
        <v>Omar</v>
      </c>
      <c r="E745" t="str">
        <f>IFERROR(VLOOKUP(TTrainingSource[[#This Row],[Employee_ID]],THrList[],10,FALSE),"")</f>
        <v>Customer Support</v>
      </c>
      <c r="F745" t="str">
        <f>TRIM(PROPER(TTrainingSource[[#This Row],[Training_Status2]]))</f>
        <v>Planned</v>
      </c>
      <c r="G745" t="s">
        <v>19</v>
      </c>
      <c r="H745" t="str">
        <f>TRIM(PROPER(TTrainingSource[[#This Row],[Training_Title2]]))</f>
        <v>Data Visualization Best Practices</v>
      </c>
      <c r="I745" t="s">
        <v>20</v>
      </c>
      <c r="J745" s="1">
        <v>45420</v>
      </c>
      <c r="K745" t="s">
        <v>39</v>
      </c>
      <c r="L745" s="7">
        <v>8</v>
      </c>
      <c r="M745">
        <f>ROUND(TTrainingSource[[#This Row],[Satisfaction_Score2]],0)</f>
        <v>4</v>
      </c>
      <c r="N745">
        <v>4.2</v>
      </c>
    </row>
    <row r="746" spans="1:14" x14ac:dyDescent="0.3">
      <c r="A746" t="s">
        <v>692</v>
      </c>
      <c r="B746" t="str">
        <f>TRIM(TTrainingSource[[#This Row],[EMPloyee_ID2]])</f>
        <v>EMP10365</v>
      </c>
      <c r="C746" t="str">
        <f>IFERROR(VLOOKUP(TTrainingSource[[#This Row],[Employee_ID]],THrList[],3,FALSE),"")</f>
        <v>FOURNIER</v>
      </c>
      <c r="D746" t="str">
        <f>IFERROR(VLOOKUP(TTrainingSource[[#This Row],[Employee_ID]],THrList[],4,FALSE),"")</f>
        <v>Ada</v>
      </c>
      <c r="E746" t="str">
        <f>IFERROR(VLOOKUP(TTrainingSource[[#This Row],[Employee_ID]],THrList[],10,FALSE),"")</f>
        <v>Finance</v>
      </c>
      <c r="F746" t="str">
        <f>TRIM(PROPER(TTrainingSource[[#This Row],[Training_Status2]]))</f>
        <v>Completed</v>
      </c>
      <c r="G746" t="s">
        <v>17</v>
      </c>
      <c r="H746" t="str">
        <f>TRIM(PROPER(TTrainingSource[[#This Row],[Training_Title2]]))</f>
        <v>Customer Data Analysis</v>
      </c>
      <c r="I746" t="s">
        <v>31</v>
      </c>
      <c r="J746" s="1">
        <v>44869</v>
      </c>
      <c r="K746" t="s">
        <v>29</v>
      </c>
      <c r="L746" s="7">
        <v>8</v>
      </c>
      <c r="M746">
        <f>ROUND(TTrainingSource[[#This Row],[Satisfaction_Score2]],0)</f>
        <v>3</v>
      </c>
      <c r="N746">
        <v>2.6</v>
      </c>
    </row>
    <row r="747" spans="1:14" x14ac:dyDescent="0.3">
      <c r="A747" t="s">
        <v>650</v>
      </c>
      <c r="B747" t="str">
        <f>TRIM(TTrainingSource[[#This Row],[EMPloyee_ID2]])</f>
        <v>EMP10366</v>
      </c>
      <c r="C747" t="str">
        <f>IFERROR(VLOOKUP(TTrainingSource[[#This Row],[Employee_ID]],THrList[],3,FALSE),"")</f>
        <v>KOUASSI</v>
      </c>
      <c r="D747" t="str">
        <f>IFERROR(VLOOKUP(TTrainingSource[[#This Row],[Employee_ID]],THrList[],4,FALSE),"")</f>
        <v>Amina</v>
      </c>
      <c r="E747" t="str">
        <f>IFERROR(VLOOKUP(TTrainingSource[[#This Row],[Employee_ID]],THrList[],10,FALSE),"")</f>
        <v>Sales</v>
      </c>
      <c r="F747" t="str">
        <f>TRIM(PROPER(TTrainingSource[[#This Row],[Training_Status2]]))</f>
        <v>Completed</v>
      </c>
      <c r="G747" t="s">
        <v>17</v>
      </c>
      <c r="H747" t="str">
        <f>TRIM(PROPER(TTrainingSource[[#This Row],[Training_Title2]]))</f>
        <v>Power Bi Reporting</v>
      </c>
      <c r="I747" t="s">
        <v>24</v>
      </c>
      <c r="J747" s="1">
        <v>45133</v>
      </c>
      <c r="K747" t="s">
        <v>39</v>
      </c>
      <c r="L747" s="7">
        <v>32</v>
      </c>
      <c r="M747">
        <f>ROUND(TTrainingSource[[#This Row],[Satisfaction_Score2]],0)</f>
        <v>3</v>
      </c>
      <c r="N747">
        <v>3</v>
      </c>
    </row>
    <row r="748" spans="1:14" x14ac:dyDescent="0.3">
      <c r="A748" t="s">
        <v>479</v>
      </c>
      <c r="B748" t="str">
        <f>TRIM(TTrainingSource[[#This Row],[EMPloyee_ID2]])</f>
        <v>EMP10367</v>
      </c>
      <c r="C748" t="str">
        <f>IFERROR(VLOOKUP(TTrainingSource[[#This Row],[Employee_ID]],THrList[],3,FALSE),"")</f>
        <v>BROWN</v>
      </c>
      <c r="D748" t="str">
        <f>IFERROR(VLOOKUP(TTrainingSource[[#This Row],[Employee_ID]],THrList[],4,FALSE),"")</f>
        <v>Mariama</v>
      </c>
      <c r="E748" t="str">
        <f>IFERROR(VLOOKUP(TTrainingSource[[#This Row],[Employee_ID]],THrList[],10,FALSE),"")</f>
        <v>Human Resources</v>
      </c>
      <c r="F748" t="str">
        <f>TRIM(PROPER(TTrainingSource[[#This Row],[Training_Status2]]))</f>
        <v>Completed</v>
      </c>
      <c r="G748" t="s">
        <v>17</v>
      </c>
      <c r="H748" t="str">
        <f>TRIM(PROPER(TTrainingSource[[#This Row],[Training_Title2]]))</f>
        <v>Introduction To Python For Data</v>
      </c>
      <c r="I748" t="s">
        <v>62</v>
      </c>
      <c r="J748" s="1">
        <v>45742</v>
      </c>
      <c r="K748" t="s">
        <v>42</v>
      </c>
      <c r="L748" s="7">
        <v>20</v>
      </c>
      <c r="M748">
        <f>ROUND(TTrainingSource[[#This Row],[Satisfaction_Score2]],0)</f>
        <v>3</v>
      </c>
      <c r="N748">
        <v>2.8</v>
      </c>
    </row>
    <row r="749" spans="1:14" x14ac:dyDescent="0.3">
      <c r="A749" t="s">
        <v>479</v>
      </c>
      <c r="B749" t="str">
        <f>TRIM(TTrainingSource[[#This Row],[EMPloyee_ID2]])</f>
        <v>EMP10367</v>
      </c>
      <c r="C749" t="str">
        <f>IFERROR(VLOOKUP(TTrainingSource[[#This Row],[Employee_ID]],THrList[],3,FALSE),"")</f>
        <v>BROWN</v>
      </c>
      <c r="D749" t="str">
        <f>IFERROR(VLOOKUP(TTrainingSource[[#This Row],[Employee_ID]],THrList[],4,FALSE),"")</f>
        <v>Mariama</v>
      </c>
      <c r="E749" t="str">
        <f>IFERROR(VLOOKUP(TTrainingSource[[#This Row],[Employee_ID]],THrList[],10,FALSE),"")</f>
        <v>Human Resources</v>
      </c>
      <c r="F749" t="str">
        <f>TRIM(PROPER(TTrainingSource[[#This Row],[Training_Status2]]))</f>
        <v>Completed</v>
      </c>
      <c r="G749" t="s">
        <v>17</v>
      </c>
      <c r="H749" t="str">
        <f>TRIM(PROPER(TTrainingSource[[#This Row],[Training_Title2]]))</f>
        <v>Advanced Excel For Business</v>
      </c>
      <c r="I749" t="s">
        <v>52</v>
      </c>
      <c r="J749" s="1">
        <v>45772</v>
      </c>
      <c r="K749" t="s">
        <v>42</v>
      </c>
      <c r="L749" s="7">
        <v>12</v>
      </c>
      <c r="M749">
        <f>ROUND(TTrainingSource[[#This Row],[Satisfaction_Score2]],0)</f>
        <v>3</v>
      </c>
      <c r="N749">
        <v>3.4</v>
      </c>
    </row>
    <row r="750" spans="1:14" x14ac:dyDescent="0.3">
      <c r="A750" t="s">
        <v>479</v>
      </c>
      <c r="B750" t="str">
        <f>TRIM(TTrainingSource[[#This Row],[EMPloyee_ID2]])</f>
        <v>EMP10367</v>
      </c>
      <c r="C750" t="str">
        <f>IFERROR(VLOOKUP(TTrainingSource[[#This Row],[Employee_ID]],THrList[],3,FALSE),"")</f>
        <v>BROWN</v>
      </c>
      <c r="D750" t="str">
        <f>IFERROR(VLOOKUP(TTrainingSource[[#This Row],[Employee_ID]],THrList[],4,FALSE),"")</f>
        <v>Mariama</v>
      </c>
      <c r="E750" t="str">
        <f>IFERROR(VLOOKUP(TTrainingSource[[#This Row],[Employee_ID]],THrList[],10,FALSE),"")</f>
        <v>Human Resources</v>
      </c>
      <c r="F750" t="str">
        <f>TRIM(PROPER(TTrainingSource[[#This Row],[Training_Status2]]))</f>
        <v>Completed</v>
      </c>
      <c r="G750" t="s">
        <v>17</v>
      </c>
      <c r="H750" t="str">
        <f>TRIM(PROPER(TTrainingSource[[#This Row],[Training_Title2]]))</f>
        <v>Power Bi Reporting</v>
      </c>
      <c r="I750" t="s">
        <v>130</v>
      </c>
      <c r="J750" s="1">
        <v>45324</v>
      </c>
      <c r="K750" t="s">
        <v>46</v>
      </c>
      <c r="L750" s="7">
        <v>8</v>
      </c>
      <c r="M750">
        <f>ROUND(TTrainingSource[[#This Row],[Satisfaction_Score2]],0)</f>
        <v>3</v>
      </c>
      <c r="N750">
        <v>2.6</v>
      </c>
    </row>
    <row r="751" spans="1:14" x14ac:dyDescent="0.3">
      <c r="A751" t="s">
        <v>462</v>
      </c>
      <c r="B751" t="str">
        <f>TRIM(TTrainingSource[[#This Row],[EMPloyee_ID2]])</f>
        <v>EMP10368</v>
      </c>
      <c r="C751" t="str">
        <f>IFERROR(VLOOKUP(TTrainingSource[[#This Row],[Employee_ID]],THrList[],3,FALSE),"")</f>
        <v>GARCIA</v>
      </c>
      <c r="D751" t="str">
        <f>IFERROR(VLOOKUP(TTrainingSource[[#This Row],[Employee_ID]],THrList[],4,FALSE),"")</f>
        <v>Ada</v>
      </c>
      <c r="E751" t="str">
        <f>IFERROR(VLOOKUP(TTrainingSource[[#This Row],[Employee_ID]],THrList[],10,FALSE),"")</f>
        <v>Compliance</v>
      </c>
      <c r="F751" t="str">
        <f>TRIM(PROPER(TTrainingSource[[#This Row],[Training_Status2]]))</f>
        <v>Completed</v>
      </c>
      <c r="G751" t="s">
        <v>17</v>
      </c>
      <c r="H751" t="str">
        <f>TRIM(PROPER(TTrainingSource[[#This Row],[Training_Title2]]))</f>
        <v>Power Bi Reporting</v>
      </c>
      <c r="I751" t="s">
        <v>24</v>
      </c>
      <c r="J751" s="1">
        <v>45736</v>
      </c>
      <c r="K751" t="s">
        <v>32</v>
      </c>
      <c r="L751" s="7">
        <v>40</v>
      </c>
      <c r="M751">
        <f>ROUND(TTrainingSource[[#This Row],[Satisfaction_Score2]],0)</f>
        <v>4</v>
      </c>
      <c r="N751">
        <v>3.5</v>
      </c>
    </row>
    <row r="752" spans="1:14" x14ac:dyDescent="0.3">
      <c r="A752" t="s">
        <v>547</v>
      </c>
      <c r="B752" t="str">
        <f>TRIM(TTrainingSource[[#This Row],[EMPloyee_ID2]])</f>
        <v>EMP10370</v>
      </c>
      <c r="C752" t="str">
        <f>IFERROR(VLOOKUP(TTrainingSource[[#This Row],[Employee_ID]],THrList[],3,FALSE),"")</f>
        <v>CAMARA</v>
      </c>
      <c r="D752" t="str">
        <f>IFERROR(VLOOKUP(TTrainingSource[[#This Row],[Employee_ID]],THrList[],4,FALSE),"")</f>
        <v>Khalid</v>
      </c>
      <c r="E752" t="str">
        <f>IFERROR(VLOOKUP(TTrainingSource[[#This Row],[Employee_ID]],THrList[],10,FALSE),"")</f>
        <v>Compliance</v>
      </c>
      <c r="F752" t="str">
        <f>TRIM(PROPER(TTrainingSource[[#This Row],[Training_Status2]]))</f>
        <v>In Progress</v>
      </c>
      <c r="G752" t="s">
        <v>8</v>
      </c>
      <c r="H752" t="str">
        <f>TRIM(PROPER(TTrainingSource[[#This Row],[Training_Title2]]))</f>
        <v>Communication For Analysts</v>
      </c>
      <c r="I752" t="s">
        <v>28</v>
      </c>
      <c r="J752" s="1">
        <v>44602</v>
      </c>
      <c r="K752" t="s">
        <v>46</v>
      </c>
      <c r="L752" s="7">
        <v>8</v>
      </c>
      <c r="M752">
        <f>ROUND(TTrainingSource[[#This Row],[Satisfaction_Score2]],0)</f>
        <v>3</v>
      </c>
      <c r="N752">
        <v>3</v>
      </c>
    </row>
    <row r="753" spans="1:14" x14ac:dyDescent="0.3">
      <c r="A753" t="s">
        <v>547</v>
      </c>
      <c r="B753" t="str">
        <f>TRIM(TTrainingSource[[#This Row],[EMPloyee_ID2]])</f>
        <v>EMP10370</v>
      </c>
      <c r="C753" t="str">
        <f>IFERROR(VLOOKUP(TTrainingSource[[#This Row],[Employee_ID]],THrList[],3,FALSE),"")</f>
        <v>CAMARA</v>
      </c>
      <c r="D753" t="str">
        <f>IFERROR(VLOOKUP(TTrainingSource[[#This Row],[Employee_ID]],THrList[],4,FALSE),"")</f>
        <v>Khalid</v>
      </c>
      <c r="E753" t="str">
        <f>IFERROR(VLOOKUP(TTrainingSource[[#This Row],[Employee_ID]],THrList[],10,FALSE),"")</f>
        <v>Compliance</v>
      </c>
      <c r="F753" t="str">
        <f>TRIM(PROPER(TTrainingSource[[#This Row],[Training_Status2]]))</f>
        <v>In Progress</v>
      </c>
      <c r="G753" t="s">
        <v>8</v>
      </c>
      <c r="H753" t="str">
        <f>TRIM(PROPER(TTrainingSource[[#This Row],[Training_Title2]]))</f>
        <v>Business Intelligence With Tableau</v>
      </c>
      <c r="I753" t="s">
        <v>22</v>
      </c>
      <c r="J753" s="1">
        <v>45086</v>
      </c>
      <c r="K753" t="s">
        <v>12</v>
      </c>
      <c r="L753" s="7">
        <v>20</v>
      </c>
      <c r="M753">
        <f>ROUND(TTrainingSource[[#This Row],[Satisfaction_Score2]],0)</f>
        <v>3</v>
      </c>
      <c r="N753">
        <v>2.8</v>
      </c>
    </row>
    <row r="754" spans="1:14" x14ac:dyDescent="0.3">
      <c r="A754" t="s">
        <v>384</v>
      </c>
      <c r="B754" t="str">
        <f>TRIM(TTrainingSource[[#This Row],[EMPloyee_ID2]])</f>
        <v>EMP10372</v>
      </c>
      <c r="C754" t="str">
        <f>IFERROR(VLOOKUP(TTrainingSource[[#This Row],[Employee_ID]],THrList[],3,FALSE),"")</f>
        <v>SOW</v>
      </c>
      <c r="D754" t="str">
        <f>IFERROR(VLOOKUP(TTrainingSource[[#This Row],[Employee_ID]],THrList[],4,FALSE),"")</f>
        <v>Jean</v>
      </c>
      <c r="E754" t="str">
        <f>IFERROR(VLOOKUP(TTrainingSource[[#This Row],[Employee_ID]],THrList[],10,FALSE),"")</f>
        <v>Marketing</v>
      </c>
      <c r="F754" t="str">
        <f>TRIM(PROPER(TTrainingSource[[#This Row],[Training_Status2]]))</f>
        <v>In Progress</v>
      </c>
      <c r="G754" t="s">
        <v>8</v>
      </c>
      <c r="H754" t="str">
        <f>TRIM(PROPER(TTrainingSource[[#This Row],[Training_Title2]]))</f>
        <v>Data Visualization Best Practices</v>
      </c>
      <c r="I754" t="s">
        <v>20</v>
      </c>
      <c r="J754" s="1">
        <v>44837</v>
      </c>
      <c r="K754" t="s">
        <v>1072</v>
      </c>
      <c r="L754" s="7">
        <v>24</v>
      </c>
      <c r="M754">
        <f>ROUND(TTrainingSource[[#This Row],[Satisfaction_Score2]],0)</f>
        <v>4</v>
      </c>
      <c r="N754">
        <v>3.8</v>
      </c>
    </row>
    <row r="755" spans="1:14" x14ac:dyDescent="0.3">
      <c r="A755" t="s">
        <v>670</v>
      </c>
      <c r="B755" t="str">
        <f>TRIM(TTrainingSource[[#This Row],[EMPloyee_ID2]])</f>
        <v>EMP10373</v>
      </c>
      <c r="C755" t="str">
        <f>IFERROR(VLOOKUP(TTrainingSource[[#This Row],[Employee_ID]],THrList[],3,FALSE),"")</f>
        <v>MERCIER</v>
      </c>
      <c r="D755" t="str">
        <f>IFERROR(VLOOKUP(TTrainingSource[[#This Row],[Employee_ID]],THrList[],4,FALSE),"")</f>
        <v>Charlotte</v>
      </c>
      <c r="E755" t="str">
        <f>IFERROR(VLOOKUP(TTrainingSource[[#This Row],[Employee_ID]],THrList[],10,FALSE),"")</f>
        <v>Human Resources</v>
      </c>
      <c r="F755" t="str">
        <f>TRIM(PROPER(TTrainingSource[[#This Row],[Training_Status2]]))</f>
        <v>In Progress</v>
      </c>
      <c r="G755" t="s">
        <v>67</v>
      </c>
      <c r="H755" t="str">
        <f>TRIM(PROPER(TTrainingSource[[#This Row],[Training_Title2]]))</f>
        <v>Advanced Excel For Business</v>
      </c>
      <c r="I755" t="s">
        <v>52</v>
      </c>
      <c r="J755" s="1">
        <v>44964</v>
      </c>
      <c r="K755" t="s">
        <v>42</v>
      </c>
      <c r="L755" s="7">
        <v>8</v>
      </c>
      <c r="M755">
        <f>ROUND(TTrainingSource[[#This Row],[Satisfaction_Score2]],0)</f>
        <v>5</v>
      </c>
      <c r="N755">
        <v>5</v>
      </c>
    </row>
    <row r="756" spans="1:14" x14ac:dyDescent="0.3">
      <c r="A756" t="s">
        <v>670</v>
      </c>
      <c r="B756" t="str">
        <f>TRIM(TTrainingSource[[#This Row],[EMPloyee_ID2]])</f>
        <v>EMP10373</v>
      </c>
      <c r="C756" t="str">
        <f>IFERROR(VLOOKUP(TTrainingSource[[#This Row],[Employee_ID]],THrList[],3,FALSE),"")</f>
        <v>MERCIER</v>
      </c>
      <c r="D756" t="str">
        <f>IFERROR(VLOOKUP(TTrainingSource[[#This Row],[Employee_ID]],THrList[],4,FALSE),"")</f>
        <v>Charlotte</v>
      </c>
      <c r="E756" t="str">
        <f>IFERROR(VLOOKUP(TTrainingSource[[#This Row],[Employee_ID]],THrList[],10,FALSE),"")</f>
        <v>Human Resources</v>
      </c>
      <c r="F756" t="str">
        <f>TRIM(PROPER(TTrainingSource[[#This Row],[Training_Status2]]))</f>
        <v>Completed</v>
      </c>
      <c r="G756" t="s">
        <v>17</v>
      </c>
      <c r="H756" t="str">
        <f>TRIM(PROPER(TTrainingSource[[#This Row],[Training_Title2]]))</f>
        <v>Advanced Excel For Business</v>
      </c>
      <c r="I756" t="s">
        <v>52</v>
      </c>
      <c r="J756" s="1">
        <v>44747</v>
      </c>
      <c r="K756" t="s">
        <v>15</v>
      </c>
      <c r="L756" s="7">
        <v>32</v>
      </c>
      <c r="M756">
        <f>ROUND(TTrainingSource[[#This Row],[Satisfaction_Score2]],0)</f>
        <v>4</v>
      </c>
      <c r="N756">
        <v>4</v>
      </c>
    </row>
    <row r="757" spans="1:14" x14ac:dyDescent="0.3">
      <c r="A757" t="s">
        <v>495</v>
      </c>
      <c r="B757" t="str">
        <f>TRIM(TTrainingSource[[#This Row],[EMPloyee_ID2]])</f>
        <v>EMP10374</v>
      </c>
      <c r="C757" t="str">
        <f>IFERROR(VLOOKUP(TTrainingSource[[#This Row],[Employee_ID]],THrList[],3,FALSE),"")</f>
        <v>JOHNSON</v>
      </c>
      <c r="D757" t="str">
        <f>IFERROR(VLOOKUP(TTrainingSource[[#This Row],[Employee_ID]],THrList[],4,FALSE),"")</f>
        <v>Hassan</v>
      </c>
      <c r="E757" t="str">
        <f>IFERROR(VLOOKUP(TTrainingSource[[#This Row],[Employee_ID]],THrList[],10,FALSE),"")</f>
        <v>Procurement</v>
      </c>
      <c r="F757" t="str">
        <f>TRIM(PROPER(TTrainingSource[[#This Row],[Training_Status2]]))</f>
        <v>Completed</v>
      </c>
      <c r="G757" t="s">
        <v>17</v>
      </c>
      <c r="H757" t="str">
        <f>TRIM(PROPER(TTrainingSource[[#This Row],[Training_Title2]]))</f>
        <v>Financial Modeling Basics</v>
      </c>
      <c r="I757" t="s">
        <v>94</v>
      </c>
      <c r="J757" s="1">
        <v>45508</v>
      </c>
      <c r="K757" t="s">
        <v>46</v>
      </c>
      <c r="L757" s="7">
        <v>16</v>
      </c>
      <c r="M757">
        <f>ROUND(TTrainingSource[[#This Row],[Satisfaction_Score2]],0)</f>
        <v>3</v>
      </c>
      <c r="N757">
        <v>3.1</v>
      </c>
    </row>
    <row r="758" spans="1:14" x14ac:dyDescent="0.3">
      <c r="A758" t="s">
        <v>495</v>
      </c>
      <c r="B758" t="str">
        <f>TRIM(TTrainingSource[[#This Row],[EMPloyee_ID2]])</f>
        <v>EMP10374</v>
      </c>
      <c r="C758" t="str">
        <f>IFERROR(VLOOKUP(TTrainingSource[[#This Row],[Employee_ID]],THrList[],3,FALSE),"")</f>
        <v>JOHNSON</v>
      </c>
      <c r="D758" t="str">
        <f>IFERROR(VLOOKUP(TTrainingSource[[#This Row],[Employee_ID]],THrList[],4,FALSE),"")</f>
        <v>Hassan</v>
      </c>
      <c r="E758" t="str">
        <f>IFERROR(VLOOKUP(TTrainingSource[[#This Row],[Employee_ID]],THrList[],10,FALSE),"")</f>
        <v>Procurement</v>
      </c>
      <c r="F758" t="str">
        <f>TRIM(PROPER(TTrainingSource[[#This Row],[Training_Status2]]))</f>
        <v>Completed</v>
      </c>
      <c r="G758" t="s">
        <v>17</v>
      </c>
      <c r="H758" t="str">
        <f>TRIM(PROPER(TTrainingSource[[#This Row],[Training_Title2]]))</f>
        <v>Power Bi Reporting</v>
      </c>
      <c r="I758" t="s">
        <v>24</v>
      </c>
      <c r="J758" s="1">
        <v>45560</v>
      </c>
      <c r="K758" t="s">
        <v>46</v>
      </c>
      <c r="L758" s="7">
        <v>8</v>
      </c>
      <c r="M758">
        <f>ROUND(TTrainingSource[[#This Row],[Satisfaction_Score2]],0)</f>
        <v>4</v>
      </c>
      <c r="N758">
        <v>4.2</v>
      </c>
    </row>
    <row r="759" spans="1:14" x14ac:dyDescent="0.3">
      <c r="A759" t="s">
        <v>764</v>
      </c>
      <c r="B759" t="str">
        <f>TRIM(TTrainingSource[[#This Row],[EMPloyee_ID2]])</f>
        <v>EMP10374</v>
      </c>
      <c r="C759" t="str">
        <f>IFERROR(VLOOKUP(TTrainingSource[[#This Row],[Employee_ID]],THrList[],3,FALSE),"")</f>
        <v>JOHNSON</v>
      </c>
      <c r="D759" t="str">
        <f>IFERROR(VLOOKUP(TTrainingSource[[#This Row],[Employee_ID]],THrList[],4,FALSE),"")</f>
        <v>Hassan</v>
      </c>
      <c r="E759" t="str">
        <f>IFERROR(VLOOKUP(TTrainingSource[[#This Row],[Employee_ID]],THrList[],10,FALSE),"")</f>
        <v>Procurement</v>
      </c>
      <c r="F759" t="str">
        <f>TRIM(PROPER(TTrainingSource[[#This Row],[Training_Status2]]))</f>
        <v>Planned</v>
      </c>
      <c r="G759" t="s">
        <v>10</v>
      </c>
      <c r="H759" t="str">
        <f>TRIM(PROPER(TTrainingSource[[#This Row],[Training_Title2]]))</f>
        <v>Financial Modeling Basics</v>
      </c>
      <c r="I759" t="s">
        <v>38</v>
      </c>
      <c r="J759" s="1">
        <v>45652</v>
      </c>
      <c r="K759" t="s">
        <v>29</v>
      </c>
      <c r="L759" s="7">
        <v>32</v>
      </c>
      <c r="M759">
        <f>ROUND(TTrainingSource[[#This Row],[Satisfaction_Score2]],0)</f>
        <v>4</v>
      </c>
      <c r="N759">
        <v>3.9</v>
      </c>
    </row>
    <row r="760" spans="1:14" x14ac:dyDescent="0.3">
      <c r="A760" t="s">
        <v>427</v>
      </c>
      <c r="B760" t="str">
        <f>TRIM(TTrainingSource[[#This Row],[EMPloyee_ID2]])</f>
        <v>EMP10375</v>
      </c>
      <c r="C760" t="str">
        <f>IFERROR(VLOOKUP(TTrainingSource[[#This Row],[Employee_ID]],THrList[],3,FALSE),"")</f>
        <v>PATEL</v>
      </c>
      <c r="D760" t="str">
        <f>IFERROR(VLOOKUP(TTrainingSource[[#This Row],[Employee_ID]],THrList[],4,FALSE),"")</f>
        <v>Mariama</v>
      </c>
      <c r="E760" t="str">
        <f>IFERROR(VLOOKUP(TTrainingSource[[#This Row],[Employee_ID]],THrList[],10,FALSE),"")</f>
        <v>Operations</v>
      </c>
      <c r="F760" t="str">
        <f>TRIM(PROPER(TTrainingSource[[#This Row],[Training_Status2]]))</f>
        <v>In Progress</v>
      </c>
      <c r="G760" t="s">
        <v>8</v>
      </c>
      <c r="H760" t="str">
        <f>TRIM(PROPER(TTrainingSource[[#This Row],[Training_Title2]]))</f>
        <v>Project Management Essentials</v>
      </c>
      <c r="I760" t="s">
        <v>14</v>
      </c>
      <c r="J760" s="1">
        <v>45089</v>
      </c>
      <c r="K760" t="s">
        <v>29</v>
      </c>
      <c r="L760" s="7">
        <v>8</v>
      </c>
      <c r="M760">
        <f>ROUND(TTrainingSource[[#This Row],[Satisfaction_Score2]],0)</f>
        <v>4</v>
      </c>
      <c r="N760">
        <v>3.7</v>
      </c>
    </row>
    <row r="761" spans="1:14" x14ac:dyDescent="0.3">
      <c r="A761" t="s">
        <v>427</v>
      </c>
      <c r="B761" t="str">
        <f>TRIM(TTrainingSource[[#This Row],[EMPloyee_ID2]])</f>
        <v>EMP10375</v>
      </c>
      <c r="C761" t="str">
        <f>IFERROR(VLOOKUP(TTrainingSource[[#This Row],[Employee_ID]],THrList[],3,FALSE),"")</f>
        <v>PATEL</v>
      </c>
      <c r="D761" t="str">
        <f>IFERROR(VLOOKUP(TTrainingSource[[#This Row],[Employee_ID]],THrList[],4,FALSE),"")</f>
        <v>Mariama</v>
      </c>
      <c r="E761" t="str">
        <f>IFERROR(VLOOKUP(TTrainingSource[[#This Row],[Employee_ID]],THrList[],10,FALSE),"")</f>
        <v>Operations</v>
      </c>
      <c r="F761" t="str">
        <f>TRIM(PROPER(TTrainingSource[[#This Row],[Training_Status2]]))</f>
        <v>Completed</v>
      </c>
      <c r="G761" t="s">
        <v>17</v>
      </c>
      <c r="H761" t="str">
        <f>TRIM(PROPER(TTrainingSource[[#This Row],[Training_Title2]]))</f>
        <v>Project Management Essentials</v>
      </c>
      <c r="I761" t="s">
        <v>14</v>
      </c>
      <c r="J761" s="1">
        <v>45489</v>
      </c>
      <c r="K761" t="s">
        <v>132</v>
      </c>
      <c r="L761" s="7">
        <v>6</v>
      </c>
      <c r="M761">
        <f>ROUND(TTrainingSource[[#This Row],[Satisfaction_Score2]],0)</f>
        <v>3</v>
      </c>
      <c r="N761">
        <v>3.2</v>
      </c>
    </row>
    <row r="762" spans="1:14" x14ac:dyDescent="0.3">
      <c r="A762" t="s">
        <v>427</v>
      </c>
      <c r="B762" t="str">
        <f>TRIM(TTrainingSource[[#This Row],[EMPloyee_ID2]])</f>
        <v>EMP10375</v>
      </c>
      <c r="C762" t="str">
        <f>IFERROR(VLOOKUP(TTrainingSource[[#This Row],[Employee_ID]],THrList[],3,FALSE),"")</f>
        <v>PATEL</v>
      </c>
      <c r="D762" t="str">
        <f>IFERROR(VLOOKUP(TTrainingSource[[#This Row],[Employee_ID]],THrList[],4,FALSE),"")</f>
        <v>Mariama</v>
      </c>
      <c r="E762" t="str">
        <f>IFERROR(VLOOKUP(TTrainingSource[[#This Row],[Employee_ID]],THrList[],10,FALSE),"")</f>
        <v>Operations</v>
      </c>
      <c r="F762" t="str">
        <f>TRIM(PROPER(TTrainingSource[[#This Row],[Training_Status2]]))</f>
        <v>Completed</v>
      </c>
      <c r="G762" t="s">
        <v>17</v>
      </c>
      <c r="H762" t="str">
        <f>TRIM(PROPER(TTrainingSource[[#This Row],[Training_Title2]]))</f>
        <v>Introduction To Python For Data</v>
      </c>
      <c r="I762" t="s">
        <v>62</v>
      </c>
      <c r="J762" s="1">
        <v>45552</v>
      </c>
      <c r="K762" t="s">
        <v>42</v>
      </c>
      <c r="L762" s="7">
        <v>12</v>
      </c>
      <c r="M762">
        <f>ROUND(TTrainingSource[[#This Row],[Satisfaction_Score2]],0)</f>
        <v>4</v>
      </c>
      <c r="N762">
        <v>4</v>
      </c>
    </row>
    <row r="763" spans="1:14" x14ac:dyDescent="0.3">
      <c r="A763" t="s">
        <v>427</v>
      </c>
      <c r="B763" t="str">
        <f>TRIM(TTrainingSource[[#This Row],[EMPloyee_ID2]])</f>
        <v>EMP10375</v>
      </c>
      <c r="C763" t="str">
        <f>IFERROR(VLOOKUP(TTrainingSource[[#This Row],[Employee_ID]],THrList[],3,FALSE),"")</f>
        <v>PATEL</v>
      </c>
      <c r="D763" t="str">
        <f>IFERROR(VLOOKUP(TTrainingSource[[#This Row],[Employee_ID]],THrList[],4,FALSE),"")</f>
        <v>Mariama</v>
      </c>
      <c r="E763" t="str">
        <f>IFERROR(VLOOKUP(TTrainingSource[[#This Row],[Employee_ID]],THrList[],10,FALSE),"")</f>
        <v>Operations</v>
      </c>
      <c r="F763" t="str">
        <f>TRIM(PROPER(TTrainingSource[[#This Row],[Training_Status2]]))</f>
        <v>Completed</v>
      </c>
      <c r="G763" t="s">
        <v>17</v>
      </c>
      <c r="H763" t="str">
        <f>TRIM(PROPER(TTrainingSource[[#This Row],[Training_Title2]]))</f>
        <v>Digital Marketing Strategy</v>
      </c>
      <c r="I763" t="s">
        <v>43</v>
      </c>
      <c r="J763" s="1">
        <v>44968</v>
      </c>
      <c r="K763" t="s">
        <v>32</v>
      </c>
      <c r="L763" s="7">
        <v>24</v>
      </c>
      <c r="M763">
        <f>ROUND(TTrainingSource[[#This Row],[Satisfaction_Score2]],0)</f>
        <v>5</v>
      </c>
      <c r="N763">
        <v>4.9000000000000004</v>
      </c>
    </row>
    <row r="764" spans="1:14" x14ac:dyDescent="0.3">
      <c r="A764" t="s">
        <v>537</v>
      </c>
      <c r="B764" t="str">
        <f>TRIM(TTrainingSource[[#This Row],[EMPloyee_ID2]])</f>
        <v>EMP10376</v>
      </c>
      <c r="C764" t="str">
        <f>IFERROR(VLOOKUP(TTrainingSource[[#This Row],[Employee_ID]],THrList[],3,FALSE),"")</f>
        <v>LOPEZ</v>
      </c>
      <c r="D764" t="str">
        <f>IFERROR(VLOOKUP(TTrainingSource[[#This Row],[Employee_ID]],THrList[],4,FALSE),"")</f>
        <v>Marie</v>
      </c>
      <c r="E764" t="str">
        <f>IFERROR(VLOOKUP(TTrainingSource[[#This Row],[Employee_ID]],THrList[],10,FALSE),"")</f>
        <v>Procurement</v>
      </c>
      <c r="F764" t="str">
        <f>TRIM(PROPER(TTrainingSource[[#This Row],[Training_Status2]]))</f>
        <v>Planned</v>
      </c>
      <c r="G764" t="s">
        <v>19</v>
      </c>
      <c r="H764" t="str">
        <f>TRIM(PROPER(TTrainingSource[[#This Row],[Training_Title2]]))</f>
        <v>Project Management Essentials</v>
      </c>
      <c r="I764" t="s">
        <v>14</v>
      </c>
      <c r="J764" s="1">
        <v>45172</v>
      </c>
      <c r="K764" t="s">
        <v>15</v>
      </c>
      <c r="L764" s="7">
        <v>4</v>
      </c>
      <c r="M764">
        <f>ROUND(TTrainingSource[[#This Row],[Satisfaction_Score2]],0)</f>
        <v>5</v>
      </c>
      <c r="N764">
        <v>5</v>
      </c>
    </row>
    <row r="765" spans="1:14" x14ac:dyDescent="0.3">
      <c r="A765" t="s">
        <v>537</v>
      </c>
      <c r="B765" t="str">
        <f>TRIM(TTrainingSource[[#This Row],[EMPloyee_ID2]])</f>
        <v>EMP10376</v>
      </c>
      <c r="C765" t="str">
        <f>IFERROR(VLOOKUP(TTrainingSource[[#This Row],[Employee_ID]],THrList[],3,FALSE),"")</f>
        <v>LOPEZ</v>
      </c>
      <c r="D765" t="str">
        <f>IFERROR(VLOOKUP(TTrainingSource[[#This Row],[Employee_ID]],THrList[],4,FALSE),"")</f>
        <v>Marie</v>
      </c>
      <c r="E765" t="str">
        <f>IFERROR(VLOOKUP(TTrainingSource[[#This Row],[Employee_ID]],THrList[],10,FALSE),"")</f>
        <v>Procurement</v>
      </c>
      <c r="F765" t="str">
        <f>TRIM(PROPER(TTrainingSource[[#This Row],[Training_Status2]]))</f>
        <v>Completed</v>
      </c>
      <c r="G765" t="s">
        <v>17</v>
      </c>
      <c r="H765" t="str">
        <f>TRIM(PROPER(TTrainingSource[[#This Row],[Training_Title2]]))</f>
        <v>Data Analysis Fundamentals</v>
      </c>
      <c r="I765" t="s">
        <v>9</v>
      </c>
      <c r="J765" s="1">
        <v>45851</v>
      </c>
      <c r="K765" t="s">
        <v>44</v>
      </c>
      <c r="L765" s="7">
        <v>24</v>
      </c>
      <c r="M765">
        <f>ROUND(TTrainingSource[[#This Row],[Satisfaction_Score2]],0)</f>
        <v>3</v>
      </c>
      <c r="N765">
        <v>3.4</v>
      </c>
    </row>
    <row r="766" spans="1:14" x14ac:dyDescent="0.3">
      <c r="A766" t="s">
        <v>533</v>
      </c>
      <c r="B766" t="str">
        <f>TRIM(TTrainingSource[[#This Row],[EMPloyee_ID2]])</f>
        <v>EMP10377</v>
      </c>
      <c r="C766" t="str">
        <f>IFERROR(VLOOKUP(TTrainingSource[[#This Row],[Employee_ID]],THrList[],3,FALSE),"")</f>
        <v>MOREAU</v>
      </c>
      <c r="D766" t="str">
        <f>IFERROR(VLOOKUP(TTrainingSource[[#This Row],[Employee_ID]],THrList[],4,FALSE),"")</f>
        <v>Noah</v>
      </c>
      <c r="E766" t="str">
        <f>IFERROR(VLOOKUP(TTrainingSource[[#This Row],[Employee_ID]],THrList[],10,FALSE),"")</f>
        <v>Finance</v>
      </c>
      <c r="F766" t="str">
        <f>TRIM(PROPER(TTrainingSource[[#This Row],[Training_Status2]]))</f>
        <v>Completed</v>
      </c>
      <c r="G766" t="s">
        <v>17</v>
      </c>
      <c r="H766" t="str">
        <f>TRIM(PROPER(TTrainingSource[[#This Row],[Training_Title2]]))</f>
        <v>Digital Marketing Strategy</v>
      </c>
      <c r="I766" t="s">
        <v>43</v>
      </c>
      <c r="J766" s="1">
        <v>45816</v>
      </c>
      <c r="K766" t="s">
        <v>39</v>
      </c>
      <c r="L766" s="7">
        <v>8</v>
      </c>
      <c r="M766">
        <f>ROUND(TTrainingSource[[#This Row],[Satisfaction_Score2]],0)</f>
        <v>3</v>
      </c>
      <c r="N766">
        <v>2.9</v>
      </c>
    </row>
    <row r="767" spans="1:14" x14ac:dyDescent="0.3">
      <c r="A767" t="s">
        <v>194</v>
      </c>
      <c r="B767" t="str">
        <f>TRIM(TTrainingSource[[#This Row],[EMPloyee_ID2]])</f>
        <v>EMP10378</v>
      </c>
      <c r="C767" t="str">
        <f>IFERROR(VLOOKUP(TTrainingSource[[#This Row],[Employee_ID]],THrList[],3,FALSE),"")</f>
        <v>JONES</v>
      </c>
      <c r="D767" t="str">
        <f>IFERROR(VLOOKUP(TTrainingSource[[#This Row],[Employee_ID]],THrList[],4,FALSE),"")</f>
        <v>Emily</v>
      </c>
      <c r="E767" t="str">
        <f>IFERROR(VLOOKUP(TTrainingSource[[#This Row],[Employee_ID]],THrList[],10,FALSE),"")</f>
        <v>Operations</v>
      </c>
      <c r="F767" t="str">
        <f>TRIM(PROPER(TTrainingSource[[#This Row],[Training_Status2]]))</f>
        <v>In Progress</v>
      </c>
      <c r="G767" t="s">
        <v>8</v>
      </c>
      <c r="H767" t="str">
        <f>TRIM(PROPER(TTrainingSource[[#This Row],[Training_Title2]]))</f>
        <v>Power Bi Reporting</v>
      </c>
      <c r="I767" t="s">
        <v>195</v>
      </c>
      <c r="J767" s="1">
        <v>44716</v>
      </c>
      <c r="K767" t="s">
        <v>39</v>
      </c>
      <c r="L767" s="7">
        <v>20</v>
      </c>
      <c r="M767">
        <f>ROUND(TTrainingSource[[#This Row],[Satisfaction_Score2]],0)</f>
        <v>4</v>
      </c>
      <c r="N767">
        <v>4</v>
      </c>
    </row>
    <row r="768" spans="1:14" x14ac:dyDescent="0.3">
      <c r="A768" t="s">
        <v>194</v>
      </c>
      <c r="B768" t="str">
        <f>TRIM(TTrainingSource[[#This Row],[EMPloyee_ID2]])</f>
        <v>EMP10378</v>
      </c>
      <c r="C768" t="str">
        <f>IFERROR(VLOOKUP(TTrainingSource[[#This Row],[Employee_ID]],THrList[],3,FALSE),"")</f>
        <v>JONES</v>
      </c>
      <c r="D768" t="str">
        <f>IFERROR(VLOOKUP(TTrainingSource[[#This Row],[Employee_ID]],THrList[],4,FALSE),"")</f>
        <v>Emily</v>
      </c>
      <c r="E768" t="str">
        <f>IFERROR(VLOOKUP(TTrainingSource[[#This Row],[Employee_ID]],THrList[],10,FALSE),"")</f>
        <v>Operations</v>
      </c>
      <c r="F768" t="str">
        <f>TRIM(PROPER(TTrainingSource[[#This Row],[Training_Status2]]))</f>
        <v>In Progress</v>
      </c>
      <c r="G768" t="s">
        <v>8</v>
      </c>
      <c r="H768" t="str">
        <f>TRIM(PROPER(TTrainingSource[[#This Row],[Training_Title2]]))</f>
        <v>Financial Modeling Basics</v>
      </c>
      <c r="I768" t="s">
        <v>38</v>
      </c>
      <c r="J768" s="1">
        <v>45765</v>
      </c>
      <c r="K768" t="s">
        <v>42</v>
      </c>
      <c r="L768" s="7">
        <v>4</v>
      </c>
      <c r="M768">
        <f>ROUND(TTrainingSource[[#This Row],[Satisfaction_Score2]],0)</f>
        <v>5</v>
      </c>
      <c r="N768">
        <v>4.9000000000000004</v>
      </c>
    </row>
    <row r="769" spans="1:14" x14ac:dyDescent="0.3">
      <c r="A769" t="s">
        <v>117</v>
      </c>
      <c r="B769" t="str">
        <f>TRIM(TTrainingSource[[#This Row],[EMPloyee_ID2]])</f>
        <v>EMP10379</v>
      </c>
      <c r="C769" t="str">
        <f>IFERROR(VLOOKUP(TTrainingSource[[#This Row],[Employee_ID]],THrList[],3,FALSE),"")</f>
        <v>JONES</v>
      </c>
      <c r="D769" t="str">
        <f>IFERROR(VLOOKUP(TTrainingSource[[#This Row],[Employee_ID]],THrList[],4,FALSE),"")</f>
        <v>Nina</v>
      </c>
      <c r="E769" t="str">
        <f>IFERROR(VLOOKUP(TTrainingSource[[#This Row],[Employee_ID]],THrList[],10,FALSE),"")</f>
        <v>Sales</v>
      </c>
      <c r="F769" t="str">
        <f>TRIM(PROPER(TTrainingSource[[#This Row],[Training_Status2]]))</f>
        <v>In Progress</v>
      </c>
      <c r="G769" t="s">
        <v>8</v>
      </c>
      <c r="H769" t="str">
        <f>TRIM(PROPER(TTrainingSource[[#This Row],[Training_Title2]]))</f>
        <v>Communication For Analysts</v>
      </c>
      <c r="I769" t="s">
        <v>106</v>
      </c>
      <c r="J769" s="1">
        <v>45615</v>
      </c>
      <c r="K769" t="s">
        <v>46</v>
      </c>
      <c r="L769" s="7">
        <v>40</v>
      </c>
      <c r="M769">
        <f>ROUND(TTrainingSource[[#This Row],[Satisfaction_Score2]],0)</f>
        <v>4</v>
      </c>
      <c r="N769">
        <v>3.8</v>
      </c>
    </row>
    <row r="770" spans="1:14" x14ac:dyDescent="0.3">
      <c r="A770" t="s">
        <v>117</v>
      </c>
      <c r="B770" t="str">
        <f>TRIM(TTrainingSource[[#This Row],[EMPloyee_ID2]])</f>
        <v>EMP10379</v>
      </c>
      <c r="C770" t="str">
        <f>IFERROR(VLOOKUP(TTrainingSource[[#This Row],[Employee_ID]],THrList[],3,FALSE),"")</f>
        <v>JONES</v>
      </c>
      <c r="D770" t="str">
        <f>IFERROR(VLOOKUP(TTrainingSource[[#This Row],[Employee_ID]],THrList[],4,FALSE),"")</f>
        <v>Nina</v>
      </c>
      <c r="E770" t="str">
        <f>IFERROR(VLOOKUP(TTrainingSource[[#This Row],[Employee_ID]],THrList[],10,FALSE),"")</f>
        <v>Sales</v>
      </c>
      <c r="F770" t="str">
        <f>TRIM(PROPER(TTrainingSource[[#This Row],[Training_Status2]]))</f>
        <v>Completed</v>
      </c>
      <c r="G770" t="s">
        <v>69</v>
      </c>
      <c r="H770" t="str">
        <f>TRIM(PROPER(TTrainingSource[[#This Row],[Training_Title2]]))</f>
        <v>Advanced Excel For Business</v>
      </c>
      <c r="I770" t="s">
        <v>52</v>
      </c>
      <c r="J770" s="1">
        <v>45417</v>
      </c>
      <c r="K770" t="s">
        <v>132</v>
      </c>
      <c r="L770" s="7">
        <v>8</v>
      </c>
      <c r="M770">
        <f>ROUND(TTrainingSource[[#This Row],[Satisfaction_Score2]],0)</f>
        <v>4</v>
      </c>
      <c r="N770">
        <v>3.6</v>
      </c>
    </row>
    <row r="771" spans="1:14" x14ac:dyDescent="0.3">
      <c r="A771" t="s">
        <v>49</v>
      </c>
      <c r="B771" t="str">
        <f>TRIM(TTrainingSource[[#This Row],[EMPloyee_ID2]])</f>
        <v>EMP10380</v>
      </c>
      <c r="C771" t="str">
        <f>IFERROR(VLOOKUP(TTrainingSource[[#This Row],[Employee_ID]],THrList[],3,FALSE),"")</f>
        <v>WILSON</v>
      </c>
      <c r="D771" t="str">
        <f>IFERROR(VLOOKUP(TTrainingSource[[#This Row],[Employee_ID]],THrList[],4,FALSE),"")</f>
        <v>Sophie</v>
      </c>
      <c r="E771" t="str">
        <f>IFERROR(VLOOKUP(TTrainingSource[[#This Row],[Employee_ID]],THrList[],10,FALSE),"")</f>
        <v>Customer Support</v>
      </c>
      <c r="F771" t="str">
        <f>TRIM(PROPER(TTrainingSource[[#This Row],[Training_Status2]]))</f>
        <v>Completed</v>
      </c>
      <c r="G771" t="s">
        <v>17</v>
      </c>
      <c r="H771" t="str">
        <f>TRIM(PROPER(TTrainingSource[[#This Row],[Training_Title2]]))</f>
        <v>Customer Data Analysis</v>
      </c>
      <c r="I771" t="s">
        <v>50</v>
      </c>
      <c r="J771" s="1">
        <v>45492</v>
      </c>
      <c r="K771" t="s">
        <v>39</v>
      </c>
      <c r="L771" s="7">
        <v>4</v>
      </c>
      <c r="M771">
        <f>ROUND(TTrainingSource[[#This Row],[Satisfaction_Score2]],0)</f>
        <v>3</v>
      </c>
      <c r="N771">
        <v>3</v>
      </c>
    </row>
    <row r="772" spans="1:14" x14ac:dyDescent="0.3">
      <c r="A772" t="s">
        <v>49</v>
      </c>
      <c r="B772" t="str">
        <f>TRIM(TTrainingSource[[#This Row],[EMPloyee_ID2]])</f>
        <v>EMP10380</v>
      </c>
      <c r="C772" t="str">
        <f>IFERROR(VLOOKUP(TTrainingSource[[#This Row],[Employee_ID]],THrList[],3,FALSE),"")</f>
        <v>WILSON</v>
      </c>
      <c r="D772" t="str">
        <f>IFERROR(VLOOKUP(TTrainingSource[[#This Row],[Employee_ID]],THrList[],4,FALSE),"")</f>
        <v>Sophie</v>
      </c>
      <c r="E772" t="str">
        <f>IFERROR(VLOOKUP(TTrainingSource[[#This Row],[Employee_ID]],THrList[],10,FALSE),"")</f>
        <v>Customer Support</v>
      </c>
      <c r="F772" t="str">
        <f>TRIM(PROPER(TTrainingSource[[#This Row],[Training_Status2]]))</f>
        <v>Completed</v>
      </c>
      <c r="G772" t="s">
        <v>17</v>
      </c>
      <c r="H772" t="str">
        <f>TRIM(PROPER(TTrainingSource[[#This Row],[Training_Title2]]))</f>
        <v>Data Visualization Best Practices</v>
      </c>
      <c r="I772" t="s">
        <v>180</v>
      </c>
      <c r="J772" s="1">
        <v>44971</v>
      </c>
      <c r="K772" t="s">
        <v>46</v>
      </c>
      <c r="L772" s="7">
        <v>12</v>
      </c>
      <c r="M772">
        <f>ROUND(TTrainingSource[[#This Row],[Satisfaction_Score2]],0)</f>
        <v>4</v>
      </c>
      <c r="N772">
        <v>3.8</v>
      </c>
    </row>
    <row r="773" spans="1:14" x14ac:dyDescent="0.3">
      <c r="A773" t="s">
        <v>66</v>
      </c>
      <c r="B773" t="str">
        <f>TRIM(TTrainingSource[[#This Row],[EMPloyee_ID2]])</f>
        <v>EMP10381</v>
      </c>
      <c r="C773" t="str">
        <f>IFERROR(VLOOKUP(TTrainingSource[[#This Row],[Employee_ID]],THrList[],3,FALSE),"")</f>
        <v>GARCIA</v>
      </c>
      <c r="D773" t="str">
        <f>IFERROR(VLOOKUP(TTrainingSource[[#This Row],[Employee_ID]],THrList[],4,FALSE),"")</f>
        <v>Khalid</v>
      </c>
      <c r="E773" t="str">
        <f>IFERROR(VLOOKUP(TTrainingSource[[#This Row],[Employee_ID]],THrList[],10,FALSE),"")</f>
        <v>Operations</v>
      </c>
      <c r="F773" t="str">
        <f>TRIM(PROPER(TTrainingSource[[#This Row],[Training_Status2]]))</f>
        <v>Completed</v>
      </c>
      <c r="G773" t="s">
        <v>17</v>
      </c>
      <c r="H773" t="str">
        <f>TRIM(PROPER(TTrainingSource[[#This Row],[Training_Title2]]))</f>
        <v>Data Analysis Fundamentals</v>
      </c>
      <c r="I773" t="s">
        <v>9</v>
      </c>
      <c r="J773" s="1">
        <v>45363</v>
      </c>
      <c r="K773" t="s">
        <v>32</v>
      </c>
      <c r="L773" s="7">
        <v>16</v>
      </c>
      <c r="M773">
        <f>ROUND(TTrainingSource[[#This Row],[Satisfaction_Score2]],0)</f>
        <v>5</v>
      </c>
      <c r="N773">
        <v>4.7</v>
      </c>
    </row>
    <row r="774" spans="1:14" x14ac:dyDescent="0.3">
      <c r="A774" t="s">
        <v>559</v>
      </c>
      <c r="B774" t="str">
        <f>TRIM(TTrainingSource[[#This Row],[EMPloyee_ID2]])</f>
        <v>EMP10381</v>
      </c>
      <c r="C774" t="str">
        <f>IFERROR(VLOOKUP(TTrainingSource[[#This Row],[Employee_ID]],THrList[],3,FALSE),"")</f>
        <v>GARCIA</v>
      </c>
      <c r="D774" t="str">
        <f>IFERROR(VLOOKUP(TTrainingSource[[#This Row],[Employee_ID]],THrList[],4,FALSE),"")</f>
        <v>Khalid</v>
      </c>
      <c r="E774" t="str">
        <f>IFERROR(VLOOKUP(TTrainingSource[[#This Row],[Employee_ID]],THrList[],10,FALSE),"")</f>
        <v>Operations</v>
      </c>
      <c r="F774" t="str">
        <f>TRIM(PROPER(TTrainingSource[[#This Row],[Training_Status2]]))</f>
        <v>Completed</v>
      </c>
      <c r="G774" t="s">
        <v>69</v>
      </c>
      <c r="H774" t="str">
        <f>TRIM(PROPER(TTrainingSource[[#This Row],[Training_Title2]]))</f>
        <v>Advanced Excel For Business</v>
      </c>
      <c r="I774" t="s">
        <v>52</v>
      </c>
      <c r="J774" s="1">
        <v>45083</v>
      </c>
      <c r="K774" t="s">
        <v>46</v>
      </c>
      <c r="L774" s="7">
        <v>4</v>
      </c>
      <c r="M774">
        <f>ROUND(TTrainingSource[[#This Row],[Satisfaction_Score2]],0)</f>
        <v>3</v>
      </c>
      <c r="N774">
        <v>3.1</v>
      </c>
    </row>
    <row r="775" spans="1:14" x14ac:dyDescent="0.3">
      <c r="A775" t="s">
        <v>559</v>
      </c>
      <c r="B775" t="str">
        <f>TRIM(TTrainingSource[[#This Row],[EMPloyee_ID2]])</f>
        <v>EMP10381</v>
      </c>
      <c r="C775" t="str">
        <f>IFERROR(VLOOKUP(TTrainingSource[[#This Row],[Employee_ID]],THrList[],3,FALSE),"")</f>
        <v>GARCIA</v>
      </c>
      <c r="D775" t="str">
        <f>IFERROR(VLOOKUP(TTrainingSource[[#This Row],[Employee_ID]],THrList[],4,FALSE),"")</f>
        <v>Khalid</v>
      </c>
      <c r="E775" t="str">
        <f>IFERROR(VLOOKUP(TTrainingSource[[#This Row],[Employee_ID]],THrList[],10,FALSE),"")</f>
        <v>Operations</v>
      </c>
      <c r="F775" t="str">
        <f>TRIM(PROPER(TTrainingSource[[#This Row],[Training_Status2]]))</f>
        <v>In Progress</v>
      </c>
      <c r="G775" t="s">
        <v>8</v>
      </c>
      <c r="H775" t="str">
        <f>TRIM(PROPER(TTrainingSource[[#This Row],[Training_Title2]]))</f>
        <v>Sql For Data Analytics</v>
      </c>
      <c r="I775" t="s">
        <v>26</v>
      </c>
      <c r="J775" s="1">
        <v>45152</v>
      </c>
      <c r="K775" t="s">
        <v>44</v>
      </c>
      <c r="L775" s="7">
        <v>0</v>
      </c>
      <c r="M775">
        <f>ROUND(TTrainingSource[[#This Row],[Satisfaction_Score2]],0)</f>
        <v>3</v>
      </c>
      <c r="N775">
        <v>2.8</v>
      </c>
    </row>
    <row r="776" spans="1:14" x14ac:dyDescent="0.3">
      <c r="A776" t="s">
        <v>559</v>
      </c>
      <c r="B776" t="str">
        <f>TRIM(TTrainingSource[[#This Row],[EMPloyee_ID2]])</f>
        <v>EMP10381</v>
      </c>
      <c r="C776" t="str">
        <f>IFERROR(VLOOKUP(TTrainingSource[[#This Row],[Employee_ID]],THrList[],3,FALSE),"")</f>
        <v>GARCIA</v>
      </c>
      <c r="D776" t="str">
        <f>IFERROR(VLOOKUP(TTrainingSource[[#This Row],[Employee_ID]],THrList[],4,FALSE),"")</f>
        <v>Khalid</v>
      </c>
      <c r="E776" t="str">
        <f>IFERROR(VLOOKUP(TTrainingSource[[#This Row],[Employee_ID]],THrList[],10,FALSE),"")</f>
        <v>Operations</v>
      </c>
      <c r="F776" t="str">
        <f>TRIM(PROPER(TTrainingSource[[#This Row],[Training_Status2]]))</f>
        <v>Completed</v>
      </c>
      <c r="G776" t="s">
        <v>17</v>
      </c>
      <c r="H776" t="str">
        <f>TRIM(PROPER(TTrainingSource[[#This Row],[Training_Title2]]))</f>
        <v>Customer Data Analysis</v>
      </c>
      <c r="I776" t="s">
        <v>31</v>
      </c>
      <c r="J776" s="1">
        <v>45793</v>
      </c>
      <c r="K776" t="s">
        <v>12</v>
      </c>
      <c r="L776" s="7">
        <v>40</v>
      </c>
      <c r="M776">
        <f>ROUND(TTrainingSource[[#This Row],[Satisfaction_Score2]],0)</f>
        <v>3</v>
      </c>
      <c r="N776">
        <v>3.2</v>
      </c>
    </row>
    <row r="777" spans="1:14" x14ac:dyDescent="0.3">
      <c r="A777" t="s">
        <v>184</v>
      </c>
      <c r="B777" t="str">
        <f>TRIM(TTrainingSource[[#This Row],[EMPloyee_ID2]])</f>
        <v>EMP10383</v>
      </c>
      <c r="C777" t="str">
        <f>IFERROR(VLOOKUP(TTrainingSource[[#This Row],[Employee_ID]],THrList[],3,FALSE),"")</f>
        <v>PETIT</v>
      </c>
      <c r="D777" t="str">
        <f>IFERROR(VLOOKUP(TTrainingSource[[#This Row],[Employee_ID]],THrList[],4,FALSE),"")</f>
        <v>Kofi</v>
      </c>
      <c r="E777" t="str">
        <f>IFERROR(VLOOKUP(TTrainingSource[[#This Row],[Employee_ID]],THrList[],10,FALSE),"")</f>
        <v>IT</v>
      </c>
      <c r="F777" t="str">
        <f>TRIM(PROPER(TTrainingSource[[#This Row],[Training_Status2]]))</f>
        <v>In Progress</v>
      </c>
      <c r="G777" t="s">
        <v>8</v>
      </c>
      <c r="H777" t="str">
        <f>TRIM(PROPER(TTrainingSource[[#This Row],[Training_Title2]]))</f>
        <v>Data Analysis Fundamentals</v>
      </c>
      <c r="I777" t="s">
        <v>9</v>
      </c>
      <c r="J777" s="1">
        <v>45773</v>
      </c>
      <c r="K777" t="s">
        <v>44</v>
      </c>
      <c r="L777" s="7">
        <v>6</v>
      </c>
      <c r="M777">
        <f>ROUND(TTrainingSource[[#This Row],[Satisfaction_Score2]],0)</f>
        <v>5</v>
      </c>
      <c r="N777">
        <v>4.8</v>
      </c>
    </row>
    <row r="778" spans="1:14" x14ac:dyDescent="0.3">
      <c r="A778" t="s">
        <v>184</v>
      </c>
      <c r="B778" t="str">
        <f>TRIM(TTrainingSource[[#This Row],[EMPloyee_ID2]])</f>
        <v>EMP10383</v>
      </c>
      <c r="C778" t="str">
        <f>IFERROR(VLOOKUP(TTrainingSource[[#This Row],[Employee_ID]],THrList[],3,FALSE),"")</f>
        <v>PETIT</v>
      </c>
      <c r="D778" t="str">
        <f>IFERROR(VLOOKUP(TTrainingSource[[#This Row],[Employee_ID]],THrList[],4,FALSE),"")</f>
        <v>Kofi</v>
      </c>
      <c r="E778" t="str">
        <f>IFERROR(VLOOKUP(TTrainingSource[[#This Row],[Employee_ID]],THrList[],10,FALSE),"")</f>
        <v>IT</v>
      </c>
      <c r="F778" t="str">
        <f>TRIM(PROPER(TTrainingSource[[#This Row],[Training_Status2]]))</f>
        <v>Completed</v>
      </c>
      <c r="G778" t="s">
        <v>35</v>
      </c>
      <c r="H778" t="str">
        <f>TRIM(PROPER(TTrainingSource[[#This Row],[Training_Title2]]))</f>
        <v>Financial Modeling Basics</v>
      </c>
      <c r="I778" t="s">
        <v>331</v>
      </c>
      <c r="J778" s="1">
        <v>44564</v>
      </c>
      <c r="K778" t="s">
        <v>29</v>
      </c>
      <c r="L778" s="7">
        <v>4</v>
      </c>
      <c r="M778">
        <f>ROUND(TTrainingSource[[#This Row],[Satisfaction_Score2]],0)</f>
        <v>4</v>
      </c>
      <c r="N778">
        <v>4.4000000000000004</v>
      </c>
    </row>
    <row r="779" spans="1:14" x14ac:dyDescent="0.3">
      <c r="A779" t="s">
        <v>558</v>
      </c>
      <c r="B779" t="str">
        <f>TRIM(TTrainingSource[[#This Row],[EMPloyee_ID2]])</f>
        <v>EMP10384</v>
      </c>
      <c r="C779" t="str">
        <f>IFERROR(VLOOKUP(TTrainingSource[[#This Row],[Employee_ID]],THrList[],3,FALSE),"")</f>
        <v>PETIT</v>
      </c>
      <c r="D779" t="str">
        <f>IFERROR(VLOOKUP(TTrainingSource[[#This Row],[Employee_ID]],THrList[],4,FALSE),"")</f>
        <v>Paul</v>
      </c>
      <c r="E779" t="str">
        <f>IFERROR(VLOOKUP(TTrainingSource[[#This Row],[Employee_ID]],THrList[],10,FALSE),"")</f>
        <v>Human Resources</v>
      </c>
      <c r="F779" t="str">
        <f>TRIM(PROPER(TTrainingSource[[#This Row],[Training_Status2]]))</f>
        <v>Completed</v>
      </c>
      <c r="G779" t="s">
        <v>17</v>
      </c>
      <c r="H779" t="str">
        <f>TRIM(PROPER(TTrainingSource[[#This Row],[Training_Title2]]))</f>
        <v>Project Management Essentials</v>
      </c>
      <c r="I779" t="s">
        <v>14</v>
      </c>
      <c r="J779" s="1">
        <v>45448</v>
      </c>
      <c r="K779" t="s">
        <v>46</v>
      </c>
      <c r="L779" s="7">
        <v>4</v>
      </c>
      <c r="M779">
        <f>ROUND(TTrainingSource[[#This Row],[Satisfaction_Score2]],0)</f>
        <v>3</v>
      </c>
      <c r="N779">
        <v>3.2</v>
      </c>
    </row>
    <row r="780" spans="1:14" x14ac:dyDescent="0.3">
      <c r="A780" t="s">
        <v>16</v>
      </c>
      <c r="B780" t="str">
        <f>TRIM(TTrainingSource[[#This Row],[EMPloyee_ID2]])</f>
        <v>EMP10385</v>
      </c>
      <c r="C780" t="str">
        <f>IFERROR(VLOOKUP(TTrainingSource[[#This Row],[Employee_ID]],THrList[],3,FALSE),"")</f>
        <v>JOHNSON</v>
      </c>
      <c r="D780" t="str">
        <f>IFERROR(VLOOKUP(TTrainingSource[[#This Row],[Employee_ID]],THrList[],4,FALSE),"")</f>
        <v>Henry</v>
      </c>
      <c r="E780" t="str">
        <f>IFERROR(VLOOKUP(TTrainingSource[[#This Row],[Employee_ID]],THrList[],10,FALSE),"")</f>
        <v>Compliance</v>
      </c>
      <c r="F780" t="str">
        <f>TRIM(PROPER(TTrainingSource[[#This Row],[Training_Status2]]))</f>
        <v>Completed</v>
      </c>
      <c r="G780" t="s">
        <v>17</v>
      </c>
      <c r="H780" t="str">
        <f>TRIM(PROPER(TTrainingSource[[#This Row],[Training_Title2]]))</f>
        <v>Project Management Essentials</v>
      </c>
      <c r="I780" t="s">
        <v>14</v>
      </c>
      <c r="J780" s="1">
        <v>44617</v>
      </c>
      <c r="K780" t="s">
        <v>12</v>
      </c>
      <c r="L780" s="7">
        <v>4</v>
      </c>
      <c r="M780">
        <f>ROUND(TTrainingSource[[#This Row],[Satisfaction_Score2]],0)</f>
        <v>4</v>
      </c>
      <c r="N780">
        <v>4.4000000000000004</v>
      </c>
    </row>
    <row r="781" spans="1:14" x14ac:dyDescent="0.3">
      <c r="A781" t="s">
        <v>16</v>
      </c>
      <c r="B781" t="str">
        <f>TRIM(TTrainingSource[[#This Row],[EMPloyee_ID2]])</f>
        <v>EMP10385</v>
      </c>
      <c r="C781" t="str">
        <f>IFERROR(VLOOKUP(TTrainingSource[[#This Row],[Employee_ID]],THrList[],3,FALSE),"")</f>
        <v>JOHNSON</v>
      </c>
      <c r="D781" t="str">
        <f>IFERROR(VLOOKUP(TTrainingSource[[#This Row],[Employee_ID]],THrList[],4,FALSE),"")</f>
        <v>Henry</v>
      </c>
      <c r="E781" t="str">
        <f>IFERROR(VLOOKUP(TTrainingSource[[#This Row],[Employee_ID]],THrList[],10,FALSE),"")</f>
        <v>Compliance</v>
      </c>
      <c r="F781" t="str">
        <f>TRIM(PROPER(TTrainingSource[[#This Row],[Training_Status2]]))</f>
        <v>Planned</v>
      </c>
      <c r="G781" t="s">
        <v>19</v>
      </c>
      <c r="H781" t="str">
        <f>TRIM(PROPER(TTrainingSource[[#This Row],[Training_Title2]]))</f>
        <v>Introduction To Python For Data</v>
      </c>
      <c r="I781" t="s">
        <v>62</v>
      </c>
      <c r="J781" s="1">
        <v>44874</v>
      </c>
      <c r="K781" t="s">
        <v>39</v>
      </c>
      <c r="L781" s="7">
        <v>24</v>
      </c>
      <c r="M781">
        <f>ROUND(TTrainingSource[[#This Row],[Satisfaction_Score2]],0)</f>
        <v>4</v>
      </c>
      <c r="N781">
        <v>3.5</v>
      </c>
    </row>
    <row r="782" spans="1:14" x14ac:dyDescent="0.3">
      <c r="A782" t="s">
        <v>16</v>
      </c>
      <c r="B782" t="str">
        <f>TRIM(TTrainingSource[[#This Row],[EMPloyee_ID2]])</f>
        <v>EMP10385</v>
      </c>
      <c r="C782" t="str">
        <f>IFERROR(VLOOKUP(TTrainingSource[[#This Row],[Employee_ID]],THrList[],3,FALSE),"")</f>
        <v>JOHNSON</v>
      </c>
      <c r="D782" t="str">
        <f>IFERROR(VLOOKUP(TTrainingSource[[#This Row],[Employee_ID]],THrList[],4,FALSE),"")</f>
        <v>Henry</v>
      </c>
      <c r="E782" t="str">
        <f>IFERROR(VLOOKUP(TTrainingSource[[#This Row],[Employee_ID]],THrList[],10,FALSE),"")</f>
        <v>Compliance</v>
      </c>
      <c r="F782" t="str">
        <f>TRIM(PROPER(TTrainingSource[[#This Row],[Training_Status2]]))</f>
        <v>Completed</v>
      </c>
      <c r="G782" t="s">
        <v>17</v>
      </c>
      <c r="H782" t="str">
        <f>TRIM(PROPER(TTrainingSource[[#This Row],[Training_Title2]]))</f>
        <v>Advanced Excel For Business</v>
      </c>
      <c r="I782" t="s">
        <v>52</v>
      </c>
      <c r="J782" s="1">
        <v>45908</v>
      </c>
      <c r="K782" t="s">
        <v>44</v>
      </c>
      <c r="L782" s="7">
        <v>20</v>
      </c>
      <c r="M782">
        <f>ROUND(TTrainingSource[[#This Row],[Satisfaction_Score2]],0)</f>
        <v>3</v>
      </c>
      <c r="N782">
        <v>3.1</v>
      </c>
    </row>
    <row r="783" spans="1:14" x14ac:dyDescent="0.3">
      <c r="A783" t="s">
        <v>16</v>
      </c>
      <c r="B783" t="str">
        <f>TRIM(TTrainingSource[[#This Row],[EMPloyee_ID2]])</f>
        <v>EMP10385</v>
      </c>
      <c r="C783" t="str">
        <f>IFERROR(VLOOKUP(TTrainingSource[[#This Row],[Employee_ID]],THrList[],3,FALSE),"")</f>
        <v>JOHNSON</v>
      </c>
      <c r="D783" t="str">
        <f>IFERROR(VLOOKUP(TTrainingSource[[#This Row],[Employee_ID]],THrList[],4,FALSE),"")</f>
        <v>Henry</v>
      </c>
      <c r="E783" t="str">
        <f>IFERROR(VLOOKUP(TTrainingSource[[#This Row],[Employee_ID]],THrList[],10,FALSE),"")</f>
        <v>Compliance</v>
      </c>
      <c r="F783" t="str">
        <f>TRIM(PROPER(TTrainingSource[[#This Row],[Training_Status2]]))</f>
        <v>Completed</v>
      </c>
      <c r="G783" t="s">
        <v>17</v>
      </c>
      <c r="H783" t="str">
        <f>TRIM(PROPER(TTrainingSource[[#This Row],[Training_Title2]]))</f>
        <v>Business Intelligence With Tableau</v>
      </c>
      <c r="I783" t="s">
        <v>22</v>
      </c>
      <c r="J783" s="1">
        <v>45628</v>
      </c>
      <c r="K783" t="s">
        <v>42</v>
      </c>
      <c r="L783" s="7">
        <v>6</v>
      </c>
      <c r="M783">
        <f>ROUND(TTrainingSource[[#This Row],[Satisfaction_Score2]],0)</f>
        <v>4</v>
      </c>
      <c r="N783">
        <v>4.0999999999999996</v>
      </c>
    </row>
    <row r="784" spans="1:14" x14ac:dyDescent="0.3">
      <c r="A784" t="s">
        <v>570</v>
      </c>
      <c r="B784" t="str">
        <f>TRIM(TTrainingSource[[#This Row],[EMPloyee_ID2]])</f>
        <v>EMP10386</v>
      </c>
      <c r="C784" t="str">
        <f>IFERROR(VLOOKUP(TTrainingSource[[#This Row],[Employee_ID]],THrList[],3,FALSE),"")</f>
        <v>MOORE</v>
      </c>
      <c r="D784" t="str">
        <f>IFERROR(VLOOKUP(TTrainingSource[[#This Row],[Employee_ID]],THrList[],4,FALSE),"")</f>
        <v>Claire</v>
      </c>
      <c r="E784" t="str">
        <f>IFERROR(VLOOKUP(TTrainingSource[[#This Row],[Employee_ID]],THrList[],10,FALSE),"")</f>
        <v>IT</v>
      </c>
      <c r="F784" t="str">
        <f>TRIM(PROPER(TTrainingSource[[#This Row],[Training_Status2]]))</f>
        <v>In Progress</v>
      </c>
      <c r="G784" t="s">
        <v>8</v>
      </c>
      <c r="H784" t="str">
        <f>TRIM(PROPER(TTrainingSource[[#This Row],[Training_Title2]]))</f>
        <v>Advanced Excel For Business</v>
      </c>
      <c r="I784" t="s">
        <v>52</v>
      </c>
      <c r="J784" s="1">
        <v>45743</v>
      </c>
      <c r="K784" t="s">
        <v>32</v>
      </c>
      <c r="L784" s="7">
        <v>16</v>
      </c>
      <c r="M784">
        <f>ROUND(TTrainingSource[[#This Row],[Satisfaction_Score2]],0)</f>
        <v>3</v>
      </c>
      <c r="N784">
        <v>3.3</v>
      </c>
    </row>
    <row r="785" spans="1:14" x14ac:dyDescent="0.3">
      <c r="A785" t="s">
        <v>570</v>
      </c>
      <c r="B785" t="str">
        <f>TRIM(TTrainingSource[[#This Row],[EMPloyee_ID2]])</f>
        <v>EMP10386</v>
      </c>
      <c r="C785" t="str">
        <f>IFERROR(VLOOKUP(TTrainingSource[[#This Row],[Employee_ID]],THrList[],3,FALSE),"")</f>
        <v>MOORE</v>
      </c>
      <c r="D785" t="str">
        <f>IFERROR(VLOOKUP(TTrainingSource[[#This Row],[Employee_ID]],THrList[],4,FALSE),"")</f>
        <v>Claire</v>
      </c>
      <c r="E785" t="str">
        <f>IFERROR(VLOOKUP(TTrainingSource[[#This Row],[Employee_ID]],THrList[],10,FALSE),"")</f>
        <v>IT</v>
      </c>
      <c r="F785" t="str">
        <f>TRIM(PROPER(TTrainingSource[[#This Row],[Training_Status2]]))</f>
        <v>In Progress</v>
      </c>
      <c r="G785" t="s">
        <v>8</v>
      </c>
      <c r="H785" t="str">
        <f>TRIM(PROPER(TTrainingSource[[#This Row],[Training_Title2]]))</f>
        <v>Customer Data Analysis</v>
      </c>
      <c r="I785" t="s">
        <v>31</v>
      </c>
      <c r="J785" s="1">
        <v>45527</v>
      </c>
      <c r="K785" t="s">
        <v>15</v>
      </c>
      <c r="L785" s="7">
        <v>40</v>
      </c>
      <c r="M785">
        <f>ROUND(TTrainingSource[[#This Row],[Satisfaction_Score2]],0)</f>
        <v>3</v>
      </c>
      <c r="N785">
        <v>3.1</v>
      </c>
    </row>
    <row r="786" spans="1:14" x14ac:dyDescent="0.3">
      <c r="A786" t="s">
        <v>570</v>
      </c>
      <c r="B786" t="str">
        <f>TRIM(TTrainingSource[[#This Row],[EMPloyee_ID2]])</f>
        <v>EMP10386</v>
      </c>
      <c r="C786" t="str">
        <f>IFERROR(VLOOKUP(TTrainingSource[[#This Row],[Employee_ID]],THrList[],3,FALSE),"")</f>
        <v>MOORE</v>
      </c>
      <c r="D786" t="str">
        <f>IFERROR(VLOOKUP(TTrainingSource[[#This Row],[Employee_ID]],THrList[],4,FALSE),"")</f>
        <v>Claire</v>
      </c>
      <c r="E786" t="str">
        <f>IFERROR(VLOOKUP(TTrainingSource[[#This Row],[Employee_ID]],THrList[],10,FALSE),"")</f>
        <v>IT</v>
      </c>
      <c r="F786" t="str">
        <f>TRIM(PROPER(TTrainingSource[[#This Row],[Training_Status2]]))</f>
        <v>In Progress</v>
      </c>
      <c r="G786" t="s">
        <v>8</v>
      </c>
      <c r="H786" t="str">
        <f>TRIM(PROPER(TTrainingSource[[#This Row],[Training_Title2]]))</f>
        <v>Introduction To Python For Data</v>
      </c>
      <c r="I786" t="s">
        <v>62</v>
      </c>
      <c r="J786" s="1">
        <v>45214</v>
      </c>
      <c r="K786" t="s">
        <v>39</v>
      </c>
      <c r="L786" s="7">
        <v>12</v>
      </c>
      <c r="M786">
        <f>ROUND(TTrainingSource[[#This Row],[Satisfaction_Score2]],0)</f>
        <v>3</v>
      </c>
      <c r="N786">
        <v>3.3</v>
      </c>
    </row>
    <row r="787" spans="1:14" x14ac:dyDescent="0.3">
      <c r="A787" t="s">
        <v>109</v>
      </c>
      <c r="B787" t="str">
        <f>TRIM(TTrainingSource[[#This Row],[EMPloyee_ID2]])</f>
        <v>EMP10387</v>
      </c>
      <c r="C787" t="str">
        <f>IFERROR(VLOOKUP(TTrainingSource[[#This Row],[Employee_ID]],THrList[],3,FALSE),"")</f>
        <v>DUBOIS</v>
      </c>
      <c r="D787" t="str">
        <f>IFERROR(VLOOKUP(TTrainingSource[[#This Row],[Employee_ID]],THrList[],4,FALSE),"")</f>
        <v>Zainab</v>
      </c>
      <c r="E787" t="str">
        <f>IFERROR(VLOOKUP(TTrainingSource[[#This Row],[Employee_ID]],THrList[],10,FALSE),"")</f>
        <v>Human Resources</v>
      </c>
      <c r="F787" t="str">
        <f>TRIM(PROPER(TTrainingSource[[#This Row],[Training_Status2]]))</f>
        <v>Planned</v>
      </c>
      <c r="G787" t="s">
        <v>19</v>
      </c>
      <c r="H787" t="str">
        <f>TRIM(PROPER(TTrainingSource[[#This Row],[Training_Title2]]))</f>
        <v>Sql For Data Analytics</v>
      </c>
      <c r="I787" t="s">
        <v>26</v>
      </c>
      <c r="J787" s="1">
        <v>45559</v>
      </c>
      <c r="K787" t="s">
        <v>46</v>
      </c>
      <c r="L787" s="7">
        <v>4</v>
      </c>
      <c r="M787">
        <f>ROUND(TTrainingSource[[#This Row],[Satisfaction_Score2]],0)</f>
        <v>5</v>
      </c>
      <c r="N787">
        <v>4.8</v>
      </c>
    </row>
    <row r="788" spans="1:14" x14ac:dyDescent="0.3">
      <c r="A788" t="s">
        <v>109</v>
      </c>
      <c r="B788" t="str">
        <f>TRIM(TTrainingSource[[#This Row],[EMPloyee_ID2]])</f>
        <v>EMP10387</v>
      </c>
      <c r="C788" t="str">
        <f>IFERROR(VLOOKUP(TTrainingSource[[#This Row],[Employee_ID]],THrList[],3,FALSE),"")</f>
        <v>DUBOIS</v>
      </c>
      <c r="D788" t="str">
        <f>IFERROR(VLOOKUP(TTrainingSource[[#This Row],[Employee_ID]],THrList[],4,FALSE),"")</f>
        <v>Zainab</v>
      </c>
      <c r="E788" t="str">
        <f>IFERROR(VLOOKUP(TTrainingSource[[#This Row],[Employee_ID]],THrList[],10,FALSE),"")</f>
        <v>Human Resources</v>
      </c>
      <c r="F788" t="str">
        <f>TRIM(PROPER(TTrainingSource[[#This Row],[Training_Status2]]))</f>
        <v>In Progress</v>
      </c>
      <c r="G788" t="s">
        <v>8</v>
      </c>
      <c r="H788" t="str">
        <f>TRIM(PROPER(TTrainingSource[[#This Row],[Training_Title2]]))</f>
        <v>Introduction To Python For Data</v>
      </c>
      <c r="I788" t="s">
        <v>62</v>
      </c>
      <c r="J788" s="1">
        <v>45448</v>
      </c>
      <c r="K788" t="s">
        <v>1072</v>
      </c>
      <c r="L788" s="7">
        <v>8</v>
      </c>
      <c r="M788">
        <f>ROUND(TTrainingSource[[#This Row],[Satisfaction_Score2]],0)</f>
        <v>3</v>
      </c>
      <c r="N788">
        <v>3.4</v>
      </c>
    </row>
    <row r="789" spans="1:14" x14ac:dyDescent="0.3">
      <c r="A789" t="s">
        <v>109</v>
      </c>
      <c r="B789" t="str">
        <f>TRIM(TTrainingSource[[#This Row],[EMPloyee_ID2]])</f>
        <v>EMP10387</v>
      </c>
      <c r="C789" t="str">
        <f>IFERROR(VLOOKUP(TTrainingSource[[#This Row],[Employee_ID]],THrList[],3,FALSE),"")</f>
        <v>DUBOIS</v>
      </c>
      <c r="D789" t="str">
        <f>IFERROR(VLOOKUP(TTrainingSource[[#This Row],[Employee_ID]],THrList[],4,FALSE),"")</f>
        <v>Zainab</v>
      </c>
      <c r="E789" t="str">
        <f>IFERROR(VLOOKUP(TTrainingSource[[#This Row],[Employee_ID]],THrList[],10,FALSE),"")</f>
        <v>Human Resources</v>
      </c>
      <c r="F789" t="str">
        <f>TRIM(PROPER(TTrainingSource[[#This Row],[Training_Status2]]))</f>
        <v>Completed</v>
      </c>
      <c r="G789" t="s">
        <v>17</v>
      </c>
      <c r="H789" t="str">
        <f>TRIM(PROPER(TTrainingSource[[#This Row],[Training_Title2]]))</f>
        <v>Project Management Essentials</v>
      </c>
      <c r="I789" t="s">
        <v>14</v>
      </c>
      <c r="J789" s="1">
        <v>44644</v>
      </c>
      <c r="K789" t="s">
        <v>39</v>
      </c>
      <c r="L789" s="7">
        <v>6</v>
      </c>
      <c r="M789">
        <f>ROUND(TTrainingSource[[#This Row],[Satisfaction_Score2]],0)</f>
        <v>3</v>
      </c>
      <c r="N789">
        <v>3.4</v>
      </c>
    </row>
    <row r="790" spans="1:14" x14ac:dyDescent="0.3">
      <c r="A790" t="s">
        <v>109</v>
      </c>
      <c r="B790" t="str">
        <f>TRIM(TTrainingSource[[#This Row],[EMPloyee_ID2]])</f>
        <v>EMP10387</v>
      </c>
      <c r="C790" t="str">
        <f>IFERROR(VLOOKUP(TTrainingSource[[#This Row],[Employee_ID]],THrList[],3,FALSE),"")</f>
        <v>DUBOIS</v>
      </c>
      <c r="D790" t="str">
        <f>IFERROR(VLOOKUP(TTrainingSource[[#This Row],[Employee_ID]],THrList[],4,FALSE),"")</f>
        <v>Zainab</v>
      </c>
      <c r="E790" t="str">
        <f>IFERROR(VLOOKUP(TTrainingSource[[#This Row],[Employee_ID]],THrList[],10,FALSE),"")</f>
        <v>Human Resources</v>
      </c>
      <c r="F790" t="str">
        <f>TRIM(PROPER(TTrainingSource[[#This Row],[Training_Status2]]))</f>
        <v>Planned</v>
      </c>
      <c r="G790" t="s">
        <v>19</v>
      </c>
      <c r="H790" t="str">
        <f>TRIM(PROPER(TTrainingSource[[#This Row],[Training_Title2]]))</f>
        <v>Power Bi Reporting</v>
      </c>
      <c r="I790" t="s">
        <v>24</v>
      </c>
      <c r="J790" s="1">
        <v>45253</v>
      </c>
      <c r="K790" t="s">
        <v>32</v>
      </c>
      <c r="L790" s="7">
        <v>32</v>
      </c>
      <c r="M790">
        <f>ROUND(TTrainingSource[[#This Row],[Satisfaction_Score2]],0)</f>
        <v>3</v>
      </c>
      <c r="N790">
        <v>3</v>
      </c>
    </row>
    <row r="791" spans="1:14" x14ac:dyDescent="0.3">
      <c r="A791" t="s">
        <v>369</v>
      </c>
      <c r="B791" t="str">
        <f>TRIM(TTrainingSource[[#This Row],[EMPloyee_ID2]])</f>
        <v>EMP10388</v>
      </c>
      <c r="C791" t="str">
        <f>IFERROR(VLOOKUP(TTrainingSource[[#This Row],[Employee_ID]],THrList[],3,FALSE),"")</f>
        <v>DAVIS</v>
      </c>
      <c r="D791" t="str">
        <f>IFERROR(VLOOKUP(TTrainingSource[[#This Row],[Employee_ID]],THrList[],4,FALSE),"")</f>
        <v>Charlotte</v>
      </c>
      <c r="E791" t="str">
        <f>IFERROR(VLOOKUP(TTrainingSource[[#This Row],[Employee_ID]],THrList[],10,FALSE),"")</f>
        <v>Customer Support</v>
      </c>
      <c r="F791" t="str">
        <f>TRIM(PROPER(TTrainingSource[[#This Row],[Training_Status2]]))</f>
        <v>Completed</v>
      </c>
      <c r="G791" t="s">
        <v>17</v>
      </c>
      <c r="H791" t="str">
        <f>TRIM(PROPER(TTrainingSource[[#This Row],[Training_Title2]]))</f>
        <v>Sql For Data Analytics</v>
      </c>
      <c r="I791" t="s">
        <v>11</v>
      </c>
      <c r="J791" s="1">
        <v>44736</v>
      </c>
      <c r="K791" t="s">
        <v>12</v>
      </c>
      <c r="L791" s="7">
        <v>16</v>
      </c>
      <c r="M791">
        <f>ROUND(TTrainingSource[[#This Row],[Satisfaction_Score2]],0)</f>
        <v>4</v>
      </c>
      <c r="N791">
        <v>3.6</v>
      </c>
    </row>
    <row r="792" spans="1:14" x14ac:dyDescent="0.3">
      <c r="A792" t="s">
        <v>369</v>
      </c>
      <c r="B792" t="str">
        <f>TRIM(TTrainingSource[[#This Row],[EMPloyee_ID2]])</f>
        <v>EMP10388</v>
      </c>
      <c r="C792" t="str">
        <f>IFERROR(VLOOKUP(TTrainingSource[[#This Row],[Employee_ID]],THrList[],3,FALSE),"")</f>
        <v>DAVIS</v>
      </c>
      <c r="D792" t="str">
        <f>IFERROR(VLOOKUP(TTrainingSource[[#This Row],[Employee_ID]],THrList[],4,FALSE),"")</f>
        <v>Charlotte</v>
      </c>
      <c r="E792" t="str">
        <f>IFERROR(VLOOKUP(TTrainingSource[[#This Row],[Employee_ID]],THrList[],10,FALSE),"")</f>
        <v>Customer Support</v>
      </c>
      <c r="F792" t="str">
        <f>TRIM(PROPER(TTrainingSource[[#This Row],[Training_Status2]]))</f>
        <v>Completed</v>
      </c>
      <c r="G792" t="s">
        <v>17</v>
      </c>
      <c r="H792" t="str">
        <f>TRIM(PROPER(TTrainingSource[[#This Row],[Training_Title2]]))</f>
        <v>Data Visualization Best Practices</v>
      </c>
      <c r="I792" t="s">
        <v>20</v>
      </c>
      <c r="J792" s="1">
        <v>44617</v>
      </c>
      <c r="K792" t="s">
        <v>32</v>
      </c>
      <c r="L792" s="7">
        <v>4</v>
      </c>
      <c r="M792">
        <f>ROUND(TTrainingSource[[#This Row],[Satisfaction_Score2]],0)</f>
        <v>3</v>
      </c>
      <c r="N792">
        <v>3.1</v>
      </c>
    </row>
    <row r="793" spans="1:14" x14ac:dyDescent="0.3">
      <c r="A793" t="s">
        <v>369</v>
      </c>
      <c r="B793" t="str">
        <f>TRIM(TTrainingSource[[#This Row],[EMPloyee_ID2]])</f>
        <v>EMP10388</v>
      </c>
      <c r="C793" t="str">
        <f>IFERROR(VLOOKUP(TTrainingSource[[#This Row],[Employee_ID]],THrList[],3,FALSE),"")</f>
        <v>DAVIS</v>
      </c>
      <c r="D793" t="str">
        <f>IFERROR(VLOOKUP(TTrainingSource[[#This Row],[Employee_ID]],THrList[],4,FALSE),"")</f>
        <v>Charlotte</v>
      </c>
      <c r="E793" t="str">
        <f>IFERROR(VLOOKUP(TTrainingSource[[#This Row],[Employee_ID]],THrList[],10,FALSE),"")</f>
        <v>Customer Support</v>
      </c>
      <c r="F793" t="str">
        <f>TRIM(PROPER(TTrainingSource[[#This Row],[Training_Status2]]))</f>
        <v>Planned</v>
      </c>
      <c r="G793" t="s">
        <v>19</v>
      </c>
      <c r="H793" t="str">
        <f>TRIM(PROPER(TTrainingSource[[#This Row],[Training_Title2]]))</f>
        <v>Business Intelligence With Tableau</v>
      </c>
      <c r="I793" t="s">
        <v>22</v>
      </c>
      <c r="J793" s="1">
        <v>45480</v>
      </c>
      <c r="K793" t="s">
        <v>1072</v>
      </c>
      <c r="L793" s="7">
        <v>32</v>
      </c>
      <c r="M793">
        <f>ROUND(TTrainingSource[[#This Row],[Satisfaction_Score2]],0)</f>
        <v>3</v>
      </c>
      <c r="N793">
        <v>3</v>
      </c>
    </row>
    <row r="794" spans="1:14" x14ac:dyDescent="0.3">
      <c r="A794" t="s">
        <v>163</v>
      </c>
      <c r="B794" t="str">
        <f>TRIM(TTrainingSource[[#This Row],[EMPloyee_ID2]])</f>
        <v>EMP10389</v>
      </c>
      <c r="C794" t="str">
        <f>IFERROR(VLOOKUP(TTrainingSource[[#This Row],[Employee_ID]],THrList[],3,FALSE),"")</f>
        <v>JOHNSON</v>
      </c>
      <c r="D794" t="str">
        <f>IFERROR(VLOOKUP(TTrainingSource[[#This Row],[Employee_ID]],THrList[],4,FALSE),"")</f>
        <v>Abigail</v>
      </c>
      <c r="E794" t="str">
        <f>IFERROR(VLOOKUP(TTrainingSource[[#This Row],[Employee_ID]],THrList[],10,FALSE),"")</f>
        <v>Sales</v>
      </c>
      <c r="F794" t="str">
        <f>TRIM(PROPER(TTrainingSource[[#This Row],[Training_Status2]]))</f>
        <v>Completed</v>
      </c>
      <c r="G794" t="s">
        <v>17</v>
      </c>
      <c r="H794" t="str">
        <f>TRIM(PROPER(TTrainingSource[[#This Row],[Training_Title2]]))</f>
        <v>Financial Modeling Basics</v>
      </c>
      <c r="I794" t="s">
        <v>164</v>
      </c>
      <c r="J794" s="1">
        <v>44673</v>
      </c>
      <c r="K794" t="s">
        <v>39</v>
      </c>
      <c r="L794" s="7">
        <v>4</v>
      </c>
      <c r="M794">
        <f>ROUND(TTrainingSource[[#This Row],[Satisfaction_Score2]],0)</f>
        <v>5</v>
      </c>
      <c r="N794">
        <v>4.9000000000000004</v>
      </c>
    </row>
    <row r="795" spans="1:14" x14ac:dyDescent="0.3">
      <c r="A795" t="s">
        <v>163</v>
      </c>
      <c r="B795" t="str">
        <f>TRIM(TTrainingSource[[#This Row],[EMPloyee_ID2]])</f>
        <v>EMP10389</v>
      </c>
      <c r="C795" t="str">
        <f>IFERROR(VLOOKUP(TTrainingSource[[#This Row],[Employee_ID]],THrList[],3,FALSE),"")</f>
        <v>JOHNSON</v>
      </c>
      <c r="D795" t="str">
        <f>IFERROR(VLOOKUP(TTrainingSource[[#This Row],[Employee_ID]],THrList[],4,FALSE),"")</f>
        <v>Abigail</v>
      </c>
      <c r="E795" t="str">
        <f>IFERROR(VLOOKUP(TTrainingSource[[#This Row],[Employee_ID]],THrList[],10,FALSE),"")</f>
        <v>Sales</v>
      </c>
      <c r="F795" t="str">
        <f>TRIM(PROPER(TTrainingSource[[#This Row],[Training_Status2]]))</f>
        <v>Completed</v>
      </c>
      <c r="G795" t="s">
        <v>17</v>
      </c>
      <c r="H795" t="str">
        <f>TRIM(PROPER(TTrainingSource[[#This Row],[Training_Title2]]))</f>
        <v>Sql For Data Analytics</v>
      </c>
      <c r="I795" t="s">
        <v>26</v>
      </c>
      <c r="J795" s="1">
        <v>45102</v>
      </c>
      <c r="K795" t="s">
        <v>42</v>
      </c>
      <c r="L795" s="7">
        <v>32</v>
      </c>
      <c r="M795">
        <f>ROUND(TTrainingSource[[#This Row],[Satisfaction_Score2]],0)</f>
        <v>4</v>
      </c>
      <c r="N795">
        <v>4</v>
      </c>
    </row>
    <row r="796" spans="1:14" x14ac:dyDescent="0.3">
      <c r="A796" t="s">
        <v>163</v>
      </c>
      <c r="B796" t="str">
        <f>TRIM(TTrainingSource[[#This Row],[EMPloyee_ID2]])</f>
        <v>EMP10389</v>
      </c>
      <c r="C796" t="str">
        <f>IFERROR(VLOOKUP(TTrainingSource[[#This Row],[Employee_ID]],THrList[],3,FALSE),"")</f>
        <v>JOHNSON</v>
      </c>
      <c r="D796" t="str">
        <f>IFERROR(VLOOKUP(TTrainingSource[[#This Row],[Employee_ID]],THrList[],4,FALSE),"")</f>
        <v>Abigail</v>
      </c>
      <c r="E796" t="str">
        <f>IFERROR(VLOOKUP(TTrainingSource[[#This Row],[Employee_ID]],THrList[],10,FALSE),"")</f>
        <v>Sales</v>
      </c>
      <c r="F796" t="str">
        <f>TRIM(PROPER(TTrainingSource[[#This Row],[Training_Status2]]))</f>
        <v>Completed</v>
      </c>
      <c r="G796" t="s">
        <v>69</v>
      </c>
      <c r="H796" t="str">
        <f>TRIM(PROPER(TTrainingSource[[#This Row],[Training_Title2]]))</f>
        <v>Communication For Analysts</v>
      </c>
      <c r="I796" t="s">
        <v>28</v>
      </c>
      <c r="J796" s="1">
        <v>45691</v>
      </c>
      <c r="K796" t="s">
        <v>44</v>
      </c>
      <c r="L796" s="7">
        <v>0</v>
      </c>
      <c r="M796">
        <f>ROUND(TTrainingSource[[#This Row],[Satisfaction_Score2]],0)</f>
        <v>4</v>
      </c>
      <c r="N796">
        <v>3.8</v>
      </c>
    </row>
    <row r="797" spans="1:14" x14ac:dyDescent="0.3">
      <c r="A797" t="s">
        <v>290</v>
      </c>
      <c r="B797" t="str">
        <f>TRIM(TTrainingSource[[#This Row],[EMPloyee_ID2]])</f>
        <v>EMP10390</v>
      </c>
      <c r="C797" t="str">
        <f>IFERROR(VLOOKUP(TTrainingSource[[#This Row],[Employee_ID]],THrList[],3,FALSE),"")</f>
        <v>JONES</v>
      </c>
      <c r="D797" t="str">
        <f>IFERROR(VLOOKUP(TTrainingSource[[#This Row],[Employee_ID]],THrList[],4,FALSE),"")</f>
        <v>Ngozi</v>
      </c>
      <c r="E797" t="str">
        <f>IFERROR(VLOOKUP(TTrainingSource[[#This Row],[Employee_ID]],THrList[],10,FALSE),"")</f>
        <v>IT</v>
      </c>
      <c r="F797" t="str">
        <f>TRIM(PROPER(TTrainingSource[[#This Row],[Training_Status2]]))</f>
        <v>In Progress</v>
      </c>
      <c r="G797" t="s">
        <v>8</v>
      </c>
      <c r="H797" t="str">
        <f>TRIM(PROPER(TTrainingSource[[#This Row],[Training_Title2]]))</f>
        <v>Financial Modeling Basics</v>
      </c>
      <c r="I797" t="s">
        <v>38</v>
      </c>
      <c r="J797" s="1">
        <v>44936</v>
      </c>
      <c r="K797" t="s">
        <v>32</v>
      </c>
      <c r="L797" s="7">
        <v>24</v>
      </c>
      <c r="M797">
        <f>ROUND(TTrainingSource[[#This Row],[Satisfaction_Score2]],0)</f>
        <v>4</v>
      </c>
      <c r="N797">
        <v>4.3</v>
      </c>
    </row>
    <row r="798" spans="1:14" x14ac:dyDescent="0.3">
      <c r="A798" t="s">
        <v>290</v>
      </c>
      <c r="B798" t="str">
        <f>TRIM(TTrainingSource[[#This Row],[EMPloyee_ID2]])</f>
        <v>EMP10390</v>
      </c>
      <c r="C798" t="str">
        <f>IFERROR(VLOOKUP(TTrainingSource[[#This Row],[Employee_ID]],THrList[],3,FALSE),"")</f>
        <v>JONES</v>
      </c>
      <c r="D798" t="str">
        <f>IFERROR(VLOOKUP(TTrainingSource[[#This Row],[Employee_ID]],THrList[],4,FALSE),"")</f>
        <v>Ngozi</v>
      </c>
      <c r="E798" t="str">
        <f>IFERROR(VLOOKUP(TTrainingSource[[#This Row],[Employee_ID]],THrList[],10,FALSE),"")</f>
        <v>IT</v>
      </c>
      <c r="F798" t="str">
        <f>TRIM(PROPER(TTrainingSource[[#This Row],[Training_Status2]]))</f>
        <v>Completed</v>
      </c>
      <c r="G798" t="s">
        <v>69</v>
      </c>
      <c r="H798" t="str">
        <f>TRIM(PROPER(TTrainingSource[[#This Row],[Training_Title2]]))</f>
        <v>Introduction To Python For Data</v>
      </c>
      <c r="I798" t="s">
        <v>62</v>
      </c>
      <c r="J798" s="1">
        <v>45159</v>
      </c>
      <c r="K798" t="s">
        <v>98</v>
      </c>
      <c r="L798" s="7">
        <v>32</v>
      </c>
      <c r="M798">
        <f>ROUND(TTrainingSource[[#This Row],[Satisfaction_Score2]],0)</f>
        <v>4</v>
      </c>
      <c r="N798">
        <v>4</v>
      </c>
    </row>
    <row r="799" spans="1:14" x14ac:dyDescent="0.3">
      <c r="A799" t="s">
        <v>121</v>
      </c>
      <c r="B799" t="str">
        <f>TRIM(TTrainingSource[[#This Row],[EMPloyee_ID2]])</f>
        <v>EMP10391</v>
      </c>
      <c r="C799" t="str">
        <f>IFERROR(VLOOKUP(TTrainingSource[[#This Row],[Employee_ID]],THrList[],3,FALSE),"")</f>
        <v>DIOP</v>
      </c>
      <c r="D799" t="str">
        <f>IFERROR(VLOOKUP(TTrainingSource[[#This Row],[Employee_ID]],THrList[],4,FALSE),"")</f>
        <v>Emma</v>
      </c>
      <c r="E799" t="str">
        <f>IFERROR(VLOOKUP(TTrainingSource[[#This Row],[Employee_ID]],THrList[],10,FALSE),"")</f>
        <v>Marketing</v>
      </c>
      <c r="F799" t="str">
        <f>TRIM(PROPER(TTrainingSource[[#This Row],[Training_Status2]]))</f>
        <v>Completed</v>
      </c>
      <c r="G799" t="s">
        <v>17</v>
      </c>
      <c r="H799" t="str">
        <f>TRIM(PROPER(TTrainingSource[[#This Row],[Training_Title2]]))</f>
        <v>Advanced Excel For Business</v>
      </c>
      <c r="I799" t="s">
        <v>52</v>
      </c>
      <c r="J799" s="1">
        <v>45658</v>
      </c>
      <c r="K799" t="s">
        <v>44</v>
      </c>
      <c r="L799" s="7">
        <v>40</v>
      </c>
      <c r="M799">
        <f>ROUND(TTrainingSource[[#This Row],[Satisfaction_Score2]],0)</f>
        <v>4</v>
      </c>
      <c r="N799">
        <v>3.6</v>
      </c>
    </row>
    <row r="800" spans="1:14" x14ac:dyDescent="0.3">
      <c r="A800" t="s">
        <v>121</v>
      </c>
      <c r="B800" t="str">
        <f>TRIM(TTrainingSource[[#This Row],[EMPloyee_ID2]])</f>
        <v>EMP10391</v>
      </c>
      <c r="C800" t="str">
        <f>IFERROR(VLOOKUP(TTrainingSource[[#This Row],[Employee_ID]],THrList[],3,FALSE),"")</f>
        <v>DIOP</v>
      </c>
      <c r="D800" t="str">
        <f>IFERROR(VLOOKUP(TTrainingSource[[#This Row],[Employee_ID]],THrList[],4,FALSE),"")</f>
        <v>Emma</v>
      </c>
      <c r="E800" t="str">
        <f>IFERROR(VLOOKUP(TTrainingSource[[#This Row],[Employee_ID]],THrList[],10,FALSE),"")</f>
        <v>Marketing</v>
      </c>
      <c r="F800" t="str">
        <f>TRIM(PROPER(TTrainingSource[[#This Row],[Training_Status2]]))</f>
        <v>Completed</v>
      </c>
      <c r="G800" t="s">
        <v>17</v>
      </c>
      <c r="H800" t="str">
        <f>TRIM(PROPER(TTrainingSource[[#This Row],[Training_Title2]]))</f>
        <v>Power Bi Reporting</v>
      </c>
      <c r="I800" t="s">
        <v>95</v>
      </c>
      <c r="J800" s="1">
        <v>45815</v>
      </c>
      <c r="K800" t="s">
        <v>46</v>
      </c>
      <c r="L800" s="7">
        <v>20</v>
      </c>
      <c r="M800">
        <f>ROUND(TTrainingSource[[#This Row],[Satisfaction_Score2]],0)</f>
        <v>4</v>
      </c>
      <c r="N800">
        <v>3.7</v>
      </c>
    </row>
    <row r="801" spans="1:14" x14ac:dyDescent="0.3">
      <c r="A801" t="s">
        <v>121</v>
      </c>
      <c r="B801" t="str">
        <f>TRIM(TTrainingSource[[#This Row],[EMPloyee_ID2]])</f>
        <v>EMP10391</v>
      </c>
      <c r="C801" t="str">
        <f>IFERROR(VLOOKUP(TTrainingSource[[#This Row],[Employee_ID]],THrList[],3,FALSE),"")</f>
        <v>DIOP</v>
      </c>
      <c r="D801" t="str">
        <f>IFERROR(VLOOKUP(TTrainingSource[[#This Row],[Employee_ID]],THrList[],4,FALSE),"")</f>
        <v>Emma</v>
      </c>
      <c r="E801" t="str">
        <f>IFERROR(VLOOKUP(TTrainingSource[[#This Row],[Employee_ID]],THrList[],10,FALSE),"")</f>
        <v>Marketing</v>
      </c>
      <c r="F801" t="str">
        <f>TRIM(PROPER(TTrainingSource[[#This Row],[Training_Status2]]))</f>
        <v>In Progress</v>
      </c>
      <c r="G801" t="s">
        <v>8</v>
      </c>
      <c r="H801" t="str">
        <f>TRIM(PROPER(TTrainingSource[[#This Row],[Training_Title2]]))</f>
        <v>Data Visualization Best Practices</v>
      </c>
      <c r="I801" t="s">
        <v>20</v>
      </c>
      <c r="J801" s="1">
        <v>44626</v>
      </c>
      <c r="K801" t="s">
        <v>29</v>
      </c>
      <c r="L801" s="7">
        <v>24</v>
      </c>
      <c r="M801">
        <f>ROUND(TTrainingSource[[#This Row],[Satisfaction_Score2]],0)</f>
        <v>3</v>
      </c>
      <c r="N801">
        <v>3.4</v>
      </c>
    </row>
    <row r="802" spans="1:14" x14ac:dyDescent="0.3">
      <c r="A802" t="s">
        <v>121</v>
      </c>
      <c r="B802" t="str">
        <f>TRIM(TTrainingSource[[#This Row],[EMPloyee_ID2]])</f>
        <v>EMP10391</v>
      </c>
      <c r="C802" t="str">
        <f>IFERROR(VLOOKUP(TTrainingSource[[#This Row],[Employee_ID]],THrList[],3,FALSE),"")</f>
        <v>DIOP</v>
      </c>
      <c r="D802" t="str">
        <f>IFERROR(VLOOKUP(TTrainingSource[[#This Row],[Employee_ID]],THrList[],4,FALSE),"")</f>
        <v>Emma</v>
      </c>
      <c r="E802" t="str">
        <f>IFERROR(VLOOKUP(TTrainingSource[[#This Row],[Employee_ID]],THrList[],10,FALSE),"")</f>
        <v>Marketing</v>
      </c>
      <c r="F802" t="str">
        <f>TRIM(PROPER(TTrainingSource[[#This Row],[Training_Status2]]))</f>
        <v>Planned</v>
      </c>
      <c r="G802" t="s">
        <v>19</v>
      </c>
      <c r="H802" t="str">
        <f>TRIM(PROPER(TTrainingSource[[#This Row],[Training_Title2]]))</f>
        <v>Advanced Excel For Business</v>
      </c>
      <c r="I802" t="s">
        <v>52</v>
      </c>
      <c r="J802" s="1">
        <v>45441</v>
      </c>
      <c r="K802" t="s">
        <v>46</v>
      </c>
      <c r="L802" s="7">
        <v>0</v>
      </c>
      <c r="M802">
        <f>ROUND(TTrainingSource[[#This Row],[Satisfaction_Score2]],0)</f>
        <v>3</v>
      </c>
      <c r="N802">
        <v>3.1</v>
      </c>
    </row>
    <row r="803" spans="1:14" x14ac:dyDescent="0.3">
      <c r="A803" t="s">
        <v>121</v>
      </c>
      <c r="B803" t="str">
        <f>TRIM(TTrainingSource[[#This Row],[EMPloyee_ID2]])</f>
        <v>EMP10391</v>
      </c>
      <c r="C803" t="str">
        <f>IFERROR(VLOOKUP(TTrainingSource[[#This Row],[Employee_ID]],THrList[],3,FALSE),"")</f>
        <v>DIOP</v>
      </c>
      <c r="D803" t="str">
        <f>IFERROR(VLOOKUP(TTrainingSource[[#This Row],[Employee_ID]],THrList[],4,FALSE),"")</f>
        <v>Emma</v>
      </c>
      <c r="E803" t="str">
        <f>IFERROR(VLOOKUP(TTrainingSource[[#This Row],[Employee_ID]],THrList[],10,FALSE),"")</f>
        <v>Marketing</v>
      </c>
      <c r="F803" t="str">
        <f>TRIM(PROPER(TTrainingSource[[#This Row],[Training_Status2]]))</f>
        <v>Completed</v>
      </c>
      <c r="G803" t="s">
        <v>17</v>
      </c>
      <c r="H803" t="str">
        <f>TRIM(PROPER(TTrainingSource[[#This Row],[Training_Title2]]))</f>
        <v>Data Visualization Best Practices</v>
      </c>
      <c r="I803" t="s">
        <v>20</v>
      </c>
      <c r="J803" s="1">
        <v>45747</v>
      </c>
      <c r="K803" t="s">
        <v>32</v>
      </c>
      <c r="L803" s="7">
        <v>32</v>
      </c>
      <c r="M803">
        <f>ROUND(TTrainingSource[[#This Row],[Satisfaction_Score2]],0)</f>
        <v>3</v>
      </c>
      <c r="N803">
        <v>3.1</v>
      </c>
    </row>
    <row r="804" spans="1:14" x14ac:dyDescent="0.3">
      <c r="A804" t="s">
        <v>121</v>
      </c>
      <c r="B804" t="str">
        <f>TRIM(TTrainingSource[[#This Row],[EMPloyee_ID2]])</f>
        <v>EMP10391</v>
      </c>
      <c r="C804" t="str">
        <f>IFERROR(VLOOKUP(TTrainingSource[[#This Row],[Employee_ID]],THrList[],3,FALSE),"")</f>
        <v>DIOP</v>
      </c>
      <c r="D804" t="str">
        <f>IFERROR(VLOOKUP(TTrainingSource[[#This Row],[Employee_ID]],THrList[],4,FALSE),"")</f>
        <v>Emma</v>
      </c>
      <c r="E804" t="str">
        <f>IFERROR(VLOOKUP(TTrainingSource[[#This Row],[Employee_ID]],THrList[],10,FALSE),"")</f>
        <v>Marketing</v>
      </c>
      <c r="F804" t="str">
        <f>TRIM(PROPER(TTrainingSource[[#This Row],[Training_Status2]]))</f>
        <v>Completed</v>
      </c>
      <c r="G804" t="s">
        <v>17</v>
      </c>
      <c r="H804" t="str">
        <f>TRIM(PROPER(TTrainingSource[[#This Row],[Training_Title2]]))</f>
        <v>Sql For Data Analytics</v>
      </c>
      <c r="I804" t="s">
        <v>26</v>
      </c>
      <c r="J804" s="1">
        <v>45557</v>
      </c>
      <c r="K804" t="s">
        <v>39</v>
      </c>
      <c r="L804" s="7">
        <v>24</v>
      </c>
      <c r="M804">
        <f>ROUND(TTrainingSource[[#This Row],[Satisfaction_Score2]],0)</f>
        <v>4</v>
      </c>
      <c r="N804">
        <v>4.3</v>
      </c>
    </row>
    <row r="805" spans="1:14" x14ac:dyDescent="0.3">
      <c r="A805" t="s">
        <v>553</v>
      </c>
      <c r="B805" t="str">
        <f>TRIM(TTrainingSource[[#This Row],[EMPloyee_ID2]])</f>
        <v>EMP10392</v>
      </c>
      <c r="C805" t="str">
        <f>IFERROR(VLOOKUP(TTrainingSource[[#This Row],[Employee_ID]],THrList[],3,FALSE),"")</f>
        <v>KHAN</v>
      </c>
      <c r="D805" t="str">
        <f>IFERROR(VLOOKUP(TTrainingSource[[#This Row],[Employee_ID]],THrList[],4,FALSE),"")</f>
        <v>Isabella</v>
      </c>
      <c r="E805" t="str">
        <f>IFERROR(VLOOKUP(TTrainingSource[[#This Row],[Employee_ID]],THrList[],10,FALSE),"")</f>
        <v>N/A</v>
      </c>
      <c r="F805" t="str">
        <f>TRIM(PROPER(TTrainingSource[[#This Row],[Training_Status2]]))</f>
        <v>Planned</v>
      </c>
      <c r="G805" t="s">
        <v>19</v>
      </c>
      <c r="H805" t="str">
        <f>TRIM(PROPER(TTrainingSource[[#This Row],[Training_Title2]]))</f>
        <v>Financial Modeling Basics</v>
      </c>
      <c r="I805" t="s">
        <v>38</v>
      </c>
      <c r="J805" s="1">
        <v>45517</v>
      </c>
      <c r="K805" t="s">
        <v>32</v>
      </c>
      <c r="L805" s="7">
        <v>8</v>
      </c>
      <c r="M805">
        <f>ROUND(TTrainingSource[[#This Row],[Satisfaction_Score2]],0)</f>
        <v>3</v>
      </c>
      <c r="N805">
        <v>3.4</v>
      </c>
    </row>
    <row r="806" spans="1:14" x14ac:dyDescent="0.3">
      <c r="A806" t="s">
        <v>413</v>
      </c>
      <c r="B806" t="str">
        <f>TRIM(TTrainingSource[[#This Row],[EMPloyee_ID2]])</f>
        <v>EMP10393</v>
      </c>
      <c r="C806" t="str">
        <f>IFERROR(VLOOKUP(TTrainingSource[[#This Row],[Employee_ID]],THrList[],3,FALSE),"")</f>
        <v>FOURNIER</v>
      </c>
      <c r="D806" t="str">
        <f>IFERROR(VLOOKUP(TTrainingSource[[#This Row],[Employee_ID]],THrList[],4,FALSE),"")</f>
        <v>Ava</v>
      </c>
      <c r="E806" t="str">
        <f>IFERROR(VLOOKUP(TTrainingSource[[#This Row],[Employee_ID]],THrList[],10,FALSE),"")</f>
        <v>Compliance</v>
      </c>
      <c r="F806" t="str">
        <f>TRIM(PROPER(TTrainingSource[[#This Row],[Training_Status2]]))</f>
        <v>Planned</v>
      </c>
      <c r="G806" t="s">
        <v>19</v>
      </c>
      <c r="H806" t="str">
        <f>TRIM(PROPER(TTrainingSource[[#This Row],[Training_Title2]]))</f>
        <v>Customer Data Analysis</v>
      </c>
      <c r="I806" t="s">
        <v>31</v>
      </c>
      <c r="J806" s="1">
        <v>45580</v>
      </c>
      <c r="K806" t="s">
        <v>39</v>
      </c>
      <c r="L806" s="7">
        <v>20</v>
      </c>
      <c r="M806">
        <f>ROUND(TTrainingSource[[#This Row],[Satisfaction_Score2]],0)</f>
        <v>3</v>
      </c>
      <c r="N806">
        <v>3.2</v>
      </c>
    </row>
    <row r="807" spans="1:14" x14ac:dyDescent="0.3">
      <c r="A807" t="s">
        <v>413</v>
      </c>
      <c r="B807" t="str">
        <f>TRIM(TTrainingSource[[#This Row],[EMPloyee_ID2]])</f>
        <v>EMP10393</v>
      </c>
      <c r="C807" t="str">
        <f>IFERROR(VLOOKUP(TTrainingSource[[#This Row],[Employee_ID]],THrList[],3,FALSE),"")</f>
        <v>FOURNIER</v>
      </c>
      <c r="D807" t="str">
        <f>IFERROR(VLOOKUP(TTrainingSource[[#This Row],[Employee_ID]],THrList[],4,FALSE),"")</f>
        <v>Ava</v>
      </c>
      <c r="E807" t="str">
        <f>IFERROR(VLOOKUP(TTrainingSource[[#This Row],[Employee_ID]],THrList[],10,FALSE),"")</f>
        <v>Compliance</v>
      </c>
      <c r="F807" t="str">
        <f>TRIM(PROPER(TTrainingSource[[#This Row],[Training_Status2]]))</f>
        <v>Planned</v>
      </c>
      <c r="G807" t="s">
        <v>19</v>
      </c>
      <c r="H807" t="str">
        <f>TRIM(PROPER(TTrainingSource[[#This Row],[Training_Title2]]))</f>
        <v>Customer Data Analysis</v>
      </c>
      <c r="I807" t="s">
        <v>31</v>
      </c>
      <c r="J807" s="1">
        <v>45862</v>
      </c>
      <c r="K807" t="s">
        <v>132</v>
      </c>
      <c r="L807" s="7">
        <v>24</v>
      </c>
      <c r="M807">
        <f>ROUND(TTrainingSource[[#This Row],[Satisfaction_Score2]],0)</f>
        <v>4</v>
      </c>
      <c r="N807">
        <v>4.2</v>
      </c>
    </row>
    <row r="808" spans="1:14" x14ac:dyDescent="0.3">
      <c r="A808" t="s">
        <v>634</v>
      </c>
      <c r="B808" t="str">
        <f>TRIM(TTrainingSource[[#This Row],[EMPloyee_ID2]])</f>
        <v>EMP10394</v>
      </c>
      <c r="C808" t="str">
        <f>IFERROR(VLOOKUP(TTrainingSource[[#This Row],[Employee_ID]],THrList[],3,FALSE),"")</f>
        <v>CAMARA</v>
      </c>
      <c r="D808" t="str">
        <f>IFERROR(VLOOKUP(TTrainingSource[[#This Row],[Employee_ID]],THrList[],4,FALSE),"")</f>
        <v>Binta</v>
      </c>
      <c r="E808" t="str">
        <f>IFERROR(VLOOKUP(TTrainingSource[[#This Row],[Employee_ID]],THrList[],10,FALSE),"")</f>
        <v>Human Resources</v>
      </c>
      <c r="F808" t="str">
        <f>TRIM(PROPER(TTrainingSource[[#This Row],[Training_Status2]]))</f>
        <v>Completed</v>
      </c>
      <c r="G808" t="s">
        <v>17</v>
      </c>
      <c r="H808" t="str">
        <f>TRIM(PROPER(TTrainingSource[[#This Row],[Training_Title2]]))</f>
        <v>Digital Marketing Strategy</v>
      </c>
      <c r="I808" t="s">
        <v>43</v>
      </c>
      <c r="J808" s="1">
        <v>45419</v>
      </c>
      <c r="K808" t="s">
        <v>32</v>
      </c>
      <c r="L808" s="7">
        <v>8</v>
      </c>
      <c r="M808">
        <f>ROUND(TTrainingSource[[#This Row],[Satisfaction_Score2]],0)</f>
        <v>3</v>
      </c>
      <c r="N808">
        <v>2.8</v>
      </c>
    </row>
    <row r="809" spans="1:14" x14ac:dyDescent="0.3">
      <c r="A809" t="s">
        <v>634</v>
      </c>
      <c r="B809" t="str">
        <f>TRIM(TTrainingSource[[#This Row],[EMPloyee_ID2]])</f>
        <v>EMP10394</v>
      </c>
      <c r="C809" t="str">
        <f>IFERROR(VLOOKUP(TTrainingSource[[#This Row],[Employee_ID]],THrList[],3,FALSE),"")</f>
        <v>CAMARA</v>
      </c>
      <c r="D809" t="str">
        <f>IFERROR(VLOOKUP(TTrainingSource[[#This Row],[Employee_ID]],THrList[],4,FALSE),"")</f>
        <v>Binta</v>
      </c>
      <c r="E809" t="str">
        <f>IFERROR(VLOOKUP(TTrainingSource[[#This Row],[Employee_ID]],THrList[],10,FALSE),"")</f>
        <v>Human Resources</v>
      </c>
      <c r="F809" t="str">
        <f>TRIM(PROPER(TTrainingSource[[#This Row],[Training_Status2]]))</f>
        <v>In Progress</v>
      </c>
      <c r="G809" t="s">
        <v>8</v>
      </c>
      <c r="H809" t="str">
        <f>TRIM(PROPER(TTrainingSource[[#This Row],[Training_Title2]]))</f>
        <v>Business Intelligence With Tableau</v>
      </c>
      <c r="I809" t="s">
        <v>349</v>
      </c>
      <c r="J809" s="1">
        <v>44618</v>
      </c>
      <c r="K809" t="s">
        <v>98</v>
      </c>
      <c r="L809" s="7">
        <v>32</v>
      </c>
      <c r="M809">
        <f>ROUND(TTrainingSource[[#This Row],[Satisfaction_Score2]],0)</f>
        <v>4</v>
      </c>
      <c r="N809">
        <v>3.8</v>
      </c>
    </row>
    <row r="810" spans="1:14" x14ac:dyDescent="0.3">
      <c r="A810" t="s">
        <v>634</v>
      </c>
      <c r="B810" t="str">
        <f>TRIM(TTrainingSource[[#This Row],[EMPloyee_ID2]])</f>
        <v>EMP10394</v>
      </c>
      <c r="C810" t="str">
        <f>IFERROR(VLOOKUP(TTrainingSource[[#This Row],[Employee_ID]],THrList[],3,FALSE),"")</f>
        <v>CAMARA</v>
      </c>
      <c r="D810" t="str">
        <f>IFERROR(VLOOKUP(TTrainingSource[[#This Row],[Employee_ID]],THrList[],4,FALSE),"")</f>
        <v>Binta</v>
      </c>
      <c r="E810" t="str">
        <f>IFERROR(VLOOKUP(TTrainingSource[[#This Row],[Employee_ID]],THrList[],10,FALSE),"")</f>
        <v>Human Resources</v>
      </c>
      <c r="F810" t="str">
        <f>TRIM(PROPER(TTrainingSource[[#This Row],[Training_Status2]]))</f>
        <v>In Progress</v>
      </c>
      <c r="G810" t="s">
        <v>8</v>
      </c>
      <c r="H810" t="str">
        <f>TRIM(PROPER(TTrainingSource[[#This Row],[Training_Title2]]))</f>
        <v>Sql For Data Analytics</v>
      </c>
      <c r="I810" t="s">
        <v>26</v>
      </c>
      <c r="J810" s="1">
        <v>45796</v>
      </c>
      <c r="K810" t="s">
        <v>44</v>
      </c>
      <c r="L810" s="7">
        <v>6</v>
      </c>
      <c r="M810">
        <f>ROUND(TTrainingSource[[#This Row],[Satisfaction_Score2]],0)</f>
        <v>4</v>
      </c>
      <c r="N810">
        <v>4.2</v>
      </c>
    </row>
    <row r="811" spans="1:14" x14ac:dyDescent="0.3">
      <c r="A811" t="s">
        <v>655</v>
      </c>
      <c r="B811" t="str">
        <f>TRIM(TTrainingSource[[#This Row],[EMPloyee_ID2]])</f>
        <v>EMP10395</v>
      </c>
      <c r="C811" t="str">
        <f>IFERROR(VLOOKUP(TTrainingSource[[#This Row],[Employee_ID]],THrList[],3,FALSE),"")</f>
        <v>LOPEZ</v>
      </c>
      <c r="D811" t="str">
        <f>IFERROR(VLOOKUP(TTrainingSource[[#This Row],[Employee_ID]],THrList[],4,FALSE),"")</f>
        <v>Mariama</v>
      </c>
      <c r="E811" t="str">
        <f>IFERROR(VLOOKUP(TTrainingSource[[#This Row],[Employee_ID]],THrList[],10,FALSE),"")</f>
        <v>Procurement</v>
      </c>
      <c r="F811" t="str">
        <f>TRIM(PROPER(TTrainingSource[[#This Row],[Training_Status2]]))</f>
        <v>In Progress</v>
      </c>
      <c r="G811" t="s">
        <v>156</v>
      </c>
      <c r="H811" t="str">
        <f>TRIM(PROPER(TTrainingSource[[#This Row],[Training_Title2]]))</f>
        <v>Financial Modeling Basics</v>
      </c>
      <c r="I811" t="s">
        <v>94</v>
      </c>
      <c r="J811" s="1">
        <v>45320</v>
      </c>
      <c r="K811" t="s">
        <v>42</v>
      </c>
      <c r="L811" s="7">
        <v>4</v>
      </c>
      <c r="M811">
        <f>ROUND(TTrainingSource[[#This Row],[Satisfaction_Score2]],0)</f>
        <v>3</v>
      </c>
      <c r="N811">
        <v>3.1</v>
      </c>
    </row>
    <row r="812" spans="1:14" x14ac:dyDescent="0.3">
      <c r="A812" t="s">
        <v>655</v>
      </c>
      <c r="B812" t="str">
        <f>TRIM(TTrainingSource[[#This Row],[EMPloyee_ID2]])</f>
        <v>EMP10395</v>
      </c>
      <c r="C812" t="str">
        <f>IFERROR(VLOOKUP(TTrainingSource[[#This Row],[Employee_ID]],THrList[],3,FALSE),"")</f>
        <v>LOPEZ</v>
      </c>
      <c r="D812" t="str">
        <f>IFERROR(VLOOKUP(TTrainingSource[[#This Row],[Employee_ID]],THrList[],4,FALSE),"")</f>
        <v>Mariama</v>
      </c>
      <c r="E812" t="str">
        <f>IFERROR(VLOOKUP(TTrainingSource[[#This Row],[Employee_ID]],THrList[],10,FALSE),"")</f>
        <v>Procurement</v>
      </c>
      <c r="F812" t="str">
        <f>TRIM(PROPER(TTrainingSource[[#This Row],[Training_Status2]]))</f>
        <v>Completed</v>
      </c>
      <c r="G812" t="s">
        <v>17</v>
      </c>
      <c r="H812" t="str">
        <f>TRIM(PROPER(TTrainingSource[[#This Row],[Training_Title2]]))</f>
        <v>Advanced Excel For Business</v>
      </c>
      <c r="I812" t="s">
        <v>52</v>
      </c>
      <c r="J812" s="1">
        <v>45418</v>
      </c>
      <c r="K812" t="s">
        <v>98</v>
      </c>
      <c r="L812" s="7">
        <v>0</v>
      </c>
      <c r="M812">
        <f>ROUND(TTrainingSource[[#This Row],[Satisfaction_Score2]],0)</f>
        <v>4</v>
      </c>
      <c r="N812">
        <v>4.2</v>
      </c>
    </row>
    <row r="813" spans="1:14" x14ac:dyDescent="0.3">
      <c r="A813" t="s">
        <v>655</v>
      </c>
      <c r="B813" t="str">
        <f>TRIM(TTrainingSource[[#This Row],[EMPloyee_ID2]])</f>
        <v>EMP10395</v>
      </c>
      <c r="C813" t="str">
        <f>IFERROR(VLOOKUP(TTrainingSource[[#This Row],[Employee_ID]],THrList[],3,FALSE),"")</f>
        <v>LOPEZ</v>
      </c>
      <c r="D813" t="str">
        <f>IFERROR(VLOOKUP(TTrainingSource[[#This Row],[Employee_ID]],THrList[],4,FALSE),"")</f>
        <v>Mariama</v>
      </c>
      <c r="E813" t="str">
        <f>IFERROR(VLOOKUP(TTrainingSource[[#This Row],[Employee_ID]],THrList[],10,FALSE),"")</f>
        <v>Procurement</v>
      </c>
      <c r="F813" t="str">
        <f>TRIM(PROPER(TTrainingSource[[#This Row],[Training_Status2]]))</f>
        <v>In Progress</v>
      </c>
      <c r="G813" t="s">
        <v>8</v>
      </c>
      <c r="H813" t="str">
        <f>TRIM(PROPER(TTrainingSource[[#This Row],[Training_Title2]]))</f>
        <v>Sql For Data Analytics</v>
      </c>
      <c r="I813" t="s">
        <v>26</v>
      </c>
      <c r="J813" s="1">
        <v>44916</v>
      </c>
      <c r="K813" t="s">
        <v>39</v>
      </c>
      <c r="L813" s="7">
        <v>40</v>
      </c>
      <c r="M813">
        <f>ROUND(TTrainingSource[[#This Row],[Satisfaction_Score2]],0)</f>
        <v>5</v>
      </c>
      <c r="N813">
        <v>4.5999999999999996</v>
      </c>
    </row>
    <row r="814" spans="1:14" x14ac:dyDescent="0.3">
      <c r="A814" t="s">
        <v>442</v>
      </c>
      <c r="B814" t="str">
        <f>TRIM(TTrainingSource[[#This Row],[EMPloyee_ID2]])</f>
        <v>EMP10397</v>
      </c>
      <c r="C814" t="str">
        <f>IFERROR(VLOOKUP(TTrainingSource[[#This Row],[Employee_ID]],THrList[],3,FALSE),"")</f>
        <v>TAYLOR</v>
      </c>
      <c r="D814" t="str">
        <f>IFERROR(VLOOKUP(TTrainingSource[[#This Row],[Employee_ID]],THrList[],4,FALSE),"")</f>
        <v>Mia</v>
      </c>
      <c r="E814" t="str">
        <f>IFERROR(VLOOKUP(TTrainingSource[[#This Row],[Employee_ID]],THrList[],10,FALSE),"")</f>
        <v>Finance</v>
      </c>
      <c r="F814" t="str">
        <f>TRIM(PROPER(TTrainingSource[[#This Row],[Training_Status2]]))</f>
        <v>Completed</v>
      </c>
      <c r="G814" t="s">
        <v>17</v>
      </c>
      <c r="H814" t="str">
        <f>TRIM(PROPER(TTrainingSource[[#This Row],[Training_Title2]]))</f>
        <v>Data Visualization Best Practices</v>
      </c>
      <c r="I814" t="s">
        <v>20</v>
      </c>
      <c r="J814" s="1">
        <v>44860</v>
      </c>
      <c r="K814" t="s">
        <v>98</v>
      </c>
      <c r="L814" s="7">
        <v>12</v>
      </c>
      <c r="M814">
        <f>ROUND(TTrainingSource[[#This Row],[Satisfaction_Score2]],0)</f>
        <v>3</v>
      </c>
      <c r="N814">
        <v>2.6</v>
      </c>
    </row>
    <row r="815" spans="1:14" x14ac:dyDescent="0.3">
      <c r="A815" t="s">
        <v>681</v>
      </c>
      <c r="B815" t="str">
        <f>TRIM(TTrainingSource[[#This Row],[EMPloyee_ID2]])</f>
        <v>EMP10397</v>
      </c>
      <c r="C815" t="str">
        <f>IFERROR(VLOOKUP(TTrainingSource[[#This Row],[Employee_ID]],THrList[],3,FALSE),"")</f>
        <v>TAYLOR</v>
      </c>
      <c r="D815" t="str">
        <f>IFERROR(VLOOKUP(TTrainingSource[[#This Row],[Employee_ID]],THrList[],4,FALSE),"")</f>
        <v>Mia</v>
      </c>
      <c r="E815" t="str">
        <f>IFERROR(VLOOKUP(TTrainingSource[[#This Row],[Employee_ID]],THrList[],10,FALSE),"")</f>
        <v>Finance</v>
      </c>
      <c r="F815" t="str">
        <f>TRIM(PROPER(TTrainingSource[[#This Row],[Training_Status2]]))</f>
        <v>Planned</v>
      </c>
      <c r="G815" t="s">
        <v>19</v>
      </c>
      <c r="H815" t="str">
        <f>TRIM(PROPER(TTrainingSource[[#This Row],[Training_Title2]]))</f>
        <v>Introduction To Python For Data</v>
      </c>
      <c r="I815" t="s">
        <v>62</v>
      </c>
      <c r="J815" s="1">
        <v>45137</v>
      </c>
      <c r="K815" t="s">
        <v>29</v>
      </c>
      <c r="L815" s="7">
        <v>8</v>
      </c>
      <c r="M815">
        <f>ROUND(TTrainingSource[[#This Row],[Satisfaction_Score2]],0)</f>
        <v>3</v>
      </c>
      <c r="N815">
        <v>3.1</v>
      </c>
    </row>
    <row r="816" spans="1:14" x14ac:dyDescent="0.3">
      <c r="A816" t="s">
        <v>540</v>
      </c>
      <c r="B816" t="str">
        <f>TRIM(TTrainingSource[[#This Row],[EMPloyee_ID2]])</f>
        <v>EMP10398</v>
      </c>
      <c r="C816" t="str">
        <f>IFERROR(VLOOKUP(TTrainingSource[[#This Row],[Employee_ID]],THrList[],3,FALSE),"")</f>
        <v>MARTIN</v>
      </c>
      <c r="D816" t="str">
        <f>IFERROR(VLOOKUP(TTrainingSource[[#This Row],[Employee_ID]],THrList[],4,FALSE),"")</f>
        <v>Benjamin</v>
      </c>
      <c r="E816" t="str">
        <f>IFERROR(VLOOKUP(TTrainingSource[[#This Row],[Employee_ID]],THrList[],10,FALSE),"")</f>
        <v>Marketing</v>
      </c>
      <c r="F816" t="str">
        <f>TRIM(PROPER(TTrainingSource[[#This Row],[Training_Status2]]))</f>
        <v>Completed</v>
      </c>
      <c r="G816" t="s">
        <v>17</v>
      </c>
      <c r="H816" t="str">
        <f>TRIM(PROPER(TTrainingSource[[#This Row],[Training_Title2]]))</f>
        <v>Advanced Excel For Business</v>
      </c>
      <c r="I816" t="s">
        <v>52</v>
      </c>
      <c r="J816" s="1">
        <v>45853</v>
      </c>
      <c r="K816" t="s">
        <v>98</v>
      </c>
      <c r="L816" s="7">
        <v>24</v>
      </c>
      <c r="M816">
        <f>ROUND(TTrainingSource[[#This Row],[Satisfaction_Score2]],0)</f>
        <v>3</v>
      </c>
      <c r="N816">
        <v>3</v>
      </c>
    </row>
    <row r="817" spans="1:14" x14ac:dyDescent="0.3">
      <c r="A817" t="s">
        <v>347</v>
      </c>
      <c r="B817" t="str">
        <f>TRIM(TTrainingSource[[#This Row],[EMPloyee_ID2]])</f>
        <v>EMP10398</v>
      </c>
      <c r="C817" t="str">
        <f>IFERROR(VLOOKUP(TTrainingSource[[#This Row],[Employee_ID]],THrList[],3,FALSE),"")</f>
        <v>MARTIN</v>
      </c>
      <c r="D817" t="str">
        <f>IFERROR(VLOOKUP(TTrainingSource[[#This Row],[Employee_ID]],THrList[],4,FALSE),"")</f>
        <v>Benjamin</v>
      </c>
      <c r="E817" t="str">
        <f>IFERROR(VLOOKUP(TTrainingSource[[#This Row],[Employee_ID]],THrList[],10,FALSE),"")</f>
        <v>Marketing</v>
      </c>
      <c r="F817" t="str">
        <f>TRIM(PROPER(TTrainingSource[[#This Row],[Training_Status2]]))</f>
        <v>Completed</v>
      </c>
      <c r="G817" t="s">
        <v>17</v>
      </c>
      <c r="H817" t="str">
        <f>TRIM(PROPER(TTrainingSource[[#This Row],[Training_Title2]]))</f>
        <v>Digital Marketing Strategy</v>
      </c>
      <c r="I817" t="s">
        <v>79</v>
      </c>
      <c r="J817" s="1">
        <v>45106</v>
      </c>
      <c r="K817" t="s">
        <v>44</v>
      </c>
      <c r="L817" s="7">
        <v>4</v>
      </c>
      <c r="M817">
        <f>ROUND(TTrainingSource[[#This Row],[Satisfaction_Score2]],0)</f>
        <v>3</v>
      </c>
      <c r="N817">
        <v>2.8</v>
      </c>
    </row>
    <row r="818" spans="1:14" x14ac:dyDescent="0.3">
      <c r="A818" t="s">
        <v>540</v>
      </c>
      <c r="B818" t="str">
        <f>TRIM(TTrainingSource[[#This Row],[EMPloyee_ID2]])</f>
        <v>EMP10398</v>
      </c>
      <c r="C818" t="str">
        <f>IFERROR(VLOOKUP(TTrainingSource[[#This Row],[Employee_ID]],THrList[],3,FALSE),"")</f>
        <v>MARTIN</v>
      </c>
      <c r="D818" t="str">
        <f>IFERROR(VLOOKUP(TTrainingSource[[#This Row],[Employee_ID]],THrList[],4,FALSE),"")</f>
        <v>Benjamin</v>
      </c>
      <c r="E818" t="str">
        <f>IFERROR(VLOOKUP(TTrainingSource[[#This Row],[Employee_ID]],THrList[],10,FALSE),"")</f>
        <v>Marketing</v>
      </c>
      <c r="F818" t="str">
        <f>TRIM(PROPER(TTrainingSource[[#This Row],[Training_Status2]]))</f>
        <v>Completed</v>
      </c>
      <c r="G818" t="s">
        <v>17</v>
      </c>
      <c r="H818" t="str">
        <f>TRIM(PROPER(TTrainingSource[[#This Row],[Training_Title2]]))</f>
        <v>Sql For Data Analytics</v>
      </c>
      <c r="I818" t="s">
        <v>26</v>
      </c>
      <c r="J818" s="1">
        <v>45574</v>
      </c>
      <c r="K818" t="s">
        <v>44</v>
      </c>
      <c r="L818" s="7">
        <v>32</v>
      </c>
      <c r="M818">
        <f>ROUND(TTrainingSource[[#This Row],[Satisfaction_Score2]],0)</f>
        <v>3</v>
      </c>
      <c r="N818">
        <v>3.1</v>
      </c>
    </row>
    <row r="819" spans="1:14" x14ac:dyDescent="0.3">
      <c r="A819" t="s">
        <v>540</v>
      </c>
      <c r="B819" t="str">
        <f>TRIM(TTrainingSource[[#This Row],[EMPloyee_ID2]])</f>
        <v>EMP10398</v>
      </c>
      <c r="C819" t="str">
        <f>IFERROR(VLOOKUP(TTrainingSource[[#This Row],[Employee_ID]],THrList[],3,FALSE),"")</f>
        <v>MARTIN</v>
      </c>
      <c r="D819" t="str">
        <f>IFERROR(VLOOKUP(TTrainingSource[[#This Row],[Employee_ID]],THrList[],4,FALSE),"")</f>
        <v>Benjamin</v>
      </c>
      <c r="E819" t="str">
        <f>IFERROR(VLOOKUP(TTrainingSource[[#This Row],[Employee_ID]],THrList[],10,FALSE),"")</f>
        <v>Marketing</v>
      </c>
      <c r="F819" t="str">
        <f>TRIM(PROPER(TTrainingSource[[#This Row],[Training_Status2]]))</f>
        <v>Planned</v>
      </c>
      <c r="G819" t="s">
        <v>10</v>
      </c>
      <c r="H819" t="str">
        <f>TRIM(PROPER(TTrainingSource[[#This Row],[Training_Title2]]))</f>
        <v>Business Intelligence With Tableau</v>
      </c>
      <c r="I819" t="s">
        <v>22</v>
      </c>
      <c r="J819" s="1">
        <v>44814</v>
      </c>
      <c r="K819" t="s">
        <v>42</v>
      </c>
      <c r="L819" s="7">
        <v>20</v>
      </c>
      <c r="M819">
        <f>ROUND(TTrainingSource[[#This Row],[Satisfaction_Score2]],0)</f>
        <v>4</v>
      </c>
      <c r="N819">
        <v>4.0999999999999996</v>
      </c>
    </row>
    <row r="820" spans="1:14" x14ac:dyDescent="0.3">
      <c r="A820" t="s">
        <v>540</v>
      </c>
      <c r="B820" t="str">
        <f>TRIM(TTrainingSource[[#This Row],[EMPloyee_ID2]])</f>
        <v>EMP10398</v>
      </c>
      <c r="C820" t="str">
        <f>IFERROR(VLOOKUP(TTrainingSource[[#This Row],[Employee_ID]],THrList[],3,FALSE),"")</f>
        <v>MARTIN</v>
      </c>
      <c r="D820" t="str">
        <f>IFERROR(VLOOKUP(TTrainingSource[[#This Row],[Employee_ID]],THrList[],4,FALSE),"")</f>
        <v>Benjamin</v>
      </c>
      <c r="E820" t="str">
        <f>IFERROR(VLOOKUP(TTrainingSource[[#This Row],[Employee_ID]],THrList[],10,FALSE),"")</f>
        <v>Marketing</v>
      </c>
      <c r="F820" t="str">
        <f>TRIM(PROPER(TTrainingSource[[#This Row],[Training_Status2]]))</f>
        <v>Completed</v>
      </c>
      <c r="G820" t="s">
        <v>35</v>
      </c>
      <c r="H820" t="str">
        <f>TRIM(PROPER(TTrainingSource[[#This Row],[Training_Title2]]))</f>
        <v>Sql For Data Analytics</v>
      </c>
      <c r="I820" t="s">
        <v>26</v>
      </c>
      <c r="J820" s="1">
        <v>45485</v>
      </c>
      <c r="K820" t="s">
        <v>39</v>
      </c>
      <c r="L820" s="7">
        <v>32</v>
      </c>
      <c r="M820">
        <f>ROUND(TTrainingSource[[#This Row],[Satisfaction_Score2]],0)</f>
        <v>3</v>
      </c>
      <c r="N820">
        <v>2.5</v>
      </c>
    </row>
    <row r="821" spans="1:14" x14ac:dyDescent="0.3">
      <c r="A821" t="s">
        <v>368</v>
      </c>
      <c r="B821" t="str">
        <f>TRIM(TTrainingSource[[#This Row],[EMPloyee_ID2]])</f>
        <v>EMP10399</v>
      </c>
      <c r="C821" t="str">
        <f>IFERROR(VLOOKUP(TTrainingSource[[#This Row],[Employee_ID]],THrList[],3,FALSE),"")</f>
        <v>LEROY</v>
      </c>
      <c r="D821" t="str">
        <f>IFERROR(VLOOKUP(TTrainingSource[[#This Row],[Employee_ID]],THrList[],4,FALSE),"")</f>
        <v>Amina</v>
      </c>
      <c r="E821" t="str">
        <f>IFERROR(VLOOKUP(TTrainingSource[[#This Row],[Employee_ID]],THrList[],10,FALSE),"")</f>
        <v>Marketing</v>
      </c>
      <c r="F821" t="str">
        <f>TRIM(PROPER(TTrainingSource[[#This Row],[Training_Status2]]))</f>
        <v>Planned</v>
      </c>
      <c r="G821" t="s">
        <v>19</v>
      </c>
      <c r="H821" t="str">
        <f>TRIM(PROPER(TTrainingSource[[#This Row],[Training_Title2]]))</f>
        <v>Communication For Analysts</v>
      </c>
      <c r="I821" t="s">
        <v>28</v>
      </c>
      <c r="J821" s="1">
        <v>45637</v>
      </c>
      <c r="K821" t="s">
        <v>46</v>
      </c>
      <c r="L821" s="7">
        <v>0</v>
      </c>
      <c r="M821">
        <f>ROUND(TTrainingSource[[#This Row],[Satisfaction_Score2]],0)</f>
        <v>3</v>
      </c>
      <c r="N821">
        <v>2.8</v>
      </c>
    </row>
    <row r="822" spans="1:14" x14ac:dyDescent="0.3">
      <c r="A822" t="s">
        <v>368</v>
      </c>
      <c r="B822" t="str">
        <f>TRIM(TTrainingSource[[#This Row],[EMPloyee_ID2]])</f>
        <v>EMP10399</v>
      </c>
      <c r="C822" t="str">
        <f>IFERROR(VLOOKUP(TTrainingSource[[#This Row],[Employee_ID]],THrList[],3,FALSE),"")</f>
        <v>LEROY</v>
      </c>
      <c r="D822" t="str">
        <f>IFERROR(VLOOKUP(TTrainingSource[[#This Row],[Employee_ID]],THrList[],4,FALSE),"")</f>
        <v>Amina</v>
      </c>
      <c r="E822" t="str">
        <f>IFERROR(VLOOKUP(TTrainingSource[[#This Row],[Employee_ID]],THrList[],10,FALSE),"")</f>
        <v>Marketing</v>
      </c>
      <c r="F822" t="str">
        <f>TRIM(PROPER(TTrainingSource[[#This Row],[Training_Status2]]))</f>
        <v>Completed</v>
      </c>
      <c r="G822" t="s">
        <v>17</v>
      </c>
      <c r="H822" t="str">
        <f>TRIM(PROPER(TTrainingSource[[#This Row],[Training_Title2]]))</f>
        <v>Financial Modeling Basics</v>
      </c>
      <c r="I822" t="s">
        <v>38</v>
      </c>
      <c r="J822" s="1">
        <v>44961</v>
      </c>
      <c r="K822" t="s">
        <v>12</v>
      </c>
      <c r="L822" s="7">
        <v>24</v>
      </c>
      <c r="M822">
        <f>ROUND(TTrainingSource[[#This Row],[Satisfaction_Score2]],0)</f>
        <v>3</v>
      </c>
      <c r="N822">
        <v>2.6</v>
      </c>
    </row>
    <row r="823" spans="1:14" x14ac:dyDescent="0.3">
      <c r="A823" t="s">
        <v>416</v>
      </c>
      <c r="B823" t="str">
        <f>TRIM(TTrainingSource[[#This Row],[EMPloyee_ID2]])</f>
        <v>EMP10401</v>
      </c>
      <c r="C823" t="str">
        <f>IFERROR(VLOOKUP(TTrainingSource[[#This Row],[Employee_ID]],THrList[],3,FALSE),"")</f>
        <v>THOMAS</v>
      </c>
      <c r="D823" t="str">
        <f>IFERROR(VLOOKUP(TTrainingSource[[#This Row],[Employee_ID]],THrList[],4,FALSE),"")</f>
        <v>Emily</v>
      </c>
      <c r="E823" t="str">
        <f>IFERROR(VLOOKUP(TTrainingSource[[#This Row],[Employee_ID]],THrList[],10,FALSE),"")</f>
        <v>IT</v>
      </c>
      <c r="F823" t="str">
        <f>TRIM(PROPER(TTrainingSource[[#This Row],[Training_Status2]]))</f>
        <v>In Progress</v>
      </c>
      <c r="G823" t="s">
        <v>8</v>
      </c>
      <c r="H823" t="str">
        <f>TRIM(PROPER(TTrainingSource[[#This Row],[Training_Title2]]))</f>
        <v>Financial Modeling Basics</v>
      </c>
      <c r="I823" t="s">
        <v>38</v>
      </c>
      <c r="J823" s="1">
        <v>45770</v>
      </c>
      <c r="K823" t="s">
        <v>44</v>
      </c>
      <c r="L823" s="7">
        <v>24</v>
      </c>
      <c r="M823">
        <f>ROUND(TTrainingSource[[#This Row],[Satisfaction_Score2]],0)</f>
        <v>5</v>
      </c>
      <c r="N823">
        <v>4.5</v>
      </c>
    </row>
    <row r="824" spans="1:14" x14ac:dyDescent="0.3">
      <c r="A824" t="s">
        <v>416</v>
      </c>
      <c r="B824" t="str">
        <f>TRIM(TTrainingSource[[#This Row],[EMPloyee_ID2]])</f>
        <v>EMP10401</v>
      </c>
      <c r="C824" t="str">
        <f>IFERROR(VLOOKUP(TTrainingSource[[#This Row],[Employee_ID]],THrList[],3,FALSE),"")</f>
        <v>THOMAS</v>
      </c>
      <c r="D824" t="str">
        <f>IFERROR(VLOOKUP(TTrainingSource[[#This Row],[Employee_ID]],THrList[],4,FALSE),"")</f>
        <v>Emily</v>
      </c>
      <c r="E824" t="str">
        <f>IFERROR(VLOOKUP(TTrainingSource[[#This Row],[Employee_ID]],THrList[],10,FALSE),"")</f>
        <v>IT</v>
      </c>
      <c r="F824" t="str">
        <f>TRIM(PROPER(TTrainingSource[[#This Row],[Training_Status2]]))</f>
        <v>Planned</v>
      </c>
      <c r="G824" t="s">
        <v>19</v>
      </c>
      <c r="H824" t="str">
        <f>TRIM(PROPER(TTrainingSource[[#This Row],[Training_Title2]]))</f>
        <v>Introduction To Python For Data</v>
      </c>
      <c r="I824" t="s">
        <v>62</v>
      </c>
      <c r="J824" s="1">
        <v>44709</v>
      </c>
      <c r="K824" t="s">
        <v>1072</v>
      </c>
      <c r="L824" s="7">
        <v>12</v>
      </c>
      <c r="M824">
        <f>ROUND(TTrainingSource[[#This Row],[Satisfaction_Score2]],0)</f>
        <v>4</v>
      </c>
      <c r="N824">
        <v>4.4000000000000004</v>
      </c>
    </row>
    <row r="825" spans="1:14" x14ac:dyDescent="0.3">
      <c r="A825" t="s">
        <v>416</v>
      </c>
      <c r="B825" t="str">
        <f>TRIM(TTrainingSource[[#This Row],[EMPloyee_ID2]])</f>
        <v>EMP10401</v>
      </c>
      <c r="C825" t="str">
        <f>IFERROR(VLOOKUP(TTrainingSource[[#This Row],[Employee_ID]],THrList[],3,FALSE),"")</f>
        <v>THOMAS</v>
      </c>
      <c r="D825" t="str">
        <f>IFERROR(VLOOKUP(TTrainingSource[[#This Row],[Employee_ID]],THrList[],4,FALSE),"")</f>
        <v>Emily</v>
      </c>
      <c r="E825" t="str">
        <f>IFERROR(VLOOKUP(TTrainingSource[[#This Row],[Employee_ID]],THrList[],10,FALSE),"")</f>
        <v>IT</v>
      </c>
      <c r="F825" t="str">
        <f>TRIM(PROPER(TTrainingSource[[#This Row],[Training_Status2]]))</f>
        <v>Completed</v>
      </c>
      <c r="G825" t="s">
        <v>17</v>
      </c>
      <c r="H825" t="str">
        <f>TRIM(PROPER(TTrainingSource[[#This Row],[Training_Title2]]))</f>
        <v>Digital Marketing Strategy</v>
      </c>
      <c r="I825" t="s">
        <v>43</v>
      </c>
      <c r="J825" s="1">
        <v>44580</v>
      </c>
      <c r="K825" t="s">
        <v>29</v>
      </c>
      <c r="L825" s="7">
        <v>8</v>
      </c>
      <c r="M825">
        <f>ROUND(TTrainingSource[[#This Row],[Satisfaction_Score2]],0)</f>
        <v>4</v>
      </c>
      <c r="N825">
        <v>4.0999999999999996</v>
      </c>
    </row>
    <row r="826" spans="1:14" x14ac:dyDescent="0.3">
      <c r="A826" t="s">
        <v>275</v>
      </c>
      <c r="B826" t="str">
        <f>TRIM(TTrainingSource[[#This Row],[EMPloyee_ID2]])</f>
        <v>EMP10402</v>
      </c>
      <c r="C826" t="str">
        <f>IFERROR(VLOOKUP(TTrainingSource[[#This Row],[Employee_ID]],THrList[],3,FALSE),"")</f>
        <v>LAURENT</v>
      </c>
      <c r="D826" t="str">
        <f>IFERROR(VLOOKUP(TTrainingSource[[#This Row],[Employee_ID]],THrList[],4,FALSE),"")</f>
        <v>Ada</v>
      </c>
      <c r="E826" t="str">
        <f>IFERROR(VLOOKUP(TTrainingSource[[#This Row],[Employee_ID]],THrList[],10,FALSE),"")</f>
        <v>Procurement</v>
      </c>
      <c r="F826" t="str">
        <f>TRIM(PROPER(TTrainingSource[[#This Row],[Training_Status2]]))</f>
        <v>Planned</v>
      </c>
      <c r="G826" t="s">
        <v>10</v>
      </c>
      <c r="H826" t="str">
        <f>TRIM(PROPER(TTrainingSource[[#This Row],[Training_Title2]]))</f>
        <v>Data Analysis Fundamentals</v>
      </c>
      <c r="I826" t="s">
        <v>9</v>
      </c>
      <c r="J826" s="1">
        <v>45346</v>
      </c>
      <c r="K826" t="s">
        <v>39</v>
      </c>
      <c r="L826" s="7">
        <v>16</v>
      </c>
      <c r="M826">
        <f>ROUND(TTrainingSource[[#This Row],[Satisfaction_Score2]],0)</f>
        <v>3</v>
      </c>
      <c r="N826">
        <v>2.5</v>
      </c>
    </row>
    <row r="827" spans="1:14" x14ac:dyDescent="0.3">
      <c r="A827" t="s">
        <v>275</v>
      </c>
      <c r="B827" t="str">
        <f>TRIM(TTrainingSource[[#This Row],[EMPloyee_ID2]])</f>
        <v>EMP10402</v>
      </c>
      <c r="C827" t="str">
        <f>IFERROR(VLOOKUP(TTrainingSource[[#This Row],[Employee_ID]],THrList[],3,FALSE),"")</f>
        <v>LAURENT</v>
      </c>
      <c r="D827" t="str">
        <f>IFERROR(VLOOKUP(TTrainingSource[[#This Row],[Employee_ID]],THrList[],4,FALSE),"")</f>
        <v>Ada</v>
      </c>
      <c r="E827" t="str">
        <f>IFERROR(VLOOKUP(TTrainingSource[[#This Row],[Employee_ID]],THrList[],10,FALSE),"")</f>
        <v>Procurement</v>
      </c>
      <c r="F827" t="str">
        <f>TRIM(PROPER(TTrainingSource[[#This Row],[Training_Status2]]))</f>
        <v>Planned</v>
      </c>
      <c r="G827" t="s">
        <v>19</v>
      </c>
      <c r="H827" t="str">
        <f>TRIM(PROPER(TTrainingSource[[#This Row],[Training_Title2]]))</f>
        <v>Introduction To Python For Data</v>
      </c>
      <c r="I827" t="s">
        <v>62</v>
      </c>
      <c r="J827" s="1">
        <v>45431</v>
      </c>
      <c r="K827" t="s">
        <v>29</v>
      </c>
      <c r="L827" s="7">
        <v>8</v>
      </c>
      <c r="M827">
        <f>ROUND(TTrainingSource[[#This Row],[Satisfaction_Score2]],0)</f>
        <v>4</v>
      </c>
      <c r="N827">
        <v>4.4000000000000004</v>
      </c>
    </row>
    <row r="828" spans="1:14" x14ac:dyDescent="0.3">
      <c r="A828" t="s">
        <v>675</v>
      </c>
      <c r="B828" t="str">
        <f>TRIM(TTrainingSource[[#This Row],[EMPloyee_ID2]])</f>
        <v>EMP10404</v>
      </c>
      <c r="C828" t="str">
        <f>IFERROR(VLOOKUP(TTrainingSource[[#This Row],[Employee_ID]],THrList[],3,FALSE),"")</f>
        <v>ANDERSON</v>
      </c>
      <c r="D828" t="str">
        <f>IFERROR(VLOOKUP(TTrainingSource[[#This Row],[Employee_ID]],THrList[],4,FALSE),"")</f>
        <v>Camille</v>
      </c>
      <c r="E828" t="str">
        <f>IFERROR(VLOOKUP(TTrainingSource[[#This Row],[Employee_ID]],THrList[],10,FALSE),"")</f>
        <v>Marketing</v>
      </c>
      <c r="F828" t="str">
        <f>TRIM(PROPER(TTrainingSource[[#This Row],[Training_Status2]]))</f>
        <v>In Progress</v>
      </c>
      <c r="G828" t="s">
        <v>8</v>
      </c>
      <c r="H828" t="str">
        <f>TRIM(PROPER(TTrainingSource[[#This Row],[Training_Title2]]))</f>
        <v>Introduction To Python For Data</v>
      </c>
      <c r="I828" t="s">
        <v>62</v>
      </c>
      <c r="J828" s="1">
        <v>44705</v>
      </c>
      <c r="K828" t="s">
        <v>39</v>
      </c>
      <c r="L828" s="7">
        <v>32</v>
      </c>
      <c r="M828">
        <f>ROUND(TTrainingSource[[#This Row],[Satisfaction_Score2]],0)</f>
        <v>4</v>
      </c>
      <c r="N828">
        <v>3.9</v>
      </c>
    </row>
    <row r="829" spans="1:14" x14ac:dyDescent="0.3">
      <c r="A829" t="s">
        <v>93</v>
      </c>
      <c r="B829" t="str">
        <f>TRIM(TTrainingSource[[#This Row],[EMPloyee_ID2]])</f>
        <v>EMP10405</v>
      </c>
      <c r="C829" t="str">
        <f>IFERROR(VLOOKUP(TTrainingSource[[#This Row],[Employee_ID]],THrList[],3,FALSE),"")</f>
        <v>MERCIER</v>
      </c>
      <c r="D829" t="str">
        <f>IFERROR(VLOOKUP(TTrainingSource[[#This Row],[Employee_ID]],THrList[],4,FALSE),"")</f>
        <v>Emily</v>
      </c>
      <c r="E829" t="str">
        <f>IFERROR(VLOOKUP(TTrainingSource[[#This Row],[Employee_ID]],THrList[],10,FALSE),"")</f>
        <v>Operations</v>
      </c>
      <c r="F829" t="str">
        <f>TRIM(PROPER(TTrainingSource[[#This Row],[Training_Status2]]))</f>
        <v>Completed</v>
      </c>
      <c r="G829" t="s">
        <v>17</v>
      </c>
      <c r="H829" t="str">
        <f>TRIM(PROPER(TTrainingSource[[#This Row],[Training_Title2]]))</f>
        <v>Financial Modeling Basics</v>
      </c>
      <c r="I829" t="s">
        <v>94</v>
      </c>
      <c r="J829" s="1">
        <v>44728</v>
      </c>
      <c r="K829" t="s">
        <v>12</v>
      </c>
      <c r="L829" s="7">
        <v>20</v>
      </c>
      <c r="M829">
        <f>ROUND(TTrainingSource[[#This Row],[Satisfaction_Score2]],0)</f>
        <v>4</v>
      </c>
      <c r="N829">
        <v>4.2</v>
      </c>
    </row>
    <row r="830" spans="1:14" x14ac:dyDescent="0.3">
      <c r="A830" t="s">
        <v>93</v>
      </c>
      <c r="B830" t="str">
        <f>TRIM(TTrainingSource[[#This Row],[EMPloyee_ID2]])</f>
        <v>EMP10405</v>
      </c>
      <c r="C830" t="str">
        <f>IFERROR(VLOOKUP(TTrainingSource[[#This Row],[Employee_ID]],THrList[],3,FALSE),"")</f>
        <v>MERCIER</v>
      </c>
      <c r="D830" t="str">
        <f>IFERROR(VLOOKUP(TTrainingSource[[#This Row],[Employee_ID]],THrList[],4,FALSE),"")</f>
        <v>Emily</v>
      </c>
      <c r="E830" t="str">
        <f>IFERROR(VLOOKUP(TTrainingSource[[#This Row],[Employee_ID]],THrList[],10,FALSE),"")</f>
        <v>Operations</v>
      </c>
      <c r="F830" t="str">
        <f>TRIM(PROPER(TTrainingSource[[#This Row],[Training_Status2]]))</f>
        <v>In Progress</v>
      </c>
      <c r="G830" t="s">
        <v>8</v>
      </c>
      <c r="H830" t="str">
        <f>TRIM(PROPER(TTrainingSource[[#This Row],[Training_Title2]]))</f>
        <v>Data Visualization Best Practices</v>
      </c>
      <c r="I830" t="s">
        <v>20</v>
      </c>
      <c r="J830" s="1">
        <v>44866</v>
      </c>
      <c r="K830" t="s">
        <v>12</v>
      </c>
      <c r="L830" s="7">
        <v>24</v>
      </c>
      <c r="M830">
        <f>ROUND(TTrainingSource[[#This Row],[Satisfaction_Score2]],0)</f>
        <v>3</v>
      </c>
      <c r="N830">
        <v>2.6</v>
      </c>
    </row>
    <row r="831" spans="1:14" x14ac:dyDescent="0.3">
      <c r="A831" t="s">
        <v>267</v>
      </c>
      <c r="B831" t="str">
        <f>TRIM(TTrainingSource[[#This Row],[EMPloyee_ID2]])</f>
        <v>EMP10406</v>
      </c>
      <c r="C831" t="str">
        <f>IFERROR(VLOOKUP(TTrainingSource[[#This Row],[Employee_ID]],THrList[],3,FALSE),"")</f>
        <v>LAURENT</v>
      </c>
      <c r="D831" t="str">
        <f>IFERROR(VLOOKUP(TTrainingSource[[#This Row],[Employee_ID]],THrList[],4,FALSE),"")</f>
        <v>Omar</v>
      </c>
      <c r="E831" t="str">
        <f>IFERROR(VLOOKUP(TTrainingSource[[#This Row],[Employee_ID]],THrList[],10,FALSE),"")</f>
        <v>Procurement</v>
      </c>
      <c r="F831" t="str">
        <f>TRIM(PROPER(TTrainingSource[[#This Row],[Training_Status2]]))</f>
        <v>Planned</v>
      </c>
      <c r="G831" t="s">
        <v>19</v>
      </c>
      <c r="H831" t="str">
        <f>TRIM(PROPER(TTrainingSource[[#This Row],[Training_Title2]]))</f>
        <v>Power Bi Reporting</v>
      </c>
      <c r="I831" t="s">
        <v>24</v>
      </c>
      <c r="J831" s="1">
        <v>45153</v>
      </c>
      <c r="K831" t="s">
        <v>98</v>
      </c>
      <c r="L831" s="7">
        <v>40</v>
      </c>
      <c r="M831">
        <f>ROUND(TTrainingSource[[#This Row],[Satisfaction_Score2]],0)</f>
        <v>3</v>
      </c>
      <c r="N831">
        <v>2.8</v>
      </c>
    </row>
    <row r="832" spans="1:14" x14ac:dyDescent="0.3">
      <c r="A832" t="s">
        <v>267</v>
      </c>
      <c r="B832" t="str">
        <f>TRIM(TTrainingSource[[#This Row],[EMPloyee_ID2]])</f>
        <v>EMP10406</v>
      </c>
      <c r="C832" t="str">
        <f>IFERROR(VLOOKUP(TTrainingSource[[#This Row],[Employee_ID]],THrList[],3,FALSE),"")</f>
        <v>LAURENT</v>
      </c>
      <c r="D832" t="str">
        <f>IFERROR(VLOOKUP(TTrainingSource[[#This Row],[Employee_ID]],THrList[],4,FALSE),"")</f>
        <v>Omar</v>
      </c>
      <c r="E832" t="str">
        <f>IFERROR(VLOOKUP(TTrainingSource[[#This Row],[Employee_ID]],THrList[],10,FALSE),"")</f>
        <v>Procurement</v>
      </c>
      <c r="F832" t="str">
        <f>TRIM(PROPER(TTrainingSource[[#This Row],[Training_Status2]]))</f>
        <v>Completed</v>
      </c>
      <c r="G832" t="s">
        <v>17</v>
      </c>
      <c r="H832" t="str">
        <f>TRIM(PROPER(TTrainingSource[[#This Row],[Training_Title2]]))</f>
        <v>Introduction To Python For Data</v>
      </c>
      <c r="I832" t="s">
        <v>62</v>
      </c>
      <c r="J832" s="1">
        <v>45426</v>
      </c>
      <c r="K832" t="s">
        <v>32</v>
      </c>
      <c r="L832" s="7">
        <v>12</v>
      </c>
      <c r="M832">
        <f>ROUND(TTrainingSource[[#This Row],[Satisfaction_Score2]],0)</f>
        <v>4</v>
      </c>
      <c r="N832">
        <v>4.2</v>
      </c>
    </row>
    <row r="833" spans="1:14" x14ac:dyDescent="0.3">
      <c r="A833" t="s">
        <v>267</v>
      </c>
      <c r="B833" t="str">
        <f>TRIM(TTrainingSource[[#This Row],[EMPloyee_ID2]])</f>
        <v>EMP10406</v>
      </c>
      <c r="C833" t="str">
        <f>IFERROR(VLOOKUP(TTrainingSource[[#This Row],[Employee_ID]],THrList[],3,FALSE),"")</f>
        <v>LAURENT</v>
      </c>
      <c r="D833" t="str">
        <f>IFERROR(VLOOKUP(TTrainingSource[[#This Row],[Employee_ID]],THrList[],4,FALSE),"")</f>
        <v>Omar</v>
      </c>
      <c r="E833" t="str">
        <f>IFERROR(VLOOKUP(TTrainingSource[[#This Row],[Employee_ID]],THrList[],10,FALSE),"")</f>
        <v>Procurement</v>
      </c>
      <c r="F833" t="str">
        <f>TRIM(PROPER(TTrainingSource[[#This Row],[Training_Status2]]))</f>
        <v>Completed</v>
      </c>
      <c r="G833" t="s">
        <v>17</v>
      </c>
      <c r="H833" t="str">
        <f>TRIM(PROPER(TTrainingSource[[#This Row],[Training_Title2]]))</f>
        <v>Data Analysis Fundamentals</v>
      </c>
      <c r="I833" t="s">
        <v>9</v>
      </c>
      <c r="J833" s="1">
        <v>45029</v>
      </c>
      <c r="K833" t="s">
        <v>39</v>
      </c>
      <c r="L833" s="7">
        <v>12</v>
      </c>
      <c r="M833">
        <f>ROUND(TTrainingSource[[#This Row],[Satisfaction_Score2]],0)</f>
        <v>3</v>
      </c>
      <c r="N833">
        <v>2.6</v>
      </c>
    </row>
    <row r="834" spans="1:14" x14ac:dyDescent="0.3">
      <c r="A834" t="s">
        <v>89</v>
      </c>
      <c r="B834" t="str">
        <f>TRIM(TTrainingSource[[#This Row],[EMPloyee_ID2]])</f>
        <v>EMP10407</v>
      </c>
      <c r="C834" t="str">
        <f>IFERROR(VLOOKUP(TTrainingSource[[#This Row],[Employee_ID]],THrList[],3,FALSE),"")</f>
        <v>IBRAHIM</v>
      </c>
      <c r="D834" t="str">
        <f>IFERROR(VLOOKUP(TTrainingSource[[#This Row],[Employee_ID]],THrList[],4,FALSE),"")</f>
        <v>Hugo</v>
      </c>
      <c r="E834" t="str">
        <f>IFERROR(VLOOKUP(TTrainingSource[[#This Row],[Employee_ID]],THrList[],10,FALSE),"")</f>
        <v>Sales</v>
      </c>
      <c r="F834" t="str">
        <f>TRIM(PROPER(TTrainingSource[[#This Row],[Training_Status2]]))</f>
        <v>Planned</v>
      </c>
      <c r="G834" t="s">
        <v>19</v>
      </c>
      <c r="H834" t="str">
        <f>TRIM(PROPER(TTrainingSource[[#This Row],[Training_Title2]]))</f>
        <v>Project Management Essentials</v>
      </c>
      <c r="I834" t="s">
        <v>14</v>
      </c>
      <c r="J834" s="1">
        <v>45732</v>
      </c>
      <c r="K834" t="s">
        <v>44</v>
      </c>
      <c r="L834" s="7">
        <v>8</v>
      </c>
      <c r="M834">
        <f>ROUND(TTrainingSource[[#This Row],[Satisfaction_Score2]],0)</f>
        <v>5</v>
      </c>
      <c r="N834">
        <v>4.5</v>
      </c>
    </row>
    <row r="835" spans="1:14" x14ac:dyDescent="0.3">
      <c r="A835" t="s">
        <v>246</v>
      </c>
      <c r="B835" t="str">
        <f>TRIM(TTrainingSource[[#This Row],[EMPloyee_ID2]])</f>
        <v>EMP10408</v>
      </c>
      <c r="C835" t="str">
        <f>IFERROR(VLOOKUP(TTrainingSource[[#This Row],[Employee_ID]],THrList[],3,FALSE),"")</f>
        <v>THOMAS</v>
      </c>
      <c r="D835" t="str">
        <f>IFERROR(VLOOKUP(TTrainingSource[[#This Row],[Employee_ID]],THrList[],4,FALSE),"")</f>
        <v>Noah</v>
      </c>
      <c r="E835" t="str">
        <f>IFERROR(VLOOKUP(TTrainingSource[[#This Row],[Employee_ID]],THrList[],10,FALSE),"")</f>
        <v>Operations</v>
      </c>
      <c r="F835" t="str">
        <f>TRIM(PROPER(TTrainingSource[[#This Row],[Training_Status2]]))</f>
        <v>Completed</v>
      </c>
      <c r="G835" t="s">
        <v>35</v>
      </c>
      <c r="H835" t="str">
        <f>TRIM(PROPER(TTrainingSource[[#This Row],[Training_Title2]]))</f>
        <v>Introduction To Python For Data</v>
      </c>
      <c r="I835" t="s">
        <v>62</v>
      </c>
      <c r="J835" s="1">
        <v>45793</v>
      </c>
      <c r="K835" t="s">
        <v>98</v>
      </c>
      <c r="L835" s="7">
        <v>4</v>
      </c>
      <c r="M835">
        <f>ROUND(TTrainingSource[[#This Row],[Satisfaction_Score2]],0)</f>
        <v>3</v>
      </c>
      <c r="N835">
        <v>2.6</v>
      </c>
    </row>
    <row r="836" spans="1:14" x14ac:dyDescent="0.3">
      <c r="A836" t="s">
        <v>511</v>
      </c>
      <c r="B836" t="str">
        <f>TRIM(TTrainingSource[[#This Row],[EMPloyee_ID2]])</f>
        <v>EMP10410</v>
      </c>
      <c r="C836" t="str">
        <f>IFERROR(VLOOKUP(TTrainingSource[[#This Row],[Employee_ID]],THrList[],3,FALSE),"")</f>
        <v>RODRIGUEZ</v>
      </c>
      <c r="D836" t="str">
        <f>IFERROR(VLOOKUP(TTrainingSource[[#This Row],[Employee_ID]],THrList[],4,FALSE),"")</f>
        <v>Claire</v>
      </c>
      <c r="E836" t="str">
        <f>IFERROR(VLOOKUP(TTrainingSource[[#This Row],[Employee_ID]],THrList[],10,FALSE),"")</f>
        <v>IT</v>
      </c>
      <c r="F836" t="str">
        <f>TRIM(PROPER(TTrainingSource[[#This Row],[Training_Status2]]))</f>
        <v>Completed</v>
      </c>
      <c r="G836" t="s">
        <v>69</v>
      </c>
      <c r="H836" t="str">
        <f>TRIM(PROPER(TTrainingSource[[#This Row],[Training_Title2]]))</f>
        <v>Advanced Excel For Business</v>
      </c>
      <c r="I836" t="s">
        <v>52</v>
      </c>
      <c r="J836" s="1">
        <v>45593</v>
      </c>
      <c r="K836" t="s">
        <v>12</v>
      </c>
      <c r="L836" s="7">
        <v>12</v>
      </c>
      <c r="M836">
        <f>ROUND(TTrainingSource[[#This Row],[Satisfaction_Score2]],0)</f>
        <v>3</v>
      </c>
      <c r="N836">
        <v>3.3</v>
      </c>
    </row>
    <row r="837" spans="1:14" x14ac:dyDescent="0.3">
      <c r="A837" t="s">
        <v>511</v>
      </c>
      <c r="B837" t="str">
        <f>TRIM(TTrainingSource[[#This Row],[EMPloyee_ID2]])</f>
        <v>EMP10410</v>
      </c>
      <c r="C837" t="str">
        <f>IFERROR(VLOOKUP(TTrainingSource[[#This Row],[Employee_ID]],THrList[],3,FALSE),"")</f>
        <v>RODRIGUEZ</v>
      </c>
      <c r="D837" t="str">
        <f>IFERROR(VLOOKUP(TTrainingSource[[#This Row],[Employee_ID]],THrList[],4,FALSE),"")</f>
        <v>Claire</v>
      </c>
      <c r="E837" t="str">
        <f>IFERROR(VLOOKUP(TTrainingSource[[#This Row],[Employee_ID]],THrList[],10,FALSE),"")</f>
        <v>IT</v>
      </c>
      <c r="F837" t="str">
        <f>TRIM(PROPER(TTrainingSource[[#This Row],[Training_Status2]]))</f>
        <v>Completed</v>
      </c>
      <c r="G837" t="s">
        <v>17</v>
      </c>
      <c r="H837" t="str">
        <f>TRIM(PROPER(TTrainingSource[[#This Row],[Training_Title2]]))</f>
        <v>Customer Data Analysis</v>
      </c>
      <c r="I837" t="s">
        <v>31</v>
      </c>
      <c r="J837" s="1">
        <v>44866</v>
      </c>
      <c r="K837" t="s">
        <v>132</v>
      </c>
      <c r="L837" s="7">
        <v>20</v>
      </c>
      <c r="M837">
        <f>ROUND(TTrainingSource[[#This Row],[Satisfaction_Score2]],0)</f>
        <v>4</v>
      </c>
      <c r="N837">
        <v>3.8</v>
      </c>
    </row>
    <row r="838" spans="1:14" x14ac:dyDescent="0.3">
      <c r="A838" t="s">
        <v>206</v>
      </c>
      <c r="B838" t="str">
        <f>TRIM(TTrainingSource[[#This Row],[EMPloyee_ID2]])</f>
        <v>EMP10411</v>
      </c>
      <c r="C838" t="str">
        <f>IFERROR(VLOOKUP(TTrainingSource[[#This Row],[Employee_ID]],THrList[],3,FALSE),"")</f>
        <v>BROWN</v>
      </c>
      <c r="D838" t="str">
        <f>IFERROR(VLOOKUP(TTrainingSource[[#This Row],[Employee_ID]],THrList[],4,FALSE),"")</f>
        <v>Chinedu</v>
      </c>
      <c r="E838" t="str">
        <f>IFERROR(VLOOKUP(TTrainingSource[[#This Row],[Employee_ID]],THrList[],10,FALSE),"")</f>
        <v>Marketing</v>
      </c>
      <c r="F838" t="str">
        <f>TRIM(PROPER(TTrainingSource[[#This Row],[Training_Status2]]))</f>
        <v>Planned</v>
      </c>
      <c r="G838" t="s">
        <v>19</v>
      </c>
      <c r="H838" t="str">
        <f>TRIM(PROPER(TTrainingSource[[#This Row],[Training_Title2]]))</f>
        <v>Data Visualization Best Practices</v>
      </c>
      <c r="I838" t="s">
        <v>20</v>
      </c>
      <c r="J838" s="1">
        <v>45401</v>
      </c>
      <c r="K838" t="s">
        <v>42</v>
      </c>
      <c r="L838" s="7">
        <v>8</v>
      </c>
      <c r="M838">
        <f>ROUND(TTrainingSource[[#This Row],[Satisfaction_Score2]],0)</f>
        <v>4</v>
      </c>
      <c r="N838">
        <v>3.6</v>
      </c>
    </row>
    <row r="839" spans="1:14" x14ac:dyDescent="0.3">
      <c r="A839" t="s">
        <v>566</v>
      </c>
      <c r="B839" t="str">
        <f>TRIM(TTrainingSource[[#This Row],[EMPloyee_ID2]])</f>
        <v>EMP10412</v>
      </c>
      <c r="C839" t="str">
        <f>IFERROR(VLOOKUP(TTrainingSource[[#This Row],[Employee_ID]],THrList[],3,FALSE),"")</f>
        <v>SINGH</v>
      </c>
      <c r="D839" t="str">
        <f>IFERROR(VLOOKUP(TTrainingSource[[#This Row],[Employee_ID]],THrList[],4,FALSE),"")</f>
        <v>Kofi</v>
      </c>
      <c r="E839" t="str">
        <f>IFERROR(VLOOKUP(TTrainingSource[[#This Row],[Employee_ID]],THrList[],10,FALSE),"")</f>
        <v>Procurement</v>
      </c>
      <c r="F839" t="str">
        <f>TRIM(PROPER(TTrainingSource[[#This Row],[Training_Status2]]))</f>
        <v>In Progress</v>
      </c>
      <c r="G839" t="s">
        <v>8</v>
      </c>
      <c r="H839" t="str">
        <f>TRIM(PROPER(TTrainingSource[[#This Row],[Training_Title2]]))</f>
        <v>Customer Data Analysis</v>
      </c>
      <c r="I839" t="s">
        <v>31</v>
      </c>
      <c r="J839" s="1">
        <v>44935</v>
      </c>
      <c r="K839" t="s">
        <v>42</v>
      </c>
      <c r="L839" s="7">
        <v>20</v>
      </c>
      <c r="M839">
        <f>ROUND(TTrainingSource[[#This Row],[Satisfaction_Score2]],0)</f>
        <v>4</v>
      </c>
      <c r="N839">
        <v>3.8</v>
      </c>
    </row>
    <row r="840" spans="1:14" x14ac:dyDescent="0.3">
      <c r="A840" t="s">
        <v>525</v>
      </c>
      <c r="B840" t="str">
        <f>TRIM(TTrainingSource[[#This Row],[EMPloyee_ID2]])</f>
        <v>EMP10413</v>
      </c>
      <c r="C840" t="str">
        <f>IFERROR(VLOOKUP(TTrainingSource[[#This Row],[Employee_ID]],THrList[],3,FALSE),"")</f>
        <v>SOW</v>
      </c>
      <c r="D840" t="str">
        <f>IFERROR(VLOOKUP(TTrainingSource[[#This Row],[Employee_ID]],THrList[],4,FALSE),"")</f>
        <v>Zainab</v>
      </c>
      <c r="E840" t="str">
        <f>IFERROR(VLOOKUP(TTrainingSource[[#This Row],[Employee_ID]],THrList[],10,FALSE),"")</f>
        <v>Procurement</v>
      </c>
      <c r="F840" t="str">
        <f>TRIM(PROPER(TTrainingSource[[#This Row],[Training_Status2]]))</f>
        <v>In Progress</v>
      </c>
      <c r="G840" t="s">
        <v>8</v>
      </c>
      <c r="H840" t="str">
        <f>TRIM(PROPER(TTrainingSource[[#This Row],[Training_Title2]]))</f>
        <v>Financial Modeling Basics</v>
      </c>
      <c r="I840" t="s">
        <v>38</v>
      </c>
      <c r="J840" s="1">
        <v>44903</v>
      </c>
      <c r="K840" t="s">
        <v>15</v>
      </c>
      <c r="L840" s="7">
        <v>8</v>
      </c>
      <c r="M840">
        <f>ROUND(TTrainingSource[[#This Row],[Satisfaction_Score2]],0)</f>
        <v>3</v>
      </c>
      <c r="N840">
        <v>2.5</v>
      </c>
    </row>
    <row r="841" spans="1:14" x14ac:dyDescent="0.3">
      <c r="A841" t="s">
        <v>510</v>
      </c>
      <c r="B841" t="str">
        <f>TRIM(TTrainingSource[[#This Row],[EMPloyee_ID2]])</f>
        <v>EMP10414</v>
      </c>
      <c r="C841" t="str">
        <f>IFERROR(VLOOKUP(TTrainingSource[[#This Row],[Employee_ID]],THrList[],3,FALSE),"")</f>
        <v>TOURE</v>
      </c>
      <c r="D841" t="str">
        <f>IFERROR(VLOOKUP(TTrainingSource[[#This Row],[Employee_ID]],THrList[],4,FALSE),"")</f>
        <v>Camille</v>
      </c>
      <c r="E841" t="str">
        <f>IFERROR(VLOOKUP(TTrainingSource[[#This Row],[Employee_ID]],THrList[],10,FALSE),"")</f>
        <v>IT</v>
      </c>
      <c r="F841" t="str">
        <f>TRIM(PROPER(TTrainingSource[[#This Row],[Training_Status2]]))</f>
        <v>In Progress</v>
      </c>
      <c r="G841" t="s">
        <v>8</v>
      </c>
      <c r="H841" t="str">
        <f>TRIM(PROPER(TTrainingSource[[#This Row],[Training_Title2]]))</f>
        <v>Sql For Data Analytics</v>
      </c>
      <c r="I841" t="s">
        <v>26</v>
      </c>
      <c r="J841" s="1">
        <v>45121</v>
      </c>
      <c r="K841" t="s">
        <v>32</v>
      </c>
      <c r="L841" s="7">
        <v>20</v>
      </c>
      <c r="M841">
        <f>ROUND(TTrainingSource[[#This Row],[Satisfaction_Score2]],0)</f>
        <v>3</v>
      </c>
      <c r="N841">
        <v>3.1</v>
      </c>
    </row>
    <row r="842" spans="1:14" x14ac:dyDescent="0.3">
      <c r="A842" t="s">
        <v>510</v>
      </c>
      <c r="B842" t="str">
        <f>TRIM(TTrainingSource[[#This Row],[EMPloyee_ID2]])</f>
        <v>EMP10414</v>
      </c>
      <c r="C842" t="str">
        <f>IFERROR(VLOOKUP(TTrainingSource[[#This Row],[Employee_ID]],THrList[],3,FALSE),"")</f>
        <v>TOURE</v>
      </c>
      <c r="D842" t="str">
        <f>IFERROR(VLOOKUP(TTrainingSource[[#This Row],[Employee_ID]],THrList[],4,FALSE),"")</f>
        <v>Camille</v>
      </c>
      <c r="E842" t="str">
        <f>IFERROR(VLOOKUP(TTrainingSource[[#This Row],[Employee_ID]],THrList[],10,FALSE),"")</f>
        <v>IT</v>
      </c>
      <c r="F842" t="str">
        <f>TRIM(PROPER(TTrainingSource[[#This Row],[Training_Status2]]))</f>
        <v>Planned</v>
      </c>
      <c r="G842" t="s">
        <v>10</v>
      </c>
      <c r="H842" t="str">
        <f>TRIM(PROPER(TTrainingSource[[#This Row],[Training_Title2]]))</f>
        <v>Customer Data Analysis</v>
      </c>
      <c r="I842" t="s">
        <v>31</v>
      </c>
      <c r="J842" s="1">
        <v>44691</v>
      </c>
      <c r="K842" t="s">
        <v>98</v>
      </c>
      <c r="L842" s="7">
        <v>32</v>
      </c>
      <c r="M842">
        <f>ROUND(TTrainingSource[[#This Row],[Satisfaction_Score2]],0)</f>
        <v>4</v>
      </c>
      <c r="N842">
        <v>3.6</v>
      </c>
    </row>
    <row r="843" spans="1:14" x14ac:dyDescent="0.3">
      <c r="A843" t="s">
        <v>510</v>
      </c>
      <c r="B843" t="str">
        <f>TRIM(TTrainingSource[[#This Row],[EMPloyee_ID2]])</f>
        <v>EMP10414</v>
      </c>
      <c r="C843" t="str">
        <f>IFERROR(VLOOKUP(TTrainingSource[[#This Row],[Employee_ID]],THrList[],3,FALSE),"")</f>
        <v>TOURE</v>
      </c>
      <c r="D843" t="str">
        <f>IFERROR(VLOOKUP(TTrainingSource[[#This Row],[Employee_ID]],THrList[],4,FALSE),"")</f>
        <v>Camille</v>
      </c>
      <c r="E843" t="str">
        <f>IFERROR(VLOOKUP(TTrainingSource[[#This Row],[Employee_ID]],THrList[],10,FALSE),"")</f>
        <v>IT</v>
      </c>
      <c r="F843" t="str">
        <f>TRIM(PROPER(TTrainingSource[[#This Row],[Training_Status2]]))</f>
        <v>Completed</v>
      </c>
      <c r="G843" t="s">
        <v>17</v>
      </c>
      <c r="H843" t="str">
        <f>TRIM(PROPER(TTrainingSource[[#This Row],[Training_Title2]]))</f>
        <v>Project Management Essentials</v>
      </c>
      <c r="I843" t="s">
        <v>182</v>
      </c>
      <c r="J843" s="1">
        <v>45060</v>
      </c>
      <c r="K843" t="s">
        <v>29</v>
      </c>
      <c r="L843" s="7">
        <v>6</v>
      </c>
      <c r="M843">
        <f>ROUND(TTrainingSource[[#This Row],[Satisfaction_Score2]],0)</f>
        <v>4</v>
      </c>
      <c r="N843">
        <v>4.4000000000000004</v>
      </c>
    </row>
    <row r="844" spans="1:14" x14ac:dyDescent="0.3">
      <c r="A844" t="s">
        <v>186</v>
      </c>
      <c r="B844" t="str">
        <f>TRIM(TTrainingSource[[#This Row],[EMPloyee_ID2]])</f>
        <v>EMP10415</v>
      </c>
      <c r="C844" t="str">
        <f>IFERROR(VLOOKUP(TTrainingSource[[#This Row],[Employee_ID]],THrList[],3,FALSE),"")</f>
        <v>PETIT</v>
      </c>
      <c r="D844" t="str">
        <f>IFERROR(VLOOKUP(TTrainingSource[[#This Row],[Employee_ID]],THrList[],4,FALSE),"")</f>
        <v>Benjamin</v>
      </c>
      <c r="E844" t="str">
        <f>IFERROR(VLOOKUP(TTrainingSource[[#This Row],[Employee_ID]],THrList[],10,FALSE),"")</f>
        <v>Human Resources</v>
      </c>
      <c r="F844" t="str">
        <f>TRIM(PROPER(TTrainingSource[[#This Row],[Training_Status2]]))</f>
        <v>Completed</v>
      </c>
      <c r="G844" t="s">
        <v>17</v>
      </c>
      <c r="H844" t="str">
        <f>TRIM(PROPER(TTrainingSource[[#This Row],[Training_Title2]]))</f>
        <v>Sql For Data Analytics</v>
      </c>
      <c r="I844" t="s">
        <v>26</v>
      </c>
      <c r="J844" s="1">
        <v>45623</v>
      </c>
      <c r="K844" t="s">
        <v>98</v>
      </c>
      <c r="L844" s="7">
        <v>32</v>
      </c>
      <c r="M844">
        <f>ROUND(TTrainingSource[[#This Row],[Satisfaction_Score2]],0)</f>
        <v>5</v>
      </c>
      <c r="N844">
        <v>4.5999999999999996</v>
      </c>
    </row>
    <row r="845" spans="1:14" x14ac:dyDescent="0.3">
      <c r="A845" t="s">
        <v>186</v>
      </c>
      <c r="B845" t="str">
        <f>TRIM(TTrainingSource[[#This Row],[EMPloyee_ID2]])</f>
        <v>EMP10415</v>
      </c>
      <c r="C845" t="str">
        <f>IFERROR(VLOOKUP(TTrainingSource[[#This Row],[Employee_ID]],THrList[],3,FALSE),"")</f>
        <v>PETIT</v>
      </c>
      <c r="D845" t="str">
        <f>IFERROR(VLOOKUP(TTrainingSource[[#This Row],[Employee_ID]],THrList[],4,FALSE),"")</f>
        <v>Benjamin</v>
      </c>
      <c r="E845" t="str">
        <f>IFERROR(VLOOKUP(TTrainingSource[[#This Row],[Employee_ID]],THrList[],10,FALSE),"")</f>
        <v>Human Resources</v>
      </c>
      <c r="F845" t="str">
        <f>TRIM(PROPER(TTrainingSource[[#This Row],[Training_Status2]]))</f>
        <v>Planned</v>
      </c>
      <c r="G845" t="s">
        <v>19</v>
      </c>
      <c r="H845" t="str">
        <f>TRIM(PROPER(TTrainingSource[[#This Row],[Training_Title2]]))</f>
        <v>Data Visualization Best Practices</v>
      </c>
      <c r="I845" t="s">
        <v>20</v>
      </c>
      <c r="J845" s="1">
        <v>45546</v>
      </c>
      <c r="K845" t="s">
        <v>46</v>
      </c>
      <c r="L845" s="7">
        <v>24</v>
      </c>
      <c r="M845">
        <f>ROUND(TTrainingSource[[#This Row],[Satisfaction_Score2]],0)</f>
        <v>3</v>
      </c>
      <c r="N845">
        <v>3.3</v>
      </c>
    </row>
    <row r="846" spans="1:14" x14ac:dyDescent="0.3">
      <c r="A846" t="s">
        <v>186</v>
      </c>
      <c r="B846" t="str">
        <f>TRIM(TTrainingSource[[#This Row],[EMPloyee_ID2]])</f>
        <v>EMP10415</v>
      </c>
      <c r="C846" t="str">
        <f>IFERROR(VLOOKUP(TTrainingSource[[#This Row],[Employee_ID]],THrList[],3,FALSE),"")</f>
        <v>PETIT</v>
      </c>
      <c r="D846" t="str">
        <f>IFERROR(VLOOKUP(TTrainingSource[[#This Row],[Employee_ID]],THrList[],4,FALSE),"")</f>
        <v>Benjamin</v>
      </c>
      <c r="E846" t="str">
        <f>IFERROR(VLOOKUP(TTrainingSource[[#This Row],[Employee_ID]],THrList[],10,FALSE),"")</f>
        <v>Human Resources</v>
      </c>
      <c r="F846" t="str">
        <f>TRIM(PROPER(TTrainingSource[[#This Row],[Training_Status2]]))</f>
        <v>Completed</v>
      </c>
      <c r="G846" t="s">
        <v>17</v>
      </c>
      <c r="H846" t="str">
        <f>TRIM(PROPER(TTrainingSource[[#This Row],[Training_Title2]]))</f>
        <v>Data Visualization Best Practices</v>
      </c>
      <c r="I846" t="s">
        <v>151</v>
      </c>
      <c r="J846" s="1">
        <v>45171</v>
      </c>
      <c r="K846" t="s">
        <v>44</v>
      </c>
      <c r="L846" s="7">
        <v>32</v>
      </c>
      <c r="M846">
        <f>ROUND(TTrainingSource[[#This Row],[Satisfaction_Score2]],0)</f>
        <v>5</v>
      </c>
      <c r="N846">
        <v>4.5999999999999996</v>
      </c>
    </row>
    <row r="847" spans="1:14" x14ac:dyDescent="0.3">
      <c r="A847" t="s">
        <v>186</v>
      </c>
      <c r="B847" t="str">
        <f>TRIM(TTrainingSource[[#This Row],[EMPloyee_ID2]])</f>
        <v>EMP10415</v>
      </c>
      <c r="C847" t="str">
        <f>IFERROR(VLOOKUP(TTrainingSource[[#This Row],[Employee_ID]],THrList[],3,FALSE),"")</f>
        <v>PETIT</v>
      </c>
      <c r="D847" t="str">
        <f>IFERROR(VLOOKUP(TTrainingSource[[#This Row],[Employee_ID]],THrList[],4,FALSE),"")</f>
        <v>Benjamin</v>
      </c>
      <c r="E847" t="str">
        <f>IFERROR(VLOOKUP(TTrainingSource[[#This Row],[Employee_ID]],THrList[],10,FALSE),"")</f>
        <v>Human Resources</v>
      </c>
      <c r="F847" t="str">
        <f>TRIM(PROPER(TTrainingSource[[#This Row],[Training_Status2]]))</f>
        <v>Planned</v>
      </c>
      <c r="G847" t="s">
        <v>19</v>
      </c>
      <c r="H847" t="str">
        <f>TRIM(PROPER(TTrainingSource[[#This Row],[Training_Title2]]))</f>
        <v>Business Intelligence With Tableau</v>
      </c>
      <c r="I847" t="s">
        <v>22</v>
      </c>
      <c r="J847" s="1">
        <v>45552</v>
      </c>
      <c r="K847" t="s">
        <v>29</v>
      </c>
      <c r="L847" s="7">
        <v>40</v>
      </c>
      <c r="M847">
        <f>ROUND(TTrainingSource[[#This Row],[Satisfaction_Score2]],0)</f>
        <v>4</v>
      </c>
      <c r="N847">
        <v>4.4000000000000004</v>
      </c>
    </row>
    <row r="848" spans="1:14" x14ac:dyDescent="0.3">
      <c r="A848" t="s">
        <v>186</v>
      </c>
      <c r="B848" t="str">
        <f>TRIM(TTrainingSource[[#This Row],[EMPloyee_ID2]])</f>
        <v>EMP10415</v>
      </c>
      <c r="C848" t="str">
        <f>IFERROR(VLOOKUP(TTrainingSource[[#This Row],[Employee_ID]],THrList[],3,FALSE),"")</f>
        <v>PETIT</v>
      </c>
      <c r="D848" t="str">
        <f>IFERROR(VLOOKUP(TTrainingSource[[#This Row],[Employee_ID]],THrList[],4,FALSE),"")</f>
        <v>Benjamin</v>
      </c>
      <c r="E848" t="str">
        <f>IFERROR(VLOOKUP(TTrainingSource[[#This Row],[Employee_ID]],THrList[],10,FALSE),"")</f>
        <v>Human Resources</v>
      </c>
      <c r="F848" t="str">
        <f>TRIM(PROPER(TTrainingSource[[#This Row],[Training_Status2]]))</f>
        <v>Completed</v>
      </c>
      <c r="G848" t="s">
        <v>17</v>
      </c>
      <c r="H848" t="str">
        <f>TRIM(PROPER(TTrainingSource[[#This Row],[Training_Title2]]))</f>
        <v>Financial Modeling Basics</v>
      </c>
      <c r="I848" t="s">
        <v>38</v>
      </c>
      <c r="J848" s="1">
        <v>45278</v>
      </c>
      <c r="K848" t="s">
        <v>32</v>
      </c>
      <c r="L848" s="7">
        <v>6</v>
      </c>
      <c r="M848">
        <f>ROUND(TTrainingSource[[#This Row],[Satisfaction_Score2]],0)</f>
        <v>4</v>
      </c>
      <c r="N848">
        <v>3.5</v>
      </c>
    </row>
    <row r="849" spans="1:14" x14ac:dyDescent="0.3">
      <c r="A849" t="s">
        <v>254</v>
      </c>
      <c r="B849" t="str">
        <f>TRIM(TTrainingSource[[#This Row],[EMPloyee_ID2]])</f>
        <v>EMP10416</v>
      </c>
      <c r="C849" t="str">
        <f>IFERROR(VLOOKUP(TTrainingSource[[#This Row],[Employee_ID]],THrList[],3,FALSE),"")</f>
        <v>BROWN</v>
      </c>
      <c r="D849" t="str">
        <f>IFERROR(VLOOKUP(TTrainingSource[[#This Row],[Employee_ID]],THrList[],4,FALSE),"")</f>
        <v>Liam</v>
      </c>
      <c r="E849" t="str">
        <f>IFERROR(VLOOKUP(TTrainingSource[[#This Row],[Employee_ID]],THrList[],10,FALSE),"")</f>
        <v>Finance</v>
      </c>
      <c r="F849" t="str">
        <f>TRIM(PROPER(TTrainingSource[[#This Row],[Training_Status2]]))</f>
        <v>Planned</v>
      </c>
      <c r="G849" t="s">
        <v>19</v>
      </c>
      <c r="H849" t="str">
        <f>TRIM(PROPER(TTrainingSource[[#This Row],[Training_Title2]]))</f>
        <v>Project Management Essentials</v>
      </c>
      <c r="I849" t="s">
        <v>14</v>
      </c>
      <c r="J849" s="1">
        <v>44582</v>
      </c>
      <c r="K849" t="s">
        <v>42</v>
      </c>
      <c r="L849" s="7">
        <v>24</v>
      </c>
      <c r="M849">
        <f>ROUND(TTrainingSource[[#This Row],[Satisfaction_Score2]],0)</f>
        <v>4</v>
      </c>
      <c r="N849">
        <v>3.9</v>
      </c>
    </row>
    <row r="850" spans="1:14" x14ac:dyDescent="0.3">
      <c r="A850" t="s">
        <v>481</v>
      </c>
      <c r="B850" t="str">
        <f>TRIM(TTrainingSource[[#This Row],[EMPloyee_ID2]])</f>
        <v>EMP10417</v>
      </c>
      <c r="C850" t="str">
        <f>IFERROR(VLOOKUP(TTrainingSource[[#This Row],[Employee_ID]],THrList[],3,FALSE),"")</f>
        <v>TRAORE</v>
      </c>
      <c r="D850" t="str">
        <f>IFERROR(VLOOKUP(TTrainingSource[[#This Row],[Employee_ID]],THrList[],4,FALSE),"")</f>
        <v>Binta</v>
      </c>
      <c r="E850" t="str">
        <f>IFERROR(VLOOKUP(TTrainingSource[[#This Row],[Employee_ID]],THrList[],10,FALSE),"")</f>
        <v>Marketing</v>
      </c>
      <c r="F850" t="str">
        <f>TRIM(PROPER(TTrainingSource[[#This Row],[Training_Status2]]))</f>
        <v>Completed</v>
      </c>
      <c r="G850" t="s">
        <v>17</v>
      </c>
      <c r="H850" t="str">
        <f>TRIM(PROPER(TTrainingSource[[#This Row],[Training_Title2]]))</f>
        <v>Project Management Essentials</v>
      </c>
      <c r="I850" t="s">
        <v>14</v>
      </c>
      <c r="J850" s="1">
        <v>45098</v>
      </c>
      <c r="K850" t="s">
        <v>1072</v>
      </c>
      <c r="L850" s="7">
        <v>12</v>
      </c>
      <c r="M850">
        <f>ROUND(TTrainingSource[[#This Row],[Satisfaction_Score2]],0)</f>
        <v>3</v>
      </c>
      <c r="N850">
        <v>3.3</v>
      </c>
    </row>
    <row r="851" spans="1:14" x14ac:dyDescent="0.3">
      <c r="A851" t="s">
        <v>229</v>
      </c>
      <c r="B851" t="str">
        <f>TRIM(TTrainingSource[[#This Row],[EMPloyee_ID2]])</f>
        <v>EMP10418</v>
      </c>
      <c r="C851" t="str">
        <f>IFERROR(VLOOKUP(TTrainingSource[[#This Row],[Employee_ID]],THrList[],3,FALSE),"")</f>
        <v>ANDERSON</v>
      </c>
      <c r="D851" t="str">
        <f>IFERROR(VLOOKUP(TTrainingSource[[#This Row],[Employee_ID]],THrList[],4,FALSE),"")</f>
        <v>Nina</v>
      </c>
      <c r="E851" t="str">
        <f>IFERROR(VLOOKUP(TTrainingSource[[#This Row],[Employee_ID]],THrList[],10,FALSE),"")</f>
        <v>Compliance</v>
      </c>
      <c r="F851" t="str">
        <f>TRIM(PROPER(TTrainingSource[[#This Row],[Training_Status2]]))</f>
        <v>Completed</v>
      </c>
      <c r="G851" t="s">
        <v>17</v>
      </c>
      <c r="H851" t="str">
        <f>TRIM(PROPER(TTrainingSource[[#This Row],[Training_Title2]]))</f>
        <v>Power Bi Reporting</v>
      </c>
      <c r="I851" t="s">
        <v>24</v>
      </c>
      <c r="J851" s="1">
        <v>45328</v>
      </c>
      <c r="K851" t="s">
        <v>98</v>
      </c>
      <c r="L851" s="7">
        <v>20</v>
      </c>
      <c r="M851">
        <f>ROUND(TTrainingSource[[#This Row],[Satisfaction_Score2]],0)</f>
        <v>3</v>
      </c>
      <c r="N851">
        <v>2.8</v>
      </c>
    </row>
    <row r="852" spans="1:14" x14ac:dyDescent="0.3">
      <c r="A852" t="s">
        <v>229</v>
      </c>
      <c r="B852" t="str">
        <f>TRIM(TTrainingSource[[#This Row],[EMPloyee_ID2]])</f>
        <v>EMP10418</v>
      </c>
      <c r="C852" t="str">
        <f>IFERROR(VLOOKUP(TTrainingSource[[#This Row],[Employee_ID]],THrList[],3,FALSE),"")</f>
        <v>ANDERSON</v>
      </c>
      <c r="D852" t="str">
        <f>IFERROR(VLOOKUP(TTrainingSource[[#This Row],[Employee_ID]],THrList[],4,FALSE),"")</f>
        <v>Nina</v>
      </c>
      <c r="E852" t="str">
        <f>IFERROR(VLOOKUP(TTrainingSource[[#This Row],[Employee_ID]],THrList[],10,FALSE),"")</f>
        <v>Compliance</v>
      </c>
      <c r="F852" t="str">
        <f>TRIM(PROPER(TTrainingSource[[#This Row],[Training_Status2]]))</f>
        <v>Completed</v>
      </c>
      <c r="G852" t="s">
        <v>17</v>
      </c>
      <c r="H852" t="str">
        <f>TRIM(PROPER(TTrainingSource[[#This Row],[Training_Title2]]))</f>
        <v>Customer Data Analysis</v>
      </c>
      <c r="I852" t="s">
        <v>31</v>
      </c>
      <c r="J852" s="1">
        <v>45678</v>
      </c>
      <c r="K852" t="s">
        <v>42</v>
      </c>
      <c r="L852" s="7">
        <v>8</v>
      </c>
      <c r="M852">
        <f>ROUND(TTrainingSource[[#This Row],[Satisfaction_Score2]],0)</f>
        <v>4</v>
      </c>
      <c r="N852">
        <v>4.2</v>
      </c>
    </row>
    <row r="853" spans="1:14" x14ac:dyDescent="0.3">
      <c r="A853" t="s">
        <v>229</v>
      </c>
      <c r="B853" t="str">
        <f>TRIM(TTrainingSource[[#This Row],[EMPloyee_ID2]])</f>
        <v>EMP10418</v>
      </c>
      <c r="C853" t="str">
        <f>IFERROR(VLOOKUP(TTrainingSource[[#This Row],[Employee_ID]],THrList[],3,FALSE),"")</f>
        <v>ANDERSON</v>
      </c>
      <c r="D853" t="str">
        <f>IFERROR(VLOOKUP(TTrainingSource[[#This Row],[Employee_ID]],THrList[],4,FALSE),"")</f>
        <v>Nina</v>
      </c>
      <c r="E853" t="str">
        <f>IFERROR(VLOOKUP(TTrainingSource[[#This Row],[Employee_ID]],THrList[],10,FALSE),"")</f>
        <v>Compliance</v>
      </c>
      <c r="F853" t="str">
        <f>TRIM(PROPER(TTrainingSource[[#This Row],[Training_Status2]]))</f>
        <v>Completed</v>
      </c>
      <c r="G853" t="s">
        <v>17</v>
      </c>
      <c r="H853" t="str">
        <f>TRIM(PROPER(TTrainingSource[[#This Row],[Training_Title2]]))</f>
        <v>Customer Data Analysis</v>
      </c>
      <c r="I853" t="s">
        <v>491</v>
      </c>
      <c r="J853" s="1">
        <v>45620</v>
      </c>
      <c r="K853" t="s">
        <v>32</v>
      </c>
      <c r="L853" s="7">
        <v>32</v>
      </c>
      <c r="M853">
        <f>ROUND(TTrainingSource[[#This Row],[Satisfaction_Score2]],0)</f>
        <v>5</v>
      </c>
      <c r="N853">
        <v>4.9000000000000004</v>
      </c>
    </row>
    <row r="854" spans="1:14" x14ac:dyDescent="0.3">
      <c r="A854" t="s">
        <v>265</v>
      </c>
      <c r="B854" t="str">
        <f>TRIM(TTrainingSource[[#This Row],[EMPloyee_ID2]])</f>
        <v>EMP10419</v>
      </c>
      <c r="C854" t="str">
        <f>IFERROR(VLOOKUP(TTrainingSource[[#This Row],[Employee_ID]],THrList[],3,FALSE),"")</f>
        <v>LAURENT</v>
      </c>
      <c r="D854" t="str">
        <f>IFERROR(VLOOKUP(TTrainingSource[[#This Row],[Employee_ID]],THrList[],4,FALSE),"")</f>
        <v>Paul</v>
      </c>
      <c r="E854" t="str">
        <f>IFERROR(VLOOKUP(TTrainingSource[[#This Row],[Employee_ID]],THrList[],10,FALSE),"")</f>
        <v>Operations</v>
      </c>
      <c r="F854" t="str">
        <f>TRIM(PROPER(TTrainingSource[[#This Row],[Training_Status2]]))</f>
        <v>Completed</v>
      </c>
      <c r="G854" t="s">
        <v>17</v>
      </c>
      <c r="H854" t="str">
        <f>TRIM(PROPER(TTrainingSource[[#This Row],[Training_Title2]]))</f>
        <v>Advanced Excel For Business</v>
      </c>
      <c r="I854" t="s">
        <v>266</v>
      </c>
      <c r="J854" s="1">
        <v>44683</v>
      </c>
      <c r="K854" t="s">
        <v>132</v>
      </c>
      <c r="L854" s="7">
        <v>20</v>
      </c>
      <c r="M854">
        <f>ROUND(TTrainingSource[[#This Row],[Satisfaction_Score2]],0)</f>
        <v>5</v>
      </c>
      <c r="N854">
        <v>4.7</v>
      </c>
    </row>
    <row r="855" spans="1:14" x14ac:dyDescent="0.3">
      <c r="A855" t="s">
        <v>313</v>
      </c>
      <c r="B855" t="str">
        <f>TRIM(TTrainingSource[[#This Row],[EMPloyee_ID2]])</f>
        <v>EMP10419</v>
      </c>
      <c r="C855" t="str">
        <f>IFERROR(VLOOKUP(TTrainingSource[[#This Row],[Employee_ID]],THrList[],3,FALSE),"")</f>
        <v>LAURENT</v>
      </c>
      <c r="D855" t="str">
        <f>IFERROR(VLOOKUP(TTrainingSource[[#This Row],[Employee_ID]],THrList[],4,FALSE),"")</f>
        <v>Paul</v>
      </c>
      <c r="E855" t="str">
        <f>IFERROR(VLOOKUP(TTrainingSource[[#This Row],[Employee_ID]],THrList[],10,FALSE),"")</f>
        <v>Operations</v>
      </c>
      <c r="F855" t="str">
        <f>TRIM(PROPER(TTrainingSource[[#This Row],[Training_Status2]]))</f>
        <v>In Progress</v>
      </c>
      <c r="G855" t="s">
        <v>8</v>
      </c>
      <c r="H855" t="str">
        <f>TRIM(PROPER(TTrainingSource[[#This Row],[Training_Title2]]))</f>
        <v>Advanced Excel For Business</v>
      </c>
      <c r="I855" t="s">
        <v>52</v>
      </c>
      <c r="J855" s="1">
        <v>45724</v>
      </c>
      <c r="K855" t="s">
        <v>29</v>
      </c>
      <c r="L855" s="7">
        <v>24</v>
      </c>
      <c r="M855">
        <f>ROUND(TTrainingSource[[#This Row],[Satisfaction_Score2]],0)</f>
        <v>5</v>
      </c>
      <c r="N855">
        <v>5</v>
      </c>
    </row>
    <row r="856" spans="1:14" x14ac:dyDescent="0.3">
      <c r="A856" t="s">
        <v>313</v>
      </c>
      <c r="B856" t="str">
        <f>TRIM(TTrainingSource[[#This Row],[EMPloyee_ID2]])</f>
        <v>EMP10419</v>
      </c>
      <c r="C856" t="str">
        <f>IFERROR(VLOOKUP(TTrainingSource[[#This Row],[Employee_ID]],THrList[],3,FALSE),"")</f>
        <v>LAURENT</v>
      </c>
      <c r="D856" t="str">
        <f>IFERROR(VLOOKUP(TTrainingSource[[#This Row],[Employee_ID]],THrList[],4,FALSE),"")</f>
        <v>Paul</v>
      </c>
      <c r="E856" t="str">
        <f>IFERROR(VLOOKUP(TTrainingSource[[#This Row],[Employee_ID]],THrList[],10,FALSE),"")</f>
        <v>Operations</v>
      </c>
      <c r="F856" t="str">
        <f>TRIM(PROPER(TTrainingSource[[#This Row],[Training_Status2]]))</f>
        <v>Completed</v>
      </c>
      <c r="G856" t="s">
        <v>17</v>
      </c>
      <c r="H856" t="str">
        <f>TRIM(PROPER(TTrainingSource[[#This Row],[Training_Title2]]))</f>
        <v>Business Intelligence With Tableau</v>
      </c>
      <c r="I856" t="s">
        <v>22</v>
      </c>
      <c r="J856" s="1">
        <v>44999</v>
      </c>
      <c r="K856" t="s">
        <v>46</v>
      </c>
      <c r="L856" s="7">
        <v>40</v>
      </c>
      <c r="M856">
        <f>ROUND(TTrainingSource[[#This Row],[Satisfaction_Score2]],0)</f>
        <v>5</v>
      </c>
      <c r="N856">
        <v>4.5</v>
      </c>
    </row>
    <row r="857" spans="1:14" x14ac:dyDescent="0.3">
      <c r="A857" t="s">
        <v>313</v>
      </c>
      <c r="B857" t="str">
        <f>TRIM(TTrainingSource[[#This Row],[EMPloyee_ID2]])</f>
        <v>EMP10419</v>
      </c>
      <c r="C857" t="str">
        <f>IFERROR(VLOOKUP(TTrainingSource[[#This Row],[Employee_ID]],THrList[],3,FALSE),"")</f>
        <v>LAURENT</v>
      </c>
      <c r="D857" t="str">
        <f>IFERROR(VLOOKUP(TTrainingSource[[#This Row],[Employee_ID]],THrList[],4,FALSE),"")</f>
        <v>Paul</v>
      </c>
      <c r="E857" t="str">
        <f>IFERROR(VLOOKUP(TTrainingSource[[#This Row],[Employee_ID]],THrList[],10,FALSE),"")</f>
        <v>Operations</v>
      </c>
      <c r="F857" t="str">
        <f>TRIM(PROPER(TTrainingSource[[#This Row],[Training_Status2]]))</f>
        <v>Completed</v>
      </c>
      <c r="G857" t="s">
        <v>17</v>
      </c>
      <c r="H857" t="str">
        <f>TRIM(PROPER(TTrainingSource[[#This Row],[Training_Title2]]))</f>
        <v>Customer Data Analysis</v>
      </c>
      <c r="I857" t="s">
        <v>31</v>
      </c>
      <c r="J857" s="1">
        <v>45376</v>
      </c>
      <c r="K857" t="s">
        <v>42</v>
      </c>
      <c r="L857" s="7">
        <v>4</v>
      </c>
      <c r="M857">
        <f>ROUND(TTrainingSource[[#This Row],[Satisfaction_Score2]],0)</f>
        <v>4</v>
      </c>
      <c r="N857">
        <v>4</v>
      </c>
    </row>
    <row r="858" spans="1:14" x14ac:dyDescent="0.3">
      <c r="A858" t="s">
        <v>313</v>
      </c>
      <c r="B858" t="str">
        <f>TRIM(TTrainingSource[[#This Row],[EMPloyee_ID2]])</f>
        <v>EMP10419</v>
      </c>
      <c r="C858" t="str">
        <f>IFERROR(VLOOKUP(TTrainingSource[[#This Row],[Employee_ID]],THrList[],3,FALSE),"")</f>
        <v>LAURENT</v>
      </c>
      <c r="D858" t="str">
        <f>IFERROR(VLOOKUP(TTrainingSource[[#This Row],[Employee_ID]],THrList[],4,FALSE),"")</f>
        <v>Paul</v>
      </c>
      <c r="E858" t="str">
        <f>IFERROR(VLOOKUP(TTrainingSource[[#This Row],[Employee_ID]],THrList[],10,FALSE),"")</f>
        <v>Operations</v>
      </c>
      <c r="F858" t="str">
        <f>TRIM(PROPER(TTrainingSource[[#This Row],[Training_Status2]]))</f>
        <v>Completed</v>
      </c>
      <c r="G858" t="s">
        <v>17</v>
      </c>
      <c r="H858" t="str">
        <f>TRIM(PROPER(TTrainingSource[[#This Row],[Training_Title2]]))</f>
        <v>Power Bi Reporting</v>
      </c>
      <c r="I858" t="s">
        <v>24</v>
      </c>
      <c r="J858" s="1">
        <v>45830</v>
      </c>
      <c r="K858" t="s">
        <v>12</v>
      </c>
      <c r="L858" s="7">
        <v>8</v>
      </c>
      <c r="M858">
        <f>ROUND(TTrainingSource[[#This Row],[Satisfaction_Score2]],0)</f>
        <v>3</v>
      </c>
      <c r="N858">
        <v>3.3</v>
      </c>
    </row>
    <row r="859" spans="1:14" x14ac:dyDescent="0.3">
      <c r="A859" t="s">
        <v>338</v>
      </c>
      <c r="B859" t="str">
        <f>TRIM(TTrainingSource[[#This Row],[EMPloyee_ID2]])</f>
        <v>EMP10420</v>
      </c>
      <c r="C859" t="str">
        <f>IFERROR(VLOOKUP(TTrainingSource[[#This Row],[Employee_ID]],THrList[],3,FALSE),"")</f>
        <v>KOUASSI</v>
      </c>
      <c r="D859" t="str">
        <f>IFERROR(VLOOKUP(TTrainingSource[[#This Row],[Employee_ID]],THrList[],4,FALSE),"")</f>
        <v>Benjamin</v>
      </c>
      <c r="E859" t="str">
        <f>IFERROR(VLOOKUP(TTrainingSource[[#This Row],[Employee_ID]],THrList[],10,FALSE),"")</f>
        <v>Sales</v>
      </c>
      <c r="F859" t="str">
        <f>TRIM(PROPER(TTrainingSource[[#This Row],[Training_Status2]]))</f>
        <v>Completed</v>
      </c>
      <c r="G859" t="s">
        <v>17</v>
      </c>
      <c r="H859" t="str">
        <f>TRIM(PROPER(TTrainingSource[[#This Row],[Training_Title2]]))</f>
        <v>Advanced Excel For Business</v>
      </c>
      <c r="I859" t="s">
        <v>52</v>
      </c>
      <c r="J859" s="1">
        <v>45054</v>
      </c>
      <c r="K859" t="s">
        <v>44</v>
      </c>
      <c r="L859" s="7">
        <v>12</v>
      </c>
      <c r="M859">
        <f>ROUND(TTrainingSource[[#This Row],[Satisfaction_Score2]],0)</f>
        <v>5</v>
      </c>
      <c r="N859">
        <v>4.5</v>
      </c>
    </row>
    <row r="860" spans="1:14" x14ac:dyDescent="0.3">
      <c r="A860" t="s">
        <v>338</v>
      </c>
      <c r="B860" t="str">
        <f>TRIM(TTrainingSource[[#This Row],[EMPloyee_ID2]])</f>
        <v>EMP10420</v>
      </c>
      <c r="C860" t="str">
        <f>IFERROR(VLOOKUP(TTrainingSource[[#This Row],[Employee_ID]],THrList[],3,FALSE),"")</f>
        <v>KOUASSI</v>
      </c>
      <c r="D860" t="str">
        <f>IFERROR(VLOOKUP(TTrainingSource[[#This Row],[Employee_ID]],THrList[],4,FALSE),"")</f>
        <v>Benjamin</v>
      </c>
      <c r="E860" t="str">
        <f>IFERROR(VLOOKUP(TTrainingSource[[#This Row],[Employee_ID]],THrList[],10,FALSE),"")</f>
        <v>Sales</v>
      </c>
      <c r="F860" t="str">
        <f>TRIM(PROPER(TTrainingSource[[#This Row],[Training_Status2]]))</f>
        <v>Completed</v>
      </c>
      <c r="G860" t="s">
        <v>17</v>
      </c>
      <c r="H860" t="str">
        <f>TRIM(PROPER(TTrainingSource[[#This Row],[Training_Title2]]))</f>
        <v>Advanced Excel For Business</v>
      </c>
      <c r="I860" t="s">
        <v>282</v>
      </c>
      <c r="J860" s="1">
        <v>45341</v>
      </c>
      <c r="K860" t="s">
        <v>44</v>
      </c>
      <c r="L860" s="7">
        <v>12</v>
      </c>
      <c r="M860">
        <f>ROUND(TTrainingSource[[#This Row],[Satisfaction_Score2]],0)</f>
        <v>4</v>
      </c>
      <c r="N860">
        <v>3.9</v>
      </c>
    </row>
    <row r="861" spans="1:14" x14ac:dyDescent="0.3">
      <c r="A861" t="s">
        <v>338</v>
      </c>
      <c r="B861" t="str">
        <f>TRIM(TTrainingSource[[#This Row],[EMPloyee_ID2]])</f>
        <v>EMP10420</v>
      </c>
      <c r="C861" t="str">
        <f>IFERROR(VLOOKUP(TTrainingSource[[#This Row],[Employee_ID]],THrList[],3,FALSE),"")</f>
        <v>KOUASSI</v>
      </c>
      <c r="D861" t="str">
        <f>IFERROR(VLOOKUP(TTrainingSource[[#This Row],[Employee_ID]],THrList[],4,FALSE),"")</f>
        <v>Benjamin</v>
      </c>
      <c r="E861" t="str">
        <f>IFERROR(VLOOKUP(TTrainingSource[[#This Row],[Employee_ID]],THrList[],10,FALSE),"")</f>
        <v>Sales</v>
      </c>
      <c r="F861" t="str">
        <f>TRIM(PROPER(TTrainingSource[[#This Row],[Training_Status2]]))</f>
        <v>Completed</v>
      </c>
      <c r="G861" t="s">
        <v>17</v>
      </c>
      <c r="H861" t="str">
        <f>TRIM(PROPER(TTrainingSource[[#This Row],[Training_Title2]]))</f>
        <v>Financial Modeling Basics</v>
      </c>
      <c r="I861" t="s">
        <v>682</v>
      </c>
      <c r="J861" s="1">
        <v>44794</v>
      </c>
      <c r="K861" t="s">
        <v>32</v>
      </c>
      <c r="L861" s="7">
        <v>32</v>
      </c>
      <c r="M861">
        <f>ROUND(TTrainingSource[[#This Row],[Satisfaction_Score2]],0)</f>
        <v>5</v>
      </c>
      <c r="N861">
        <v>4.5999999999999996</v>
      </c>
    </row>
    <row r="862" spans="1:14" x14ac:dyDescent="0.3">
      <c r="A862" t="s">
        <v>627</v>
      </c>
      <c r="B862" t="str">
        <f>TRIM(TTrainingSource[[#This Row],[EMPloyee_ID2]])</f>
        <v>EMP10421</v>
      </c>
      <c r="C862" t="str">
        <f>IFERROR(VLOOKUP(TTrainingSource[[#This Row],[Employee_ID]],THrList[],3,FALSE),"")</f>
        <v>SOW</v>
      </c>
      <c r="D862" t="str">
        <f>IFERROR(VLOOKUP(TTrainingSource[[#This Row],[Employee_ID]],THrList[],4,FALSE),"")</f>
        <v>Sophia</v>
      </c>
      <c r="E862" t="str">
        <f>IFERROR(VLOOKUP(TTrainingSource[[#This Row],[Employee_ID]],THrList[],10,FALSE),"")</f>
        <v>Customer Support</v>
      </c>
      <c r="F862" t="str">
        <f>TRIM(PROPER(TTrainingSource[[#This Row],[Training_Status2]]))</f>
        <v>Completed</v>
      </c>
      <c r="G862" t="s">
        <v>17</v>
      </c>
      <c r="H862" t="str">
        <f>TRIM(PROPER(TTrainingSource[[#This Row],[Training_Title2]]))</f>
        <v>Introduction To Python For Data</v>
      </c>
      <c r="I862" t="s">
        <v>307</v>
      </c>
      <c r="J862" s="1">
        <v>44910</v>
      </c>
      <c r="K862" t="s">
        <v>44</v>
      </c>
      <c r="L862" s="7">
        <v>16</v>
      </c>
      <c r="M862">
        <f>ROUND(TTrainingSource[[#This Row],[Satisfaction_Score2]],0)</f>
        <v>4</v>
      </c>
      <c r="N862">
        <v>4</v>
      </c>
    </row>
    <row r="863" spans="1:14" x14ac:dyDescent="0.3">
      <c r="A863" t="s">
        <v>736</v>
      </c>
      <c r="B863" t="str">
        <f>TRIM(TTrainingSource[[#This Row],[EMPloyee_ID2]])</f>
        <v>EMP10422</v>
      </c>
      <c r="C863" t="str">
        <f>IFERROR(VLOOKUP(TTrainingSource[[#This Row],[Employee_ID]],THrList[],3,FALSE),"")</f>
        <v>SINGH</v>
      </c>
      <c r="D863" t="str">
        <f>IFERROR(VLOOKUP(TTrainingSource[[#This Row],[Employee_ID]],THrList[],4,FALSE),"")</f>
        <v>Harper</v>
      </c>
      <c r="E863" t="str">
        <f>IFERROR(VLOOKUP(TTrainingSource[[#This Row],[Employee_ID]],THrList[],10,FALSE),"")</f>
        <v>Human Resources</v>
      </c>
      <c r="F863" t="str">
        <f>TRIM(PROPER(TTrainingSource[[#This Row],[Training_Status2]]))</f>
        <v>In Progress</v>
      </c>
      <c r="G863" t="s">
        <v>8</v>
      </c>
      <c r="H863" t="str">
        <f>TRIM(PROPER(TTrainingSource[[#This Row],[Training_Title2]]))</f>
        <v>Communication For Analysts</v>
      </c>
      <c r="I863" t="s">
        <v>28</v>
      </c>
      <c r="J863" s="1">
        <v>45851</v>
      </c>
      <c r="K863" t="s">
        <v>32</v>
      </c>
      <c r="L863" s="7">
        <v>6</v>
      </c>
      <c r="M863">
        <f>ROUND(TTrainingSource[[#This Row],[Satisfaction_Score2]],0)</f>
        <v>3</v>
      </c>
      <c r="N863">
        <v>2.5</v>
      </c>
    </row>
    <row r="864" spans="1:14" x14ac:dyDescent="0.3">
      <c r="A864" t="s">
        <v>148</v>
      </c>
      <c r="B864" t="str">
        <f>TRIM(TTrainingSource[[#This Row],[EMPloyee_ID2]])</f>
        <v>EMP10423</v>
      </c>
      <c r="C864" t="str">
        <f>IFERROR(VLOOKUP(TTrainingSource[[#This Row],[Employee_ID]],THrList[],3,FALSE),"")</f>
        <v>ALI</v>
      </c>
      <c r="D864" t="str">
        <f>IFERROR(VLOOKUP(TTrainingSource[[#This Row],[Employee_ID]],THrList[],4,FALSE),"")</f>
        <v>Yaw</v>
      </c>
      <c r="E864" t="str">
        <f>IFERROR(VLOOKUP(TTrainingSource[[#This Row],[Employee_ID]],THrList[],10,FALSE),"")</f>
        <v>Customer Support</v>
      </c>
      <c r="F864" t="str">
        <f>TRIM(PROPER(TTrainingSource[[#This Row],[Training_Status2]]))</f>
        <v>Completed</v>
      </c>
      <c r="G864" t="s">
        <v>17</v>
      </c>
      <c r="H864" t="str">
        <f>TRIM(PROPER(TTrainingSource[[#This Row],[Training_Title2]]))</f>
        <v>Customer Data Analysis</v>
      </c>
      <c r="I864" t="s">
        <v>149</v>
      </c>
      <c r="J864" s="1">
        <v>45789</v>
      </c>
      <c r="K864" t="s">
        <v>71</v>
      </c>
      <c r="L864" s="7">
        <v>16</v>
      </c>
      <c r="M864">
        <f>ROUND(TTrainingSource[[#This Row],[Satisfaction_Score2]],0)</f>
        <v>5</v>
      </c>
      <c r="N864">
        <v>4.9000000000000004</v>
      </c>
    </row>
    <row r="865" spans="1:14" x14ac:dyDescent="0.3">
      <c r="A865" t="s">
        <v>148</v>
      </c>
      <c r="B865" t="str">
        <f>TRIM(TTrainingSource[[#This Row],[EMPloyee_ID2]])</f>
        <v>EMP10423</v>
      </c>
      <c r="C865" t="str">
        <f>IFERROR(VLOOKUP(TTrainingSource[[#This Row],[Employee_ID]],THrList[],3,FALSE),"")</f>
        <v>ALI</v>
      </c>
      <c r="D865" t="str">
        <f>IFERROR(VLOOKUP(TTrainingSource[[#This Row],[Employee_ID]],THrList[],4,FALSE),"")</f>
        <v>Yaw</v>
      </c>
      <c r="E865" t="str">
        <f>IFERROR(VLOOKUP(TTrainingSource[[#This Row],[Employee_ID]],THrList[],10,FALSE),"")</f>
        <v>Customer Support</v>
      </c>
      <c r="F865" t="str">
        <f>TRIM(PROPER(TTrainingSource[[#This Row],[Training_Status2]]))</f>
        <v>In Progress</v>
      </c>
      <c r="G865" t="s">
        <v>67</v>
      </c>
      <c r="H865" t="str">
        <f>TRIM(PROPER(TTrainingSource[[#This Row],[Training_Title2]]))</f>
        <v>Communication For Analysts</v>
      </c>
      <c r="I865" t="s">
        <v>28</v>
      </c>
      <c r="J865" s="1">
        <v>44998</v>
      </c>
      <c r="K865" t="s">
        <v>42</v>
      </c>
      <c r="L865" s="7">
        <v>32</v>
      </c>
      <c r="M865">
        <f>ROUND(TTrainingSource[[#This Row],[Satisfaction_Score2]],0)</f>
        <v>4</v>
      </c>
      <c r="N865">
        <v>4</v>
      </c>
    </row>
    <row r="866" spans="1:14" x14ac:dyDescent="0.3">
      <c r="A866" t="s">
        <v>148</v>
      </c>
      <c r="B866" t="str">
        <f>TRIM(TTrainingSource[[#This Row],[EMPloyee_ID2]])</f>
        <v>EMP10423</v>
      </c>
      <c r="C866" t="str">
        <f>IFERROR(VLOOKUP(TTrainingSource[[#This Row],[Employee_ID]],THrList[],3,FALSE),"")</f>
        <v>ALI</v>
      </c>
      <c r="D866" t="str">
        <f>IFERROR(VLOOKUP(TTrainingSource[[#This Row],[Employee_ID]],THrList[],4,FALSE),"")</f>
        <v>Yaw</v>
      </c>
      <c r="E866" t="str">
        <f>IFERROR(VLOOKUP(TTrainingSource[[#This Row],[Employee_ID]],THrList[],10,FALSE),"")</f>
        <v>Customer Support</v>
      </c>
      <c r="F866" t="str">
        <f>TRIM(PROPER(TTrainingSource[[#This Row],[Training_Status2]]))</f>
        <v>Completed</v>
      </c>
      <c r="G866" t="s">
        <v>17</v>
      </c>
      <c r="H866" t="str">
        <f>TRIM(PROPER(TTrainingSource[[#This Row],[Training_Title2]]))</f>
        <v>Financial Modeling Basics</v>
      </c>
      <c r="I866" t="s">
        <v>38</v>
      </c>
      <c r="J866" s="1">
        <v>44798</v>
      </c>
      <c r="K866" t="s">
        <v>32</v>
      </c>
      <c r="L866" s="7">
        <v>24</v>
      </c>
      <c r="M866">
        <f>ROUND(TTrainingSource[[#This Row],[Satisfaction_Score2]],0)</f>
        <v>5</v>
      </c>
      <c r="N866">
        <v>5</v>
      </c>
    </row>
    <row r="867" spans="1:14" x14ac:dyDescent="0.3">
      <c r="A867" t="s">
        <v>148</v>
      </c>
      <c r="B867" t="str">
        <f>TRIM(TTrainingSource[[#This Row],[EMPloyee_ID2]])</f>
        <v>EMP10423</v>
      </c>
      <c r="C867" t="str">
        <f>IFERROR(VLOOKUP(TTrainingSource[[#This Row],[Employee_ID]],THrList[],3,FALSE),"")</f>
        <v>ALI</v>
      </c>
      <c r="D867" t="str">
        <f>IFERROR(VLOOKUP(TTrainingSource[[#This Row],[Employee_ID]],THrList[],4,FALSE),"")</f>
        <v>Yaw</v>
      </c>
      <c r="E867" t="str">
        <f>IFERROR(VLOOKUP(TTrainingSource[[#This Row],[Employee_ID]],THrList[],10,FALSE),"")</f>
        <v>Customer Support</v>
      </c>
      <c r="F867" t="str">
        <f>TRIM(PROPER(TTrainingSource[[#This Row],[Training_Status2]]))</f>
        <v>In Progress</v>
      </c>
      <c r="G867" t="s">
        <v>8</v>
      </c>
      <c r="H867" t="str">
        <f>TRIM(PROPER(TTrainingSource[[#This Row],[Training_Title2]]))</f>
        <v>Data Visualization Best Practices</v>
      </c>
      <c r="I867" t="s">
        <v>20</v>
      </c>
      <c r="J867" s="1">
        <v>45230</v>
      </c>
      <c r="K867" t="s">
        <v>71</v>
      </c>
      <c r="L867" s="7">
        <v>4</v>
      </c>
      <c r="M867">
        <f>ROUND(TTrainingSource[[#This Row],[Satisfaction_Score2]],0)</f>
        <v>3</v>
      </c>
      <c r="N867">
        <v>3.4</v>
      </c>
    </row>
    <row r="868" spans="1:14" x14ac:dyDescent="0.3">
      <c r="A868" t="s">
        <v>625</v>
      </c>
      <c r="B868" t="str">
        <f>TRIM(TTrainingSource[[#This Row],[EMPloyee_ID2]])</f>
        <v>EMP10426</v>
      </c>
      <c r="C868" t="str">
        <f>IFERROR(VLOOKUP(TTrainingSource[[#This Row],[Employee_ID]],THrList[],3,FALSE),"")</f>
        <v>FOURNIER</v>
      </c>
      <c r="D868" t="str">
        <f>IFERROR(VLOOKUP(TTrainingSource[[#This Row],[Employee_ID]],THrList[],4,FALSE),"")</f>
        <v>Mia</v>
      </c>
      <c r="E868" t="str">
        <f>IFERROR(VLOOKUP(TTrainingSource[[#This Row],[Employee_ID]],THrList[],10,FALSE),"")</f>
        <v>Customer Support</v>
      </c>
      <c r="F868" t="str">
        <f>TRIM(PROPER(TTrainingSource[[#This Row],[Training_Status2]]))</f>
        <v>Completed</v>
      </c>
      <c r="G868" t="s">
        <v>17</v>
      </c>
      <c r="H868" t="str">
        <f>TRIM(PROPER(TTrainingSource[[#This Row],[Training_Title2]]))</f>
        <v>Introduction To Python For Data</v>
      </c>
      <c r="I868" t="s">
        <v>467</v>
      </c>
      <c r="J868" s="1">
        <v>44795</v>
      </c>
      <c r="K868" t="s">
        <v>32</v>
      </c>
      <c r="L868" s="7">
        <v>32</v>
      </c>
      <c r="M868">
        <f>ROUND(TTrainingSource[[#This Row],[Satisfaction_Score2]],0)</f>
        <v>5</v>
      </c>
      <c r="N868">
        <v>4.7</v>
      </c>
    </row>
    <row r="869" spans="1:14" x14ac:dyDescent="0.3">
      <c r="A869" t="s">
        <v>625</v>
      </c>
      <c r="B869" t="str">
        <f>TRIM(TTrainingSource[[#This Row],[EMPloyee_ID2]])</f>
        <v>EMP10426</v>
      </c>
      <c r="C869" t="str">
        <f>IFERROR(VLOOKUP(TTrainingSource[[#This Row],[Employee_ID]],THrList[],3,FALSE),"")</f>
        <v>FOURNIER</v>
      </c>
      <c r="D869" t="str">
        <f>IFERROR(VLOOKUP(TTrainingSource[[#This Row],[Employee_ID]],THrList[],4,FALSE),"")</f>
        <v>Mia</v>
      </c>
      <c r="E869" t="str">
        <f>IFERROR(VLOOKUP(TTrainingSource[[#This Row],[Employee_ID]],THrList[],10,FALSE),"")</f>
        <v>Customer Support</v>
      </c>
      <c r="F869" t="str">
        <f>TRIM(PROPER(TTrainingSource[[#This Row],[Training_Status2]]))</f>
        <v>In Progress</v>
      </c>
      <c r="G869" t="s">
        <v>8</v>
      </c>
      <c r="H869" t="str">
        <f>TRIM(PROPER(TTrainingSource[[#This Row],[Training_Title2]]))</f>
        <v>Communication For Analysts</v>
      </c>
      <c r="I869" t="s">
        <v>28</v>
      </c>
      <c r="J869" s="1">
        <v>44776</v>
      </c>
      <c r="K869" t="s">
        <v>29</v>
      </c>
      <c r="L869" s="7">
        <v>16</v>
      </c>
      <c r="M869">
        <f>ROUND(TTrainingSource[[#This Row],[Satisfaction_Score2]],0)</f>
        <v>4</v>
      </c>
      <c r="N869">
        <v>4</v>
      </c>
    </row>
    <row r="870" spans="1:14" x14ac:dyDescent="0.3">
      <c r="A870" t="s">
        <v>625</v>
      </c>
      <c r="B870" t="str">
        <f>TRIM(TTrainingSource[[#This Row],[EMPloyee_ID2]])</f>
        <v>EMP10426</v>
      </c>
      <c r="C870" t="str">
        <f>IFERROR(VLOOKUP(TTrainingSource[[#This Row],[Employee_ID]],THrList[],3,FALSE),"")</f>
        <v>FOURNIER</v>
      </c>
      <c r="D870" t="str">
        <f>IFERROR(VLOOKUP(TTrainingSource[[#This Row],[Employee_ID]],THrList[],4,FALSE),"")</f>
        <v>Mia</v>
      </c>
      <c r="E870" t="str">
        <f>IFERROR(VLOOKUP(TTrainingSource[[#This Row],[Employee_ID]],THrList[],10,FALSE),"")</f>
        <v>Customer Support</v>
      </c>
      <c r="F870" t="str">
        <f>TRIM(PROPER(TTrainingSource[[#This Row],[Training_Status2]]))</f>
        <v>Completed</v>
      </c>
      <c r="G870" t="s">
        <v>17</v>
      </c>
      <c r="H870" t="str">
        <f>TRIM(PROPER(TTrainingSource[[#This Row],[Training_Title2]]))</f>
        <v>Business Intelligence With Tableau</v>
      </c>
      <c r="I870" t="s">
        <v>22</v>
      </c>
      <c r="J870" s="1">
        <v>44642</v>
      </c>
      <c r="K870" t="s">
        <v>98</v>
      </c>
      <c r="L870" s="7">
        <v>12</v>
      </c>
      <c r="M870">
        <f>ROUND(TTrainingSource[[#This Row],[Satisfaction_Score2]],0)</f>
        <v>3</v>
      </c>
      <c r="N870">
        <v>3.4</v>
      </c>
    </row>
    <row r="871" spans="1:14" x14ac:dyDescent="0.3">
      <c r="A871" t="s">
        <v>625</v>
      </c>
      <c r="B871" t="str">
        <f>TRIM(TTrainingSource[[#This Row],[EMPloyee_ID2]])</f>
        <v>EMP10426</v>
      </c>
      <c r="C871" t="str">
        <f>IFERROR(VLOOKUP(TTrainingSource[[#This Row],[Employee_ID]],THrList[],3,FALSE),"")</f>
        <v>FOURNIER</v>
      </c>
      <c r="D871" t="str">
        <f>IFERROR(VLOOKUP(TTrainingSource[[#This Row],[Employee_ID]],THrList[],4,FALSE),"")</f>
        <v>Mia</v>
      </c>
      <c r="E871" t="str">
        <f>IFERROR(VLOOKUP(TTrainingSource[[#This Row],[Employee_ID]],THrList[],10,FALSE),"")</f>
        <v>Customer Support</v>
      </c>
      <c r="F871" t="str">
        <f>TRIM(PROPER(TTrainingSource[[#This Row],[Training_Status2]]))</f>
        <v>Planned</v>
      </c>
      <c r="G871" t="s">
        <v>19</v>
      </c>
      <c r="H871" t="str">
        <f>TRIM(PROPER(TTrainingSource[[#This Row],[Training_Title2]]))</f>
        <v>Digital Marketing Strategy</v>
      </c>
      <c r="I871" t="s">
        <v>398</v>
      </c>
      <c r="J871" s="1">
        <v>44647</v>
      </c>
      <c r="K871" t="s">
        <v>32</v>
      </c>
      <c r="L871" s="7">
        <v>32</v>
      </c>
      <c r="M871">
        <f>ROUND(TTrainingSource[[#This Row],[Satisfaction_Score2]],0)</f>
        <v>4</v>
      </c>
      <c r="N871">
        <v>3.7</v>
      </c>
    </row>
    <row r="872" spans="1:14" x14ac:dyDescent="0.3">
      <c r="A872" t="s">
        <v>72</v>
      </c>
      <c r="B872" t="str">
        <f>TRIM(TTrainingSource[[#This Row],[EMPloyee_ID2]])</f>
        <v>EMP10427</v>
      </c>
      <c r="C872" t="str">
        <f>IFERROR(VLOOKUP(TTrainingSource[[#This Row],[Employee_ID]],THrList[],3,FALSE),"")</f>
        <v>JONES</v>
      </c>
      <c r="D872" t="str">
        <f>IFERROR(VLOOKUP(TTrainingSource[[#This Row],[Employee_ID]],THrList[],4,FALSE),"")</f>
        <v>Zainab</v>
      </c>
      <c r="E872" t="str">
        <f>IFERROR(VLOOKUP(TTrainingSource[[#This Row],[Employee_ID]],THrList[],10,FALSE),"")</f>
        <v>Human Resources</v>
      </c>
      <c r="F872" t="str">
        <f>TRIM(PROPER(TTrainingSource[[#This Row],[Training_Status2]]))</f>
        <v>In Progress</v>
      </c>
      <c r="G872" t="s">
        <v>8</v>
      </c>
      <c r="H872" t="str">
        <f>TRIM(PROPER(TTrainingSource[[#This Row],[Training_Title2]]))</f>
        <v>Business Intelligence With Tableau</v>
      </c>
      <c r="I872" t="s">
        <v>22</v>
      </c>
      <c r="J872" s="1">
        <v>44670</v>
      </c>
      <c r="K872" t="s">
        <v>32</v>
      </c>
      <c r="L872" s="7">
        <v>20</v>
      </c>
      <c r="M872">
        <f>ROUND(TTrainingSource[[#This Row],[Satisfaction_Score2]],0)</f>
        <v>4</v>
      </c>
      <c r="N872">
        <v>3.5</v>
      </c>
    </row>
    <row r="873" spans="1:14" x14ac:dyDescent="0.3">
      <c r="A873" t="s">
        <v>72</v>
      </c>
      <c r="B873" t="str">
        <f>TRIM(TTrainingSource[[#This Row],[EMPloyee_ID2]])</f>
        <v>EMP10427</v>
      </c>
      <c r="C873" t="str">
        <f>IFERROR(VLOOKUP(TTrainingSource[[#This Row],[Employee_ID]],THrList[],3,FALSE),"")</f>
        <v>JONES</v>
      </c>
      <c r="D873" t="str">
        <f>IFERROR(VLOOKUP(TTrainingSource[[#This Row],[Employee_ID]],THrList[],4,FALSE),"")</f>
        <v>Zainab</v>
      </c>
      <c r="E873" t="str">
        <f>IFERROR(VLOOKUP(TTrainingSource[[#This Row],[Employee_ID]],THrList[],10,FALSE),"")</f>
        <v>Human Resources</v>
      </c>
      <c r="F873" t="str">
        <f>TRIM(PROPER(TTrainingSource[[#This Row],[Training_Status2]]))</f>
        <v>Completed</v>
      </c>
      <c r="G873" t="s">
        <v>17</v>
      </c>
      <c r="H873" t="str">
        <f>TRIM(PROPER(TTrainingSource[[#This Row],[Training_Title2]]))</f>
        <v>Project Management Essentials</v>
      </c>
      <c r="I873" t="s">
        <v>182</v>
      </c>
      <c r="J873" s="1">
        <v>44642</v>
      </c>
      <c r="K873" t="s">
        <v>42</v>
      </c>
      <c r="L873" s="7">
        <v>4</v>
      </c>
      <c r="M873">
        <f>ROUND(TTrainingSource[[#This Row],[Satisfaction_Score2]],0)</f>
        <v>3</v>
      </c>
      <c r="N873">
        <v>2.7</v>
      </c>
    </row>
    <row r="874" spans="1:14" x14ac:dyDescent="0.3">
      <c r="A874" t="s">
        <v>72</v>
      </c>
      <c r="B874" t="str">
        <f>TRIM(TTrainingSource[[#This Row],[EMPloyee_ID2]])</f>
        <v>EMP10427</v>
      </c>
      <c r="C874" t="str">
        <f>IFERROR(VLOOKUP(TTrainingSource[[#This Row],[Employee_ID]],THrList[],3,FALSE),"")</f>
        <v>JONES</v>
      </c>
      <c r="D874" t="str">
        <f>IFERROR(VLOOKUP(TTrainingSource[[#This Row],[Employee_ID]],THrList[],4,FALSE),"")</f>
        <v>Zainab</v>
      </c>
      <c r="E874" t="str">
        <f>IFERROR(VLOOKUP(TTrainingSource[[#This Row],[Employee_ID]],THrList[],10,FALSE),"")</f>
        <v>Human Resources</v>
      </c>
      <c r="F874" t="str">
        <f>TRIM(PROPER(TTrainingSource[[#This Row],[Training_Status2]]))</f>
        <v>Completed</v>
      </c>
      <c r="G874" t="s">
        <v>17</v>
      </c>
      <c r="H874" t="str">
        <f>TRIM(PROPER(TTrainingSource[[#This Row],[Training_Title2]]))</f>
        <v>Advanced Excel For Business</v>
      </c>
      <c r="I874" t="s">
        <v>52</v>
      </c>
      <c r="J874" s="1">
        <v>45747</v>
      </c>
      <c r="K874" t="s">
        <v>12</v>
      </c>
      <c r="L874" s="7">
        <v>8</v>
      </c>
      <c r="M874">
        <f>ROUND(TTrainingSource[[#This Row],[Satisfaction_Score2]],0)</f>
        <v>3</v>
      </c>
      <c r="N874">
        <v>2.7</v>
      </c>
    </row>
    <row r="875" spans="1:14" x14ac:dyDescent="0.3">
      <c r="A875" t="s">
        <v>72</v>
      </c>
      <c r="B875" t="str">
        <f>TRIM(TTrainingSource[[#This Row],[EMPloyee_ID2]])</f>
        <v>EMP10427</v>
      </c>
      <c r="C875" t="str">
        <f>IFERROR(VLOOKUP(TTrainingSource[[#This Row],[Employee_ID]],THrList[],3,FALSE),"")</f>
        <v>JONES</v>
      </c>
      <c r="D875" t="str">
        <f>IFERROR(VLOOKUP(TTrainingSource[[#This Row],[Employee_ID]],THrList[],4,FALSE),"")</f>
        <v>Zainab</v>
      </c>
      <c r="E875" t="str">
        <f>IFERROR(VLOOKUP(TTrainingSource[[#This Row],[Employee_ID]],THrList[],10,FALSE),"")</f>
        <v>Human Resources</v>
      </c>
      <c r="F875" t="str">
        <f>TRIM(PROPER(TTrainingSource[[#This Row],[Training_Status2]]))</f>
        <v>Completed</v>
      </c>
      <c r="G875" t="s">
        <v>17</v>
      </c>
      <c r="H875" t="str">
        <f>TRIM(PROPER(TTrainingSource[[#This Row],[Training_Title2]]))</f>
        <v>Communication For Analysts</v>
      </c>
      <c r="I875" t="s">
        <v>153</v>
      </c>
      <c r="J875" s="1">
        <v>44709</v>
      </c>
      <c r="K875" t="s">
        <v>98</v>
      </c>
      <c r="L875" s="7">
        <v>16</v>
      </c>
      <c r="M875">
        <f>ROUND(TTrainingSource[[#This Row],[Satisfaction_Score2]],0)</f>
        <v>4</v>
      </c>
      <c r="N875">
        <v>3.7</v>
      </c>
    </row>
    <row r="876" spans="1:14" x14ac:dyDescent="0.3">
      <c r="A876" t="s">
        <v>72</v>
      </c>
      <c r="B876" t="str">
        <f>TRIM(TTrainingSource[[#This Row],[EMPloyee_ID2]])</f>
        <v>EMP10427</v>
      </c>
      <c r="C876" t="str">
        <f>IFERROR(VLOOKUP(TTrainingSource[[#This Row],[Employee_ID]],THrList[],3,FALSE),"")</f>
        <v>JONES</v>
      </c>
      <c r="D876" t="str">
        <f>IFERROR(VLOOKUP(TTrainingSource[[#This Row],[Employee_ID]],THrList[],4,FALSE),"")</f>
        <v>Zainab</v>
      </c>
      <c r="E876" t="str">
        <f>IFERROR(VLOOKUP(TTrainingSource[[#This Row],[Employee_ID]],THrList[],10,FALSE),"")</f>
        <v>Human Resources</v>
      </c>
      <c r="F876" t="str">
        <f>TRIM(PROPER(TTrainingSource[[#This Row],[Training_Status2]]))</f>
        <v>In Progress</v>
      </c>
      <c r="G876" t="s">
        <v>8</v>
      </c>
      <c r="H876" t="str">
        <f>TRIM(PROPER(TTrainingSource[[#This Row],[Training_Title2]]))</f>
        <v>Communication For Analysts</v>
      </c>
      <c r="I876" t="s">
        <v>28</v>
      </c>
      <c r="J876" s="1">
        <v>45154</v>
      </c>
      <c r="K876" t="s">
        <v>39</v>
      </c>
      <c r="L876" s="7">
        <v>24</v>
      </c>
      <c r="M876">
        <f>ROUND(TTrainingSource[[#This Row],[Satisfaction_Score2]],0)</f>
        <v>3</v>
      </c>
      <c r="N876">
        <v>2.9</v>
      </c>
    </row>
    <row r="877" spans="1:14" x14ac:dyDescent="0.3">
      <c r="A877" t="s">
        <v>426</v>
      </c>
      <c r="B877" t="str">
        <f>TRIM(TTrainingSource[[#This Row],[EMPloyee_ID2]])</f>
        <v>EMP10428</v>
      </c>
      <c r="C877" t="str">
        <f>IFERROR(VLOOKUP(TTrainingSource[[#This Row],[Employee_ID]],THrList[],3,FALSE),"")</f>
        <v>DIALLO</v>
      </c>
      <c r="D877" t="str">
        <f>IFERROR(VLOOKUP(TTrainingSource[[#This Row],[Employee_ID]],THrList[],4,FALSE),"")</f>
        <v>Khalid</v>
      </c>
      <c r="E877" t="str">
        <f>IFERROR(VLOOKUP(TTrainingSource[[#This Row],[Employee_ID]],THrList[],10,FALSE),"")</f>
        <v>Sales</v>
      </c>
      <c r="F877" t="str">
        <f>TRIM(PROPER(TTrainingSource[[#This Row],[Training_Status2]]))</f>
        <v>Completed</v>
      </c>
      <c r="G877" t="s">
        <v>17</v>
      </c>
      <c r="H877" t="str">
        <f>TRIM(PROPER(TTrainingSource[[#This Row],[Training_Title2]]))</f>
        <v>Introduction To Python For Data</v>
      </c>
      <c r="I877" t="s">
        <v>62</v>
      </c>
      <c r="J877" s="1">
        <v>45063</v>
      </c>
      <c r="K877" t="s">
        <v>32</v>
      </c>
      <c r="L877" s="7">
        <v>6</v>
      </c>
      <c r="M877">
        <f>ROUND(TTrainingSource[[#This Row],[Satisfaction_Score2]],0)</f>
        <v>4</v>
      </c>
      <c r="N877">
        <v>3.5</v>
      </c>
    </row>
    <row r="878" spans="1:14" x14ac:dyDescent="0.3">
      <c r="A878" t="s">
        <v>591</v>
      </c>
      <c r="B878" t="str">
        <f>TRIM(TTrainingSource[[#This Row],[EMPloyee_ID2]])</f>
        <v>EMP10428</v>
      </c>
      <c r="C878" t="str">
        <f>IFERROR(VLOOKUP(TTrainingSource[[#This Row],[Employee_ID]],THrList[],3,FALSE),"")</f>
        <v>DIALLO</v>
      </c>
      <c r="D878" t="str">
        <f>IFERROR(VLOOKUP(TTrainingSource[[#This Row],[Employee_ID]],THrList[],4,FALSE),"")</f>
        <v>Khalid</v>
      </c>
      <c r="E878" t="str">
        <f>IFERROR(VLOOKUP(TTrainingSource[[#This Row],[Employee_ID]],THrList[],10,FALSE),"")</f>
        <v>Sales</v>
      </c>
      <c r="F878" t="str">
        <f>TRIM(PROPER(TTrainingSource[[#This Row],[Training_Status2]]))</f>
        <v>In Progress</v>
      </c>
      <c r="G878" t="s">
        <v>8</v>
      </c>
      <c r="H878" t="str">
        <f>TRIM(PROPER(TTrainingSource[[#This Row],[Training_Title2]]))</f>
        <v>Business Intelligence With Tableau</v>
      </c>
      <c r="I878" t="s">
        <v>517</v>
      </c>
      <c r="J878" s="1">
        <v>45917</v>
      </c>
      <c r="K878" t="s">
        <v>44</v>
      </c>
      <c r="L878" s="7">
        <v>6</v>
      </c>
      <c r="M878">
        <f>ROUND(TTrainingSource[[#This Row],[Satisfaction_Score2]],0)</f>
        <v>4</v>
      </c>
      <c r="N878">
        <v>4.3</v>
      </c>
    </row>
    <row r="879" spans="1:14" x14ac:dyDescent="0.3">
      <c r="A879" t="s">
        <v>426</v>
      </c>
      <c r="B879" t="str">
        <f>TRIM(TTrainingSource[[#This Row],[EMPloyee_ID2]])</f>
        <v>EMP10428</v>
      </c>
      <c r="C879" t="str">
        <f>IFERROR(VLOOKUP(TTrainingSource[[#This Row],[Employee_ID]],THrList[],3,FALSE),"")</f>
        <v>DIALLO</v>
      </c>
      <c r="D879" t="str">
        <f>IFERROR(VLOOKUP(TTrainingSource[[#This Row],[Employee_ID]],THrList[],4,FALSE),"")</f>
        <v>Khalid</v>
      </c>
      <c r="E879" t="str">
        <f>IFERROR(VLOOKUP(TTrainingSource[[#This Row],[Employee_ID]],THrList[],10,FALSE),"")</f>
        <v>Sales</v>
      </c>
      <c r="F879" t="str">
        <f>TRIM(PROPER(TTrainingSource[[#This Row],[Training_Status2]]))</f>
        <v>Completed</v>
      </c>
      <c r="G879" t="s">
        <v>17</v>
      </c>
      <c r="H879" t="str">
        <f>TRIM(PROPER(TTrainingSource[[#This Row],[Training_Title2]]))</f>
        <v>Data Visualization Best Practices</v>
      </c>
      <c r="I879" t="s">
        <v>20</v>
      </c>
      <c r="J879" s="1">
        <v>45587</v>
      </c>
      <c r="K879" t="s">
        <v>98</v>
      </c>
      <c r="L879" s="7">
        <v>8</v>
      </c>
      <c r="M879">
        <f>ROUND(TTrainingSource[[#This Row],[Satisfaction_Score2]],0)</f>
        <v>5</v>
      </c>
      <c r="N879">
        <v>4.7</v>
      </c>
    </row>
    <row r="880" spans="1:14" x14ac:dyDescent="0.3">
      <c r="A880" t="s">
        <v>337</v>
      </c>
      <c r="B880" t="str">
        <f>TRIM(TTrainingSource[[#This Row],[EMPloyee_ID2]])</f>
        <v>EMP10429</v>
      </c>
      <c r="C880" t="str">
        <f>IFERROR(VLOOKUP(TTrainingSource[[#This Row],[Employee_ID]],THrList[],3,FALSE),"")</f>
        <v>ABDULLAH</v>
      </c>
      <c r="D880" t="str">
        <f>IFERROR(VLOOKUP(TTrainingSource[[#This Row],[Employee_ID]],THrList[],4,FALSE),"")</f>
        <v>Camille</v>
      </c>
      <c r="E880" t="str">
        <f>IFERROR(VLOOKUP(TTrainingSource[[#This Row],[Employee_ID]],THrList[],10,FALSE),"")</f>
        <v>Compliance</v>
      </c>
      <c r="F880" t="str">
        <f>TRIM(PROPER(TTrainingSource[[#This Row],[Training_Status2]]))</f>
        <v>Completed</v>
      </c>
      <c r="G880" t="s">
        <v>17</v>
      </c>
      <c r="H880" t="str">
        <f>TRIM(PROPER(TTrainingSource[[#This Row],[Training_Title2]]))</f>
        <v>Digital Marketing Strategy</v>
      </c>
      <c r="I880" t="s">
        <v>43</v>
      </c>
      <c r="J880" s="1">
        <v>45894</v>
      </c>
      <c r="K880" t="s">
        <v>44</v>
      </c>
      <c r="L880" s="7">
        <v>4</v>
      </c>
      <c r="M880">
        <f>ROUND(TTrainingSource[[#This Row],[Satisfaction_Score2]],0)</f>
        <v>4</v>
      </c>
      <c r="N880">
        <v>4.2</v>
      </c>
    </row>
    <row r="881" spans="1:14" x14ac:dyDescent="0.3">
      <c r="A881" t="s">
        <v>337</v>
      </c>
      <c r="B881" t="str">
        <f>TRIM(TTrainingSource[[#This Row],[EMPloyee_ID2]])</f>
        <v>EMP10429</v>
      </c>
      <c r="C881" t="str">
        <f>IFERROR(VLOOKUP(TTrainingSource[[#This Row],[Employee_ID]],THrList[],3,FALSE),"")</f>
        <v>ABDULLAH</v>
      </c>
      <c r="D881" t="str">
        <f>IFERROR(VLOOKUP(TTrainingSource[[#This Row],[Employee_ID]],THrList[],4,FALSE),"")</f>
        <v>Camille</v>
      </c>
      <c r="E881" t="str">
        <f>IFERROR(VLOOKUP(TTrainingSource[[#This Row],[Employee_ID]],THrList[],10,FALSE),"")</f>
        <v>Compliance</v>
      </c>
      <c r="F881" t="str">
        <f>TRIM(PROPER(TTrainingSource[[#This Row],[Training_Status2]]))</f>
        <v>In Progress</v>
      </c>
      <c r="G881" t="s">
        <v>67</v>
      </c>
      <c r="H881" t="str">
        <f>TRIM(PROPER(TTrainingSource[[#This Row],[Training_Title2]]))</f>
        <v>Communication For Analysts</v>
      </c>
      <c r="I881" t="s">
        <v>28</v>
      </c>
      <c r="J881" s="1">
        <v>45769</v>
      </c>
      <c r="K881" t="s">
        <v>44</v>
      </c>
      <c r="L881" s="7">
        <v>20</v>
      </c>
      <c r="M881">
        <f>ROUND(TTrainingSource[[#This Row],[Satisfaction_Score2]],0)</f>
        <v>3</v>
      </c>
      <c r="N881">
        <v>3</v>
      </c>
    </row>
    <row r="882" spans="1:14" x14ac:dyDescent="0.3">
      <c r="A882" t="s">
        <v>337</v>
      </c>
      <c r="B882" t="str">
        <f>TRIM(TTrainingSource[[#This Row],[EMPloyee_ID2]])</f>
        <v>EMP10429</v>
      </c>
      <c r="C882" t="str">
        <f>IFERROR(VLOOKUP(TTrainingSource[[#This Row],[Employee_ID]],THrList[],3,FALSE),"")</f>
        <v>ABDULLAH</v>
      </c>
      <c r="D882" t="str">
        <f>IFERROR(VLOOKUP(TTrainingSource[[#This Row],[Employee_ID]],THrList[],4,FALSE),"")</f>
        <v>Camille</v>
      </c>
      <c r="E882" t="str">
        <f>IFERROR(VLOOKUP(TTrainingSource[[#This Row],[Employee_ID]],THrList[],10,FALSE),"")</f>
        <v>Compliance</v>
      </c>
      <c r="F882" t="str">
        <f>TRIM(PROPER(TTrainingSource[[#This Row],[Training_Status2]]))</f>
        <v>Completed</v>
      </c>
      <c r="G882" t="s">
        <v>17</v>
      </c>
      <c r="H882" t="str">
        <f>TRIM(PROPER(TTrainingSource[[#This Row],[Training_Title2]]))</f>
        <v>Project Management Essentials</v>
      </c>
      <c r="I882" t="s">
        <v>14</v>
      </c>
      <c r="J882" s="1">
        <v>45475</v>
      </c>
      <c r="K882" t="s">
        <v>29</v>
      </c>
      <c r="L882" s="7">
        <v>20</v>
      </c>
      <c r="M882">
        <f>ROUND(TTrainingSource[[#This Row],[Satisfaction_Score2]],0)</f>
        <v>3</v>
      </c>
      <c r="N882">
        <v>3.3</v>
      </c>
    </row>
    <row r="883" spans="1:14" x14ac:dyDescent="0.3">
      <c r="A883" t="s">
        <v>724</v>
      </c>
      <c r="B883" t="str">
        <f>TRIM(TTrainingSource[[#This Row],[EMPloyee_ID2]])</f>
        <v>EMP10430</v>
      </c>
      <c r="C883" t="str">
        <f>IFERROR(VLOOKUP(TTrainingSource[[#This Row],[Employee_ID]],THrList[],3,FALSE),"")</f>
        <v>MILLER</v>
      </c>
      <c r="D883" t="str">
        <f>IFERROR(VLOOKUP(TTrainingSource[[#This Row],[Employee_ID]],THrList[],4,FALSE),"")</f>
        <v>Sophia</v>
      </c>
      <c r="E883" t="str">
        <f>IFERROR(VLOOKUP(TTrainingSource[[#This Row],[Employee_ID]],THrList[],10,FALSE),"")</f>
        <v>Marketing</v>
      </c>
      <c r="F883" t="str">
        <f>TRIM(PROPER(TTrainingSource[[#This Row],[Training_Status2]]))</f>
        <v>Completed</v>
      </c>
      <c r="G883" t="s">
        <v>17</v>
      </c>
      <c r="H883" t="str">
        <f>TRIM(PROPER(TTrainingSource[[#This Row],[Training_Title2]]))</f>
        <v>Financial Modeling Basics</v>
      </c>
      <c r="I883" t="s">
        <v>38</v>
      </c>
      <c r="J883" s="1">
        <v>45737</v>
      </c>
      <c r="K883" t="s">
        <v>98</v>
      </c>
      <c r="L883" s="7">
        <v>32</v>
      </c>
      <c r="M883">
        <f>ROUND(TTrainingSource[[#This Row],[Satisfaction_Score2]],0)</f>
        <v>3</v>
      </c>
      <c r="N883">
        <v>2.6</v>
      </c>
    </row>
    <row r="884" spans="1:14" x14ac:dyDescent="0.3">
      <c r="A884" t="s">
        <v>321</v>
      </c>
      <c r="B884" t="str">
        <f>TRIM(TTrainingSource[[#This Row],[EMPloyee_ID2]])</f>
        <v>EMP10431</v>
      </c>
      <c r="C884" t="str">
        <f>IFERROR(VLOOKUP(TTrainingSource[[#This Row],[Employee_ID]],THrList[],3,FALSE),"")</f>
        <v>MOREAU</v>
      </c>
      <c r="D884" t="str">
        <f>IFERROR(VLOOKUP(TTrainingSource[[#This Row],[Employee_ID]],THrList[],4,FALSE),"")</f>
        <v>Binta</v>
      </c>
      <c r="E884" t="str">
        <f>IFERROR(VLOOKUP(TTrainingSource[[#This Row],[Employee_ID]],THrList[],10,FALSE),"")</f>
        <v>Sales</v>
      </c>
      <c r="F884" t="str">
        <f>TRIM(PROPER(TTrainingSource[[#This Row],[Training_Status2]]))</f>
        <v>Completed</v>
      </c>
      <c r="G884" t="s">
        <v>17</v>
      </c>
      <c r="H884" t="str">
        <f>TRIM(PROPER(TTrainingSource[[#This Row],[Training_Title2]]))</f>
        <v>Project Management Essentials</v>
      </c>
      <c r="I884" t="s">
        <v>14</v>
      </c>
      <c r="J884" s="1">
        <v>45661</v>
      </c>
      <c r="K884" t="s">
        <v>29</v>
      </c>
      <c r="L884" s="7">
        <v>4</v>
      </c>
      <c r="M884">
        <f>ROUND(TTrainingSource[[#This Row],[Satisfaction_Score2]],0)</f>
        <v>3</v>
      </c>
      <c r="N884">
        <v>2.9</v>
      </c>
    </row>
    <row r="885" spans="1:14" x14ac:dyDescent="0.3">
      <c r="A885" t="s">
        <v>321</v>
      </c>
      <c r="B885" t="str">
        <f>TRIM(TTrainingSource[[#This Row],[EMPloyee_ID2]])</f>
        <v>EMP10431</v>
      </c>
      <c r="C885" t="str">
        <f>IFERROR(VLOOKUP(TTrainingSource[[#This Row],[Employee_ID]],THrList[],3,FALSE),"")</f>
        <v>MOREAU</v>
      </c>
      <c r="D885" t="str">
        <f>IFERROR(VLOOKUP(TTrainingSource[[#This Row],[Employee_ID]],THrList[],4,FALSE),"")</f>
        <v>Binta</v>
      </c>
      <c r="E885" t="str">
        <f>IFERROR(VLOOKUP(TTrainingSource[[#This Row],[Employee_ID]],THrList[],10,FALSE),"")</f>
        <v>Sales</v>
      </c>
      <c r="F885" t="str">
        <f>TRIM(PROPER(TTrainingSource[[#This Row],[Training_Status2]]))</f>
        <v>Planned</v>
      </c>
      <c r="G885" t="s">
        <v>19</v>
      </c>
      <c r="H885" t="str">
        <f>TRIM(PROPER(TTrainingSource[[#This Row],[Training_Title2]]))</f>
        <v>Advanced Excel For Business</v>
      </c>
      <c r="I885" t="s">
        <v>346</v>
      </c>
      <c r="J885" s="1">
        <v>45605</v>
      </c>
      <c r="K885" t="s">
        <v>1072</v>
      </c>
      <c r="L885" s="7">
        <v>6</v>
      </c>
      <c r="M885">
        <f>ROUND(TTrainingSource[[#This Row],[Satisfaction_Score2]],0)</f>
        <v>3</v>
      </c>
      <c r="N885">
        <v>3.2</v>
      </c>
    </row>
    <row r="886" spans="1:14" x14ac:dyDescent="0.3">
      <c r="A886" t="s">
        <v>321</v>
      </c>
      <c r="B886" t="str">
        <f>TRIM(TTrainingSource[[#This Row],[EMPloyee_ID2]])</f>
        <v>EMP10431</v>
      </c>
      <c r="C886" t="str">
        <f>IFERROR(VLOOKUP(TTrainingSource[[#This Row],[Employee_ID]],THrList[],3,FALSE),"")</f>
        <v>MOREAU</v>
      </c>
      <c r="D886" t="str">
        <f>IFERROR(VLOOKUP(TTrainingSource[[#This Row],[Employee_ID]],THrList[],4,FALSE),"")</f>
        <v>Binta</v>
      </c>
      <c r="E886" t="str">
        <f>IFERROR(VLOOKUP(TTrainingSource[[#This Row],[Employee_ID]],THrList[],10,FALSE),"")</f>
        <v>Sales</v>
      </c>
      <c r="F886" t="str">
        <f>TRIM(PROPER(TTrainingSource[[#This Row],[Training_Status2]]))</f>
        <v>Completed</v>
      </c>
      <c r="G886" t="s">
        <v>17</v>
      </c>
      <c r="H886" t="str">
        <f>TRIM(PROPER(TTrainingSource[[#This Row],[Training_Title2]]))</f>
        <v>Project Management Essentials</v>
      </c>
      <c r="I886" t="s">
        <v>14</v>
      </c>
      <c r="J886" s="1">
        <v>44674</v>
      </c>
      <c r="K886" t="s">
        <v>1072</v>
      </c>
      <c r="L886" s="7">
        <v>6</v>
      </c>
      <c r="M886">
        <f>ROUND(TTrainingSource[[#This Row],[Satisfaction_Score2]],0)</f>
        <v>5</v>
      </c>
      <c r="N886">
        <v>4.7</v>
      </c>
    </row>
    <row r="887" spans="1:14" x14ac:dyDescent="0.3">
      <c r="A887" t="s">
        <v>739</v>
      </c>
      <c r="B887" t="str">
        <f>TRIM(TTrainingSource[[#This Row],[EMPloyee_ID2]])</f>
        <v>EMP10432</v>
      </c>
      <c r="C887" t="str">
        <f>IFERROR(VLOOKUP(TTrainingSource[[#This Row],[Employee_ID]],THrList[],3,FALSE),"")</f>
        <v>GARCIA</v>
      </c>
      <c r="D887" t="str">
        <f>IFERROR(VLOOKUP(TTrainingSource[[#This Row],[Employee_ID]],THrList[],4,FALSE),"")</f>
        <v>Ava</v>
      </c>
      <c r="E887" t="str">
        <f>IFERROR(VLOOKUP(TTrainingSource[[#This Row],[Employee_ID]],THrList[],10,FALSE),"")</f>
        <v>IT</v>
      </c>
      <c r="F887" t="str">
        <f>TRIM(PROPER(TTrainingSource[[#This Row],[Training_Status2]]))</f>
        <v>Planned</v>
      </c>
      <c r="G887" t="s">
        <v>19</v>
      </c>
      <c r="H887" t="str">
        <f>TRIM(PROPER(TTrainingSource[[#This Row],[Training_Title2]]))</f>
        <v>Financial Modeling Basics</v>
      </c>
      <c r="I887" t="s">
        <v>38</v>
      </c>
      <c r="J887" s="1">
        <v>45303</v>
      </c>
      <c r="K887" t="s">
        <v>44</v>
      </c>
      <c r="L887" s="7">
        <v>40</v>
      </c>
      <c r="M887">
        <f>ROUND(TTrainingSource[[#This Row],[Satisfaction_Score2]],0)</f>
        <v>4</v>
      </c>
      <c r="N887">
        <v>4.2</v>
      </c>
    </row>
    <row r="888" spans="1:14" x14ac:dyDescent="0.3">
      <c r="A888" t="s">
        <v>739</v>
      </c>
      <c r="B888" t="str">
        <f>TRIM(TTrainingSource[[#This Row],[EMPloyee_ID2]])</f>
        <v>EMP10432</v>
      </c>
      <c r="C888" t="str">
        <f>IFERROR(VLOOKUP(TTrainingSource[[#This Row],[Employee_ID]],THrList[],3,FALSE),"")</f>
        <v>GARCIA</v>
      </c>
      <c r="D888" t="str">
        <f>IFERROR(VLOOKUP(TTrainingSource[[#This Row],[Employee_ID]],THrList[],4,FALSE),"")</f>
        <v>Ava</v>
      </c>
      <c r="E888" t="str">
        <f>IFERROR(VLOOKUP(TTrainingSource[[#This Row],[Employee_ID]],THrList[],10,FALSE),"")</f>
        <v>IT</v>
      </c>
      <c r="F888" t="str">
        <f>TRIM(PROPER(TTrainingSource[[#This Row],[Training_Status2]]))</f>
        <v>Completed</v>
      </c>
      <c r="G888" t="s">
        <v>17</v>
      </c>
      <c r="H888" t="str">
        <f>TRIM(PROPER(TTrainingSource[[#This Row],[Training_Title2]]))</f>
        <v>Power Bi Reporting</v>
      </c>
      <c r="I888" t="s">
        <v>24</v>
      </c>
      <c r="J888" s="1">
        <v>45616</v>
      </c>
      <c r="K888" t="s">
        <v>44</v>
      </c>
      <c r="L888" s="7">
        <v>16</v>
      </c>
      <c r="M888">
        <f>ROUND(TTrainingSource[[#This Row],[Satisfaction_Score2]],0)</f>
        <v>4</v>
      </c>
      <c r="N888">
        <v>4</v>
      </c>
    </row>
    <row r="889" spans="1:14" x14ac:dyDescent="0.3">
      <c r="A889" t="s">
        <v>499</v>
      </c>
      <c r="B889" t="str">
        <f>TRIM(TTrainingSource[[#This Row],[EMPloyee_ID2]])</f>
        <v>EMP10433</v>
      </c>
      <c r="C889" t="str">
        <f>IFERROR(VLOOKUP(TTrainingSource[[#This Row],[Employee_ID]],THrList[],3,FALSE),"")</f>
        <v>FOURNIER</v>
      </c>
      <c r="D889" t="str">
        <f>IFERROR(VLOOKUP(TTrainingSource[[#This Row],[Employee_ID]],THrList[],4,FALSE),"")</f>
        <v>Charlotte</v>
      </c>
      <c r="E889" t="str">
        <f>IFERROR(VLOOKUP(TTrainingSource[[#This Row],[Employee_ID]],THrList[],10,FALSE),"")</f>
        <v>Sales</v>
      </c>
      <c r="F889" t="str">
        <f>TRIM(PROPER(TTrainingSource[[#This Row],[Training_Status2]]))</f>
        <v>Planned</v>
      </c>
      <c r="G889" t="s">
        <v>19</v>
      </c>
      <c r="H889" t="str">
        <f>TRIM(PROPER(TTrainingSource[[#This Row],[Training_Title2]]))</f>
        <v>Power Bi Reporting</v>
      </c>
      <c r="I889" t="s">
        <v>130</v>
      </c>
      <c r="J889" s="1">
        <v>45407</v>
      </c>
      <c r="K889" t="s">
        <v>44</v>
      </c>
      <c r="L889" s="7">
        <v>40</v>
      </c>
      <c r="M889">
        <f>ROUND(TTrainingSource[[#This Row],[Satisfaction_Score2]],0)</f>
        <v>4</v>
      </c>
      <c r="N889">
        <v>4.2</v>
      </c>
    </row>
    <row r="890" spans="1:14" x14ac:dyDescent="0.3">
      <c r="A890" t="s">
        <v>499</v>
      </c>
      <c r="B890" t="str">
        <f>TRIM(TTrainingSource[[#This Row],[EMPloyee_ID2]])</f>
        <v>EMP10433</v>
      </c>
      <c r="C890" t="str">
        <f>IFERROR(VLOOKUP(TTrainingSource[[#This Row],[Employee_ID]],THrList[],3,FALSE),"")</f>
        <v>FOURNIER</v>
      </c>
      <c r="D890" t="str">
        <f>IFERROR(VLOOKUP(TTrainingSource[[#This Row],[Employee_ID]],THrList[],4,FALSE),"")</f>
        <v>Charlotte</v>
      </c>
      <c r="E890" t="str">
        <f>IFERROR(VLOOKUP(TTrainingSource[[#This Row],[Employee_ID]],THrList[],10,FALSE),"")</f>
        <v>Sales</v>
      </c>
      <c r="F890" t="str">
        <f>TRIM(PROPER(TTrainingSource[[#This Row],[Training_Status2]]))</f>
        <v>Completed</v>
      </c>
      <c r="G890" t="s">
        <v>17</v>
      </c>
      <c r="H890" t="str">
        <f>TRIM(PROPER(TTrainingSource[[#This Row],[Training_Title2]]))</f>
        <v>Digital Marketing Strategy</v>
      </c>
      <c r="I890" t="s">
        <v>43</v>
      </c>
      <c r="J890" s="1">
        <v>44658</v>
      </c>
      <c r="K890" t="s">
        <v>42</v>
      </c>
      <c r="L890" s="7">
        <v>0</v>
      </c>
      <c r="M890">
        <f>ROUND(TTrainingSource[[#This Row],[Satisfaction_Score2]],0)</f>
        <v>4</v>
      </c>
      <c r="N890">
        <v>4.0999999999999996</v>
      </c>
    </row>
    <row r="891" spans="1:14" x14ac:dyDescent="0.3">
      <c r="A891" t="s">
        <v>179</v>
      </c>
      <c r="B891" t="str">
        <f>TRIM(TTrainingSource[[#This Row],[EMPloyee_ID2]])</f>
        <v>EMP10434</v>
      </c>
      <c r="C891" t="str">
        <f>IFERROR(VLOOKUP(TTrainingSource[[#This Row],[Employee_ID]],THrList[],3,FALSE),"")</f>
        <v>TAYLOR</v>
      </c>
      <c r="D891" t="str">
        <f>IFERROR(VLOOKUP(TTrainingSource[[#This Row],[Employee_ID]],THrList[],4,FALSE),"")</f>
        <v>Omar</v>
      </c>
      <c r="E891" t="str">
        <f>IFERROR(VLOOKUP(TTrainingSource[[#This Row],[Employee_ID]],THrList[],10,FALSE),"")</f>
        <v>Operations</v>
      </c>
      <c r="F891" t="str">
        <f>TRIM(PROPER(TTrainingSource[[#This Row],[Training_Status2]]))</f>
        <v>Completed</v>
      </c>
      <c r="G891" t="s">
        <v>17</v>
      </c>
      <c r="H891" t="str">
        <f>TRIM(PROPER(TTrainingSource[[#This Row],[Training_Title2]]))</f>
        <v>Communication For Analysts</v>
      </c>
      <c r="I891" t="s">
        <v>28</v>
      </c>
      <c r="J891" s="1">
        <v>45885</v>
      </c>
      <c r="K891" t="s">
        <v>42</v>
      </c>
      <c r="L891" s="7">
        <v>16</v>
      </c>
      <c r="M891">
        <f>ROUND(TTrainingSource[[#This Row],[Satisfaction_Score2]],0)</f>
        <v>4</v>
      </c>
      <c r="N891">
        <v>4.2</v>
      </c>
    </row>
    <row r="892" spans="1:14" x14ac:dyDescent="0.3">
      <c r="A892" t="s">
        <v>179</v>
      </c>
      <c r="B892" t="str">
        <f>TRIM(TTrainingSource[[#This Row],[EMPloyee_ID2]])</f>
        <v>EMP10434</v>
      </c>
      <c r="C892" t="str">
        <f>IFERROR(VLOOKUP(TTrainingSource[[#This Row],[Employee_ID]],THrList[],3,FALSE),"")</f>
        <v>TAYLOR</v>
      </c>
      <c r="D892" t="str">
        <f>IFERROR(VLOOKUP(TTrainingSource[[#This Row],[Employee_ID]],THrList[],4,FALSE),"")</f>
        <v>Omar</v>
      </c>
      <c r="E892" t="str">
        <f>IFERROR(VLOOKUP(TTrainingSource[[#This Row],[Employee_ID]],THrList[],10,FALSE),"")</f>
        <v>Operations</v>
      </c>
      <c r="F892" t="str">
        <f>TRIM(PROPER(TTrainingSource[[#This Row],[Training_Status2]]))</f>
        <v>Completed</v>
      </c>
      <c r="G892" t="s">
        <v>17</v>
      </c>
      <c r="H892" t="str">
        <f>TRIM(PROPER(TTrainingSource[[#This Row],[Training_Title2]]))</f>
        <v>Financial Modeling Basics</v>
      </c>
      <c r="I892" t="s">
        <v>38</v>
      </c>
      <c r="J892" s="1">
        <v>45175</v>
      </c>
      <c r="K892" t="s">
        <v>71</v>
      </c>
      <c r="L892" s="7">
        <v>40</v>
      </c>
      <c r="M892">
        <f>ROUND(TTrainingSource[[#This Row],[Satisfaction_Score2]],0)</f>
        <v>4</v>
      </c>
      <c r="N892">
        <v>4</v>
      </c>
    </row>
    <row r="893" spans="1:14" x14ac:dyDescent="0.3">
      <c r="A893" t="s">
        <v>179</v>
      </c>
      <c r="B893" t="str">
        <f>TRIM(TTrainingSource[[#This Row],[EMPloyee_ID2]])</f>
        <v>EMP10434</v>
      </c>
      <c r="C893" t="str">
        <f>IFERROR(VLOOKUP(TTrainingSource[[#This Row],[Employee_ID]],THrList[],3,FALSE),"")</f>
        <v>TAYLOR</v>
      </c>
      <c r="D893" t="str">
        <f>IFERROR(VLOOKUP(TTrainingSource[[#This Row],[Employee_ID]],THrList[],4,FALSE),"")</f>
        <v>Omar</v>
      </c>
      <c r="E893" t="str">
        <f>IFERROR(VLOOKUP(TTrainingSource[[#This Row],[Employee_ID]],THrList[],10,FALSE),"")</f>
        <v>Operations</v>
      </c>
      <c r="F893" t="str">
        <f>TRIM(PROPER(TTrainingSource[[#This Row],[Training_Status2]]))</f>
        <v>Completed</v>
      </c>
      <c r="G893" t="s">
        <v>17</v>
      </c>
      <c r="H893" t="str">
        <f>TRIM(PROPER(TTrainingSource[[#This Row],[Training_Title2]]))</f>
        <v>Sql For Data Analytics</v>
      </c>
      <c r="I893" t="s">
        <v>26</v>
      </c>
      <c r="J893" s="1">
        <v>45459</v>
      </c>
      <c r="K893" t="s">
        <v>98</v>
      </c>
      <c r="L893" s="7">
        <v>16</v>
      </c>
      <c r="M893">
        <f>ROUND(TTrainingSource[[#This Row],[Satisfaction_Score2]],0)</f>
        <v>3</v>
      </c>
      <c r="N893">
        <v>2.9</v>
      </c>
    </row>
    <row r="894" spans="1:14" x14ac:dyDescent="0.3">
      <c r="A894" t="s">
        <v>770</v>
      </c>
      <c r="B894" t="str">
        <f>TRIM(TTrainingSource[[#This Row],[EMPloyee_ID2]])</f>
        <v>EMP10434</v>
      </c>
      <c r="C894" t="str">
        <f>IFERROR(VLOOKUP(TTrainingSource[[#This Row],[Employee_ID]],THrList[],3,FALSE),"")</f>
        <v>TAYLOR</v>
      </c>
      <c r="D894" t="str">
        <f>IFERROR(VLOOKUP(TTrainingSource[[#This Row],[Employee_ID]],THrList[],4,FALSE),"")</f>
        <v>Omar</v>
      </c>
      <c r="E894" t="str">
        <f>IFERROR(VLOOKUP(TTrainingSource[[#This Row],[Employee_ID]],THrList[],10,FALSE),"")</f>
        <v>Operations</v>
      </c>
      <c r="F894" t="str">
        <f>TRIM(PROPER(TTrainingSource[[#This Row],[Training_Status2]]))</f>
        <v>Completed</v>
      </c>
      <c r="G894" t="s">
        <v>17</v>
      </c>
      <c r="H894" t="str">
        <f>TRIM(PROPER(TTrainingSource[[#This Row],[Training_Title2]]))</f>
        <v>Introduction To Python For Data</v>
      </c>
      <c r="I894" t="s">
        <v>62</v>
      </c>
      <c r="J894" s="1">
        <v>45810</v>
      </c>
      <c r="K894" t="s">
        <v>44</v>
      </c>
      <c r="L894" s="7">
        <v>12</v>
      </c>
      <c r="M894">
        <f>ROUND(TTrainingSource[[#This Row],[Satisfaction_Score2]],0)</f>
        <v>3</v>
      </c>
      <c r="N894">
        <v>2.5</v>
      </c>
    </row>
    <row r="895" spans="1:14" x14ac:dyDescent="0.3">
      <c r="A895" t="s">
        <v>232</v>
      </c>
      <c r="B895" t="str">
        <f>TRIM(TTrainingSource[[#This Row],[EMPloyee_ID2]])</f>
        <v>EMP10435</v>
      </c>
      <c r="C895" t="str">
        <f>IFERROR(VLOOKUP(TTrainingSource[[#This Row],[Employee_ID]],THrList[],3,FALSE),"")</f>
        <v>WILSON</v>
      </c>
      <c r="D895" t="str">
        <f>IFERROR(VLOOKUP(TTrainingSource[[#This Row],[Employee_ID]],THrList[],4,FALSE),"")</f>
        <v>Yusuf</v>
      </c>
      <c r="E895" t="str">
        <f>IFERROR(VLOOKUP(TTrainingSource[[#This Row],[Employee_ID]],THrList[],10,FALSE),"")</f>
        <v>Compliance</v>
      </c>
      <c r="F895" t="str">
        <f>TRIM(PROPER(TTrainingSource[[#This Row],[Training_Status2]]))</f>
        <v>Completed</v>
      </c>
      <c r="G895" t="s">
        <v>17</v>
      </c>
      <c r="H895" t="str">
        <f>TRIM(PROPER(TTrainingSource[[#This Row],[Training_Title2]]))</f>
        <v>Project Management Essentials</v>
      </c>
      <c r="I895" t="s">
        <v>233</v>
      </c>
      <c r="J895" s="1">
        <v>45357</v>
      </c>
      <c r="K895" t="s">
        <v>15</v>
      </c>
      <c r="L895" s="7">
        <v>40</v>
      </c>
      <c r="M895">
        <f>ROUND(TTrainingSource[[#This Row],[Satisfaction_Score2]],0)</f>
        <v>4</v>
      </c>
      <c r="N895">
        <v>3.7</v>
      </c>
    </row>
    <row r="896" spans="1:14" x14ac:dyDescent="0.3">
      <c r="A896" t="s">
        <v>232</v>
      </c>
      <c r="B896" t="str">
        <f>TRIM(TTrainingSource[[#This Row],[EMPloyee_ID2]])</f>
        <v>EMP10435</v>
      </c>
      <c r="C896" t="str">
        <f>IFERROR(VLOOKUP(TTrainingSource[[#This Row],[Employee_ID]],THrList[],3,FALSE),"")</f>
        <v>WILSON</v>
      </c>
      <c r="D896" t="str">
        <f>IFERROR(VLOOKUP(TTrainingSource[[#This Row],[Employee_ID]],THrList[],4,FALSE),"")</f>
        <v>Yusuf</v>
      </c>
      <c r="E896" t="str">
        <f>IFERROR(VLOOKUP(TTrainingSource[[#This Row],[Employee_ID]],THrList[],10,FALSE),"")</f>
        <v>Compliance</v>
      </c>
      <c r="F896" t="str">
        <f>TRIM(PROPER(TTrainingSource[[#This Row],[Training_Status2]]))</f>
        <v>Planned</v>
      </c>
      <c r="G896" t="s">
        <v>19</v>
      </c>
      <c r="H896" t="str">
        <f>TRIM(PROPER(TTrainingSource[[#This Row],[Training_Title2]]))</f>
        <v>Advanced Excel For Business</v>
      </c>
      <c r="I896" t="s">
        <v>52</v>
      </c>
      <c r="J896" s="1">
        <v>45664</v>
      </c>
      <c r="K896" t="s">
        <v>42</v>
      </c>
      <c r="L896" s="7">
        <v>0</v>
      </c>
      <c r="M896">
        <f>ROUND(TTrainingSource[[#This Row],[Satisfaction_Score2]],0)</f>
        <v>4</v>
      </c>
      <c r="N896">
        <v>3.5</v>
      </c>
    </row>
    <row r="897" spans="1:14" x14ac:dyDescent="0.3">
      <c r="A897" t="s">
        <v>232</v>
      </c>
      <c r="B897" t="str">
        <f>TRIM(TTrainingSource[[#This Row],[EMPloyee_ID2]])</f>
        <v>EMP10435</v>
      </c>
      <c r="C897" t="str">
        <f>IFERROR(VLOOKUP(TTrainingSource[[#This Row],[Employee_ID]],THrList[],3,FALSE),"")</f>
        <v>WILSON</v>
      </c>
      <c r="D897" t="str">
        <f>IFERROR(VLOOKUP(TTrainingSource[[#This Row],[Employee_ID]],THrList[],4,FALSE),"")</f>
        <v>Yusuf</v>
      </c>
      <c r="E897" t="str">
        <f>IFERROR(VLOOKUP(TTrainingSource[[#This Row],[Employee_ID]],THrList[],10,FALSE),"")</f>
        <v>Compliance</v>
      </c>
      <c r="F897" t="str">
        <f>TRIM(PROPER(TTrainingSource[[#This Row],[Training_Status2]]))</f>
        <v>Planned</v>
      </c>
      <c r="G897" t="s">
        <v>19</v>
      </c>
      <c r="H897" t="str">
        <f>TRIM(PROPER(TTrainingSource[[#This Row],[Training_Title2]]))</f>
        <v>Data Visualization Best Practices</v>
      </c>
      <c r="I897" t="s">
        <v>20</v>
      </c>
      <c r="J897" s="1">
        <v>45528</v>
      </c>
      <c r="K897" t="s">
        <v>42</v>
      </c>
      <c r="L897" s="7">
        <v>24</v>
      </c>
      <c r="M897">
        <f>ROUND(TTrainingSource[[#This Row],[Satisfaction_Score2]],0)</f>
        <v>3</v>
      </c>
      <c r="N897">
        <v>2.6</v>
      </c>
    </row>
    <row r="898" spans="1:14" x14ac:dyDescent="0.3">
      <c r="A898" t="s">
        <v>183</v>
      </c>
      <c r="B898" t="str">
        <f>TRIM(TTrainingSource[[#This Row],[EMPloyee_ID2]])</f>
        <v>EMP10436</v>
      </c>
      <c r="C898" t="str">
        <f>IFERROR(VLOOKUP(TTrainingSource[[#This Row],[Employee_ID]],THrList[],3,FALSE),"")</f>
        <v>DAVIS</v>
      </c>
      <c r="D898" t="str">
        <f>IFERROR(VLOOKUP(TTrainingSource[[#This Row],[Employee_ID]],THrList[],4,FALSE),"")</f>
        <v>Liam</v>
      </c>
      <c r="E898" t="str">
        <f>IFERROR(VLOOKUP(TTrainingSource[[#This Row],[Employee_ID]],THrList[],10,FALSE),"")</f>
        <v>Finance</v>
      </c>
      <c r="F898" t="str">
        <f>TRIM(PROPER(TTrainingSource[[#This Row],[Training_Status2]]))</f>
        <v>Completed</v>
      </c>
      <c r="G898" t="s">
        <v>17</v>
      </c>
      <c r="H898" t="str">
        <f>TRIM(PROPER(TTrainingSource[[#This Row],[Training_Title2]]))</f>
        <v>Power Bi Reporting</v>
      </c>
      <c r="I898" t="s">
        <v>24</v>
      </c>
      <c r="J898" s="1">
        <v>45391</v>
      </c>
      <c r="K898" t="s">
        <v>44</v>
      </c>
      <c r="L898" s="7">
        <v>24</v>
      </c>
      <c r="M898">
        <f>ROUND(TTrainingSource[[#This Row],[Satisfaction_Score2]],0)</f>
        <v>3</v>
      </c>
      <c r="N898">
        <v>2.7</v>
      </c>
    </row>
    <row r="899" spans="1:14" x14ac:dyDescent="0.3">
      <c r="A899" t="s">
        <v>183</v>
      </c>
      <c r="B899" t="str">
        <f>TRIM(TTrainingSource[[#This Row],[EMPloyee_ID2]])</f>
        <v>EMP10436</v>
      </c>
      <c r="C899" t="str">
        <f>IFERROR(VLOOKUP(TTrainingSource[[#This Row],[Employee_ID]],THrList[],3,FALSE),"")</f>
        <v>DAVIS</v>
      </c>
      <c r="D899" t="str">
        <f>IFERROR(VLOOKUP(TTrainingSource[[#This Row],[Employee_ID]],THrList[],4,FALSE),"")</f>
        <v>Liam</v>
      </c>
      <c r="E899" t="str">
        <f>IFERROR(VLOOKUP(TTrainingSource[[#This Row],[Employee_ID]],THrList[],10,FALSE),"")</f>
        <v>Finance</v>
      </c>
      <c r="F899" t="str">
        <f>TRIM(PROPER(TTrainingSource[[#This Row],[Training_Status2]]))</f>
        <v>Completed</v>
      </c>
      <c r="G899" t="s">
        <v>17</v>
      </c>
      <c r="H899" t="str">
        <f>TRIM(PROPER(TTrainingSource[[#This Row],[Training_Title2]]))</f>
        <v>Data Visualization Best Practices</v>
      </c>
      <c r="I899" t="s">
        <v>20</v>
      </c>
      <c r="J899" s="1">
        <v>45844</v>
      </c>
      <c r="K899" t="s">
        <v>46</v>
      </c>
      <c r="L899" s="7">
        <v>24</v>
      </c>
      <c r="M899">
        <f>ROUND(TTrainingSource[[#This Row],[Satisfaction_Score2]],0)</f>
        <v>4</v>
      </c>
      <c r="N899">
        <v>4.3</v>
      </c>
    </row>
    <row r="900" spans="1:14" x14ac:dyDescent="0.3">
      <c r="A900" t="s">
        <v>507</v>
      </c>
      <c r="B900" t="str">
        <f>TRIM(TTrainingSource[[#This Row],[EMPloyee_ID2]])</f>
        <v>EMP10437</v>
      </c>
      <c r="C900" t="str">
        <f>IFERROR(VLOOKUP(TTrainingSource[[#This Row],[Employee_ID]],THrList[],3,FALSE),"")</f>
        <v>DIOP</v>
      </c>
      <c r="D900" t="str">
        <f>IFERROR(VLOOKUP(TTrainingSource[[#This Row],[Employee_ID]],THrList[],4,FALSE),"")</f>
        <v>Marie</v>
      </c>
      <c r="E900" t="str">
        <f>IFERROR(VLOOKUP(TTrainingSource[[#This Row],[Employee_ID]],THrList[],10,FALSE),"")</f>
        <v>Compliance</v>
      </c>
      <c r="F900" t="str">
        <f>TRIM(PROPER(TTrainingSource[[#This Row],[Training_Status2]]))</f>
        <v>Planned</v>
      </c>
      <c r="G900" t="s">
        <v>19</v>
      </c>
      <c r="H900" t="str">
        <f>TRIM(PROPER(TTrainingSource[[#This Row],[Training_Title2]]))</f>
        <v>Data Analysis Fundamentals</v>
      </c>
      <c r="I900" t="s">
        <v>9</v>
      </c>
      <c r="J900" s="1">
        <v>45239</v>
      </c>
      <c r="K900" t="s">
        <v>39</v>
      </c>
      <c r="L900" s="7">
        <v>20</v>
      </c>
      <c r="M900">
        <f>ROUND(TTrainingSource[[#This Row],[Satisfaction_Score2]],0)</f>
        <v>5</v>
      </c>
      <c r="N900">
        <v>4.5</v>
      </c>
    </row>
    <row r="901" spans="1:14" x14ac:dyDescent="0.3">
      <c r="A901" t="s">
        <v>367</v>
      </c>
      <c r="B901" t="str">
        <f>TRIM(TTrainingSource[[#This Row],[EMPloyee_ID2]])</f>
        <v>EMP10439</v>
      </c>
      <c r="C901" t="str">
        <f>IFERROR(VLOOKUP(TTrainingSource[[#This Row],[Employee_ID]],THrList[],3,FALSE),"")</f>
        <v>BALDE</v>
      </c>
      <c r="D901" t="str">
        <f>IFERROR(VLOOKUP(TTrainingSource[[#This Row],[Employee_ID]],THrList[],4,FALSE),"")</f>
        <v>Mia</v>
      </c>
      <c r="E901" t="str">
        <f>IFERROR(VLOOKUP(TTrainingSource[[#This Row],[Employee_ID]],THrList[],10,FALSE),"")</f>
        <v>Marketing</v>
      </c>
      <c r="F901" t="str">
        <f>TRIM(PROPER(TTrainingSource[[#This Row],[Training_Status2]]))</f>
        <v>Completed</v>
      </c>
      <c r="G901" t="s">
        <v>17</v>
      </c>
      <c r="H901" t="str">
        <f>TRIM(PROPER(TTrainingSource[[#This Row],[Training_Title2]]))</f>
        <v>Data Analysis Fundamentals</v>
      </c>
      <c r="I901" t="s">
        <v>9</v>
      </c>
      <c r="J901" s="1">
        <v>45847</v>
      </c>
      <c r="K901" t="s">
        <v>15</v>
      </c>
      <c r="L901" s="7">
        <v>32</v>
      </c>
      <c r="M901">
        <f>ROUND(TTrainingSource[[#This Row],[Satisfaction_Score2]],0)</f>
        <v>3</v>
      </c>
      <c r="N901">
        <v>3</v>
      </c>
    </row>
    <row r="902" spans="1:14" x14ac:dyDescent="0.3">
      <c r="A902" t="s">
        <v>221</v>
      </c>
      <c r="B902" t="str">
        <f>TRIM(TTrainingSource[[#This Row],[EMPloyee_ID2]])</f>
        <v>EMP10440</v>
      </c>
      <c r="C902" t="str">
        <f>IFERROR(VLOOKUP(TTrainingSource[[#This Row],[Employee_ID]],THrList[],3,FALSE),"")</f>
        <v>KHAN</v>
      </c>
      <c r="D902" t="str">
        <f>IFERROR(VLOOKUP(TTrainingSource[[#This Row],[Employee_ID]],THrList[],4,FALSE),"")</f>
        <v>Yusuf</v>
      </c>
      <c r="E902" t="str">
        <f>IFERROR(VLOOKUP(TTrainingSource[[#This Row],[Employee_ID]],THrList[],10,FALSE),"")</f>
        <v>Customer Support</v>
      </c>
      <c r="F902" t="str">
        <f>TRIM(PROPER(TTrainingSource[[#This Row],[Training_Status2]]))</f>
        <v>Planned</v>
      </c>
      <c r="G902" t="s">
        <v>10</v>
      </c>
      <c r="H902" t="str">
        <f>TRIM(PROPER(TTrainingSource[[#This Row],[Training_Title2]]))</f>
        <v>Sql For Data Analytics</v>
      </c>
      <c r="I902" t="s">
        <v>26</v>
      </c>
      <c r="J902" s="1">
        <v>45744</v>
      </c>
      <c r="K902" t="s">
        <v>32</v>
      </c>
      <c r="L902" s="7">
        <v>16</v>
      </c>
      <c r="M902">
        <f>ROUND(TTrainingSource[[#This Row],[Satisfaction_Score2]],0)</f>
        <v>3</v>
      </c>
      <c r="N902">
        <v>3.4</v>
      </c>
    </row>
    <row r="903" spans="1:14" x14ac:dyDescent="0.3">
      <c r="A903" t="s">
        <v>221</v>
      </c>
      <c r="B903" t="str">
        <f>TRIM(TTrainingSource[[#This Row],[EMPloyee_ID2]])</f>
        <v>EMP10440</v>
      </c>
      <c r="C903" t="str">
        <f>IFERROR(VLOOKUP(TTrainingSource[[#This Row],[Employee_ID]],THrList[],3,FALSE),"")</f>
        <v>KHAN</v>
      </c>
      <c r="D903" t="str">
        <f>IFERROR(VLOOKUP(TTrainingSource[[#This Row],[Employee_ID]],THrList[],4,FALSE),"")</f>
        <v>Yusuf</v>
      </c>
      <c r="E903" t="str">
        <f>IFERROR(VLOOKUP(TTrainingSource[[#This Row],[Employee_ID]],THrList[],10,FALSE),"")</f>
        <v>Customer Support</v>
      </c>
      <c r="F903" t="str">
        <f>TRIM(PROPER(TTrainingSource[[#This Row],[Training_Status2]]))</f>
        <v>Completed</v>
      </c>
      <c r="G903" t="s">
        <v>17</v>
      </c>
      <c r="H903" t="str">
        <f>TRIM(PROPER(TTrainingSource[[#This Row],[Training_Title2]]))</f>
        <v>Data Analysis Fundamentals</v>
      </c>
      <c r="I903" t="s">
        <v>9</v>
      </c>
      <c r="J903" s="1">
        <v>44850</v>
      </c>
      <c r="K903" t="s">
        <v>29</v>
      </c>
      <c r="L903" s="7">
        <v>12</v>
      </c>
      <c r="M903">
        <f>ROUND(TTrainingSource[[#This Row],[Satisfaction_Score2]],0)</f>
        <v>5</v>
      </c>
      <c r="N903">
        <v>5</v>
      </c>
    </row>
    <row r="904" spans="1:14" x14ac:dyDescent="0.3">
      <c r="A904" t="s">
        <v>278</v>
      </c>
      <c r="B904" t="str">
        <f>TRIM(TTrainingSource[[#This Row],[EMPloyee_ID2]])</f>
        <v>EMP10441</v>
      </c>
      <c r="C904" t="str">
        <f>IFERROR(VLOOKUP(TTrainingSource[[#This Row],[Employee_ID]],THrList[],3,FALSE),"")</f>
        <v>LOPEZ</v>
      </c>
      <c r="D904" t="str">
        <f>IFERROR(VLOOKUP(TTrainingSource[[#This Row],[Employee_ID]],THrList[],4,FALSE),"")</f>
        <v>Lucas</v>
      </c>
      <c r="E904" t="str">
        <f>IFERROR(VLOOKUP(TTrainingSource[[#This Row],[Employee_ID]],THrList[],10,FALSE),"")</f>
        <v>Sales</v>
      </c>
      <c r="F904" t="str">
        <f>TRIM(PROPER(TTrainingSource[[#This Row],[Training_Status2]]))</f>
        <v>Completed</v>
      </c>
      <c r="G904" t="s">
        <v>17</v>
      </c>
      <c r="H904" t="str">
        <f>TRIM(PROPER(TTrainingSource[[#This Row],[Training_Title2]]))</f>
        <v>Customer Data Analysis</v>
      </c>
      <c r="I904" t="s">
        <v>31</v>
      </c>
      <c r="J904" s="1">
        <v>45476</v>
      </c>
      <c r="K904" t="s">
        <v>44</v>
      </c>
      <c r="L904" s="7">
        <v>6</v>
      </c>
      <c r="M904">
        <f>ROUND(TTrainingSource[[#This Row],[Satisfaction_Score2]],0)</f>
        <v>5</v>
      </c>
      <c r="N904">
        <v>4.5999999999999996</v>
      </c>
    </row>
    <row r="905" spans="1:14" x14ac:dyDescent="0.3">
      <c r="A905" t="s">
        <v>278</v>
      </c>
      <c r="B905" t="str">
        <f>TRIM(TTrainingSource[[#This Row],[EMPloyee_ID2]])</f>
        <v>EMP10441</v>
      </c>
      <c r="C905" t="str">
        <f>IFERROR(VLOOKUP(TTrainingSource[[#This Row],[Employee_ID]],THrList[],3,FALSE),"")</f>
        <v>LOPEZ</v>
      </c>
      <c r="D905" t="str">
        <f>IFERROR(VLOOKUP(TTrainingSource[[#This Row],[Employee_ID]],THrList[],4,FALSE),"")</f>
        <v>Lucas</v>
      </c>
      <c r="E905" t="str">
        <f>IFERROR(VLOOKUP(TTrainingSource[[#This Row],[Employee_ID]],THrList[],10,FALSE),"")</f>
        <v>Sales</v>
      </c>
      <c r="F905" t="str">
        <f>TRIM(PROPER(TTrainingSource[[#This Row],[Training_Status2]]))</f>
        <v>Completed</v>
      </c>
      <c r="G905" t="s">
        <v>17</v>
      </c>
      <c r="H905" t="str">
        <f>TRIM(PROPER(TTrainingSource[[#This Row],[Training_Title2]]))</f>
        <v>Digital Marketing Strategy</v>
      </c>
      <c r="I905" t="s">
        <v>43</v>
      </c>
      <c r="J905" s="1">
        <v>45595</v>
      </c>
      <c r="K905" t="s">
        <v>29</v>
      </c>
      <c r="L905" s="7">
        <v>40</v>
      </c>
      <c r="M905">
        <f>ROUND(TTrainingSource[[#This Row],[Satisfaction_Score2]],0)</f>
        <v>4</v>
      </c>
      <c r="N905">
        <v>4.2</v>
      </c>
    </row>
    <row r="906" spans="1:14" x14ac:dyDescent="0.3">
      <c r="A906" t="s">
        <v>709</v>
      </c>
      <c r="B906" t="str">
        <f>TRIM(TTrainingSource[[#This Row],[EMPloyee_ID2]])</f>
        <v>EMP10442</v>
      </c>
      <c r="C906" t="str">
        <f>IFERROR(VLOOKUP(TTrainingSource[[#This Row],[Employee_ID]],THrList[],3,FALSE),"")</f>
        <v>KHAN</v>
      </c>
      <c r="D906" t="str">
        <f>IFERROR(VLOOKUP(TTrainingSource[[#This Row],[Employee_ID]],THrList[],4,FALSE),"")</f>
        <v>Kwame</v>
      </c>
      <c r="E906" t="str">
        <f>IFERROR(VLOOKUP(TTrainingSource[[#This Row],[Employee_ID]],THrList[],10,FALSE),"")</f>
        <v>Customer Support</v>
      </c>
      <c r="F906" t="str">
        <f>TRIM(PROPER(TTrainingSource[[#This Row],[Training_Status2]]))</f>
        <v>Planned</v>
      </c>
      <c r="G906" t="s">
        <v>128</v>
      </c>
      <c r="H906" t="str">
        <f>TRIM(PROPER(TTrainingSource[[#This Row],[Training_Title2]]))</f>
        <v>Introduction To Python For Data</v>
      </c>
      <c r="I906" t="s">
        <v>62</v>
      </c>
      <c r="J906" s="1">
        <v>45543</v>
      </c>
      <c r="K906" t="s">
        <v>46</v>
      </c>
      <c r="L906" s="7">
        <v>20</v>
      </c>
      <c r="M906">
        <f>ROUND(TTrainingSource[[#This Row],[Satisfaction_Score2]],0)</f>
        <v>3</v>
      </c>
      <c r="N906">
        <v>2.6</v>
      </c>
    </row>
    <row r="907" spans="1:14" x14ac:dyDescent="0.3">
      <c r="A907" t="s">
        <v>757</v>
      </c>
      <c r="B907" t="str">
        <f>TRIM(TTrainingSource[[#This Row],[EMPloyee_ID2]])</f>
        <v>EMP10442</v>
      </c>
      <c r="C907" t="str">
        <f>IFERROR(VLOOKUP(TTrainingSource[[#This Row],[Employee_ID]],THrList[],3,FALSE),"")</f>
        <v>KHAN</v>
      </c>
      <c r="D907" t="str">
        <f>IFERROR(VLOOKUP(TTrainingSource[[#This Row],[Employee_ID]],THrList[],4,FALSE),"")</f>
        <v>Kwame</v>
      </c>
      <c r="E907" t="str">
        <f>IFERROR(VLOOKUP(TTrainingSource[[#This Row],[Employee_ID]],THrList[],10,FALSE),"")</f>
        <v>Customer Support</v>
      </c>
      <c r="F907" t="str">
        <f>TRIM(PROPER(TTrainingSource[[#This Row],[Training_Status2]]))</f>
        <v>Planned</v>
      </c>
      <c r="G907" t="s">
        <v>19</v>
      </c>
      <c r="H907" t="str">
        <f>TRIM(PROPER(TTrainingSource[[#This Row],[Training_Title2]]))</f>
        <v>Power Bi Reporting</v>
      </c>
      <c r="I907" t="s">
        <v>24</v>
      </c>
      <c r="J907" s="1">
        <v>44655</v>
      </c>
      <c r="K907" t="s">
        <v>32</v>
      </c>
      <c r="L907" s="7">
        <v>12</v>
      </c>
      <c r="M907">
        <f>ROUND(TTrainingSource[[#This Row],[Satisfaction_Score2]],0)</f>
        <v>5</v>
      </c>
      <c r="N907">
        <v>5</v>
      </c>
    </row>
    <row r="908" spans="1:14" x14ac:dyDescent="0.3">
      <c r="A908" t="s">
        <v>450</v>
      </c>
      <c r="B908" t="str">
        <f>TRIM(TTrainingSource[[#This Row],[EMPloyee_ID2]])</f>
        <v>EMP10443</v>
      </c>
      <c r="C908" t="str">
        <f>IFERROR(VLOOKUP(TTrainingSource[[#This Row],[Employee_ID]],THrList[],3,FALSE),"")</f>
        <v>BROWN</v>
      </c>
      <c r="D908" t="str">
        <f>IFERROR(VLOOKUP(TTrainingSource[[#This Row],[Employee_ID]],THrList[],4,FALSE),"")</f>
        <v>Claire</v>
      </c>
      <c r="E908" t="str">
        <f>IFERROR(VLOOKUP(TTrainingSource[[#This Row],[Employee_ID]],THrList[],10,FALSE),"")</f>
        <v>Sales</v>
      </c>
      <c r="F908" t="str">
        <f>TRIM(PROPER(TTrainingSource[[#This Row],[Training_Status2]]))</f>
        <v>Completed</v>
      </c>
      <c r="G908" t="s">
        <v>17</v>
      </c>
      <c r="H908" t="str">
        <f>TRIM(PROPER(TTrainingSource[[#This Row],[Training_Title2]]))</f>
        <v>Advanced Excel For Business</v>
      </c>
      <c r="I908" t="s">
        <v>124</v>
      </c>
      <c r="J908" s="1">
        <v>45670</v>
      </c>
      <c r="K908" t="s">
        <v>98</v>
      </c>
      <c r="L908" s="7">
        <v>6</v>
      </c>
      <c r="M908">
        <f>ROUND(TTrainingSource[[#This Row],[Satisfaction_Score2]],0)</f>
        <v>5</v>
      </c>
      <c r="N908">
        <v>4.8</v>
      </c>
    </row>
    <row r="909" spans="1:14" x14ac:dyDescent="0.3">
      <c r="A909" t="s">
        <v>167</v>
      </c>
      <c r="B909" t="str">
        <f>TRIM(TTrainingSource[[#This Row],[EMPloyee_ID2]])</f>
        <v>EMP10444</v>
      </c>
      <c r="C909" t="str">
        <f>IFERROR(VLOOKUP(TTrainingSource[[#This Row],[Employee_ID]],THrList[],3,FALSE),"")</f>
        <v>HERNANDEZ</v>
      </c>
      <c r="D909" t="str">
        <f>IFERROR(VLOOKUP(TTrainingSource[[#This Row],[Employee_ID]],THrList[],4,FALSE),"")</f>
        <v>Liam</v>
      </c>
      <c r="E909" t="str">
        <f>IFERROR(VLOOKUP(TTrainingSource[[#This Row],[Employee_ID]],THrList[],10,FALSE),"")</f>
        <v>Finance</v>
      </c>
      <c r="F909" t="str">
        <f>TRIM(PROPER(TTrainingSource[[#This Row],[Training_Status2]]))</f>
        <v>In Progress</v>
      </c>
      <c r="G909" t="s">
        <v>8</v>
      </c>
      <c r="H909" t="str">
        <f>TRIM(PROPER(TTrainingSource[[#This Row],[Training_Title2]]))</f>
        <v>Communication For Analysts</v>
      </c>
      <c r="I909" t="s">
        <v>28</v>
      </c>
      <c r="J909" s="1">
        <v>44953</v>
      </c>
      <c r="K909" t="s">
        <v>39</v>
      </c>
      <c r="L909" s="7">
        <v>20</v>
      </c>
      <c r="M909">
        <f>ROUND(TTrainingSource[[#This Row],[Satisfaction_Score2]],0)</f>
        <v>3</v>
      </c>
      <c r="N909">
        <v>3.1</v>
      </c>
    </row>
    <row r="910" spans="1:14" x14ac:dyDescent="0.3">
      <c r="A910" t="s">
        <v>716</v>
      </c>
      <c r="B910" t="str">
        <f>TRIM(TTrainingSource[[#This Row],[EMPloyee_ID2]])</f>
        <v>EMP10444</v>
      </c>
      <c r="C910" t="str">
        <f>IFERROR(VLOOKUP(TTrainingSource[[#This Row],[Employee_ID]],THrList[],3,FALSE),"")</f>
        <v>HERNANDEZ</v>
      </c>
      <c r="D910" t="str">
        <f>IFERROR(VLOOKUP(TTrainingSource[[#This Row],[Employee_ID]],THrList[],4,FALSE),"")</f>
        <v>Liam</v>
      </c>
      <c r="E910" t="str">
        <f>IFERROR(VLOOKUP(TTrainingSource[[#This Row],[Employee_ID]],THrList[],10,FALSE),"")</f>
        <v>Finance</v>
      </c>
      <c r="F910" t="str">
        <f>TRIM(PROPER(TTrainingSource[[#This Row],[Training_Status2]]))</f>
        <v>In Progress</v>
      </c>
      <c r="G910" t="s">
        <v>8</v>
      </c>
      <c r="H910" t="str">
        <f>TRIM(PROPER(TTrainingSource[[#This Row],[Training_Title2]]))</f>
        <v>Digital Marketing Strategy</v>
      </c>
      <c r="I910" t="s">
        <v>43</v>
      </c>
      <c r="J910" s="1">
        <v>45054</v>
      </c>
      <c r="K910" t="s">
        <v>44</v>
      </c>
      <c r="L910" s="7">
        <v>6</v>
      </c>
      <c r="M910">
        <f>ROUND(TTrainingSource[[#This Row],[Satisfaction_Score2]],0)</f>
        <v>3</v>
      </c>
      <c r="N910">
        <v>2.6</v>
      </c>
    </row>
    <row r="911" spans="1:14" x14ac:dyDescent="0.3">
      <c r="A911" t="s">
        <v>1007</v>
      </c>
      <c r="B911" t="str">
        <f>TRIM(TTrainingSource[[#This Row],[EMPloyee_ID2]])</f>
        <v>EMP10445</v>
      </c>
      <c r="C911" t="str">
        <f>IFERROR(VLOOKUP(TTrainingSource[[#This Row],[Employee_ID]],THrList[],3,FALSE),"")</f>
        <v>JONES</v>
      </c>
      <c r="D911" t="str">
        <f>IFERROR(VLOOKUP(TTrainingSource[[#This Row],[Employee_ID]],THrList[],4,FALSE),"")</f>
        <v>Marie</v>
      </c>
      <c r="E911" t="str">
        <f>IFERROR(VLOOKUP(TTrainingSource[[#This Row],[Employee_ID]],THrList[],10,FALSE),"")</f>
        <v>Marketing</v>
      </c>
      <c r="F911" t="str">
        <f>TRIM(PROPER(TTrainingSource[[#This Row],[Training_Status2]]))</f>
        <v>Completed</v>
      </c>
      <c r="G911" t="s">
        <v>17</v>
      </c>
      <c r="H911" t="str">
        <f>TRIM(PROPER(TTrainingSource[[#This Row],[Training_Title2]]))</f>
        <v>Digital Marketing Strategy</v>
      </c>
      <c r="I911" t="s">
        <v>43</v>
      </c>
      <c r="J911" s="1">
        <v>45397</v>
      </c>
      <c r="K911" t="s">
        <v>71</v>
      </c>
      <c r="L911" s="7">
        <v>16</v>
      </c>
      <c r="M911">
        <f>ROUND(TTrainingSource[[#This Row],[Satisfaction_Score2]],0)</f>
        <v>4</v>
      </c>
      <c r="N911">
        <v>3.7</v>
      </c>
    </row>
    <row r="912" spans="1:14" x14ac:dyDescent="0.3">
      <c r="A912" t="s">
        <v>23</v>
      </c>
      <c r="B912" t="str">
        <f>TRIM(TTrainingSource[[#This Row],[EMPloyee_ID2]])</f>
        <v>EMP10446</v>
      </c>
      <c r="C912" t="str">
        <f>IFERROR(VLOOKUP(TTrainingSource[[#This Row],[Employee_ID]],THrList[],3,FALSE),"")</f>
        <v>RODRIGUEZ</v>
      </c>
      <c r="D912" t="str">
        <f>IFERROR(VLOOKUP(TTrainingSource[[#This Row],[Employee_ID]],THrList[],4,FALSE),"")</f>
        <v>Hassan</v>
      </c>
      <c r="E912" t="str">
        <f>IFERROR(VLOOKUP(TTrainingSource[[#This Row],[Employee_ID]],THrList[],10,FALSE),"")</f>
        <v>Finance</v>
      </c>
      <c r="F912" t="str">
        <f>TRIM(PROPER(TTrainingSource[[#This Row],[Training_Status2]]))</f>
        <v>In Progress</v>
      </c>
      <c r="G912" t="s">
        <v>8</v>
      </c>
      <c r="H912" t="str">
        <f>TRIM(PROPER(TTrainingSource[[#This Row],[Training_Title2]]))</f>
        <v>Power Bi Reporting</v>
      </c>
      <c r="I912" t="s">
        <v>24</v>
      </c>
      <c r="J912" s="1">
        <v>45185</v>
      </c>
      <c r="K912" t="s">
        <v>98</v>
      </c>
      <c r="L912" s="7">
        <v>32</v>
      </c>
      <c r="M912">
        <f>ROUND(TTrainingSource[[#This Row],[Satisfaction_Score2]],0)</f>
        <v>5</v>
      </c>
      <c r="N912">
        <v>4.9000000000000004</v>
      </c>
    </row>
    <row r="913" spans="1:14" x14ac:dyDescent="0.3">
      <c r="A913" t="s">
        <v>23</v>
      </c>
      <c r="B913" t="str">
        <f>TRIM(TTrainingSource[[#This Row],[EMPloyee_ID2]])</f>
        <v>EMP10446</v>
      </c>
      <c r="C913" t="str">
        <f>IFERROR(VLOOKUP(TTrainingSource[[#This Row],[Employee_ID]],THrList[],3,FALSE),"")</f>
        <v>RODRIGUEZ</v>
      </c>
      <c r="D913" t="str">
        <f>IFERROR(VLOOKUP(TTrainingSource[[#This Row],[Employee_ID]],THrList[],4,FALSE),"")</f>
        <v>Hassan</v>
      </c>
      <c r="E913" t="str">
        <f>IFERROR(VLOOKUP(TTrainingSource[[#This Row],[Employee_ID]],THrList[],10,FALSE),"")</f>
        <v>Finance</v>
      </c>
      <c r="F913" t="str">
        <f>TRIM(PROPER(TTrainingSource[[#This Row],[Training_Status2]]))</f>
        <v>Planned</v>
      </c>
      <c r="G913" t="s">
        <v>19</v>
      </c>
      <c r="H913" t="str">
        <f>TRIM(PROPER(TTrainingSource[[#This Row],[Training_Title2]]))</f>
        <v>Communication For Analysts</v>
      </c>
      <c r="I913" t="s">
        <v>28</v>
      </c>
      <c r="J913" s="1">
        <v>45644</v>
      </c>
      <c r="K913" t="s">
        <v>15</v>
      </c>
      <c r="L913" s="7">
        <v>12</v>
      </c>
      <c r="M913">
        <f>ROUND(TTrainingSource[[#This Row],[Satisfaction_Score2]],0)</f>
        <v>3</v>
      </c>
      <c r="N913">
        <v>2.7</v>
      </c>
    </row>
    <row r="914" spans="1:14" x14ac:dyDescent="0.3">
      <c r="A914" t="s">
        <v>23</v>
      </c>
      <c r="B914" t="str">
        <f>TRIM(TTrainingSource[[#This Row],[EMPloyee_ID2]])</f>
        <v>EMP10446</v>
      </c>
      <c r="C914" t="str">
        <f>IFERROR(VLOOKUP(TTrainingSource[[#This Row],[Employee_ID]],THrList[],3,FALSE),"")</f>
        <v>RODRIGUEZ</v>
      </c>
      <c r="D914" t="str">
        <f>IFERROR(VLOOKUP(TTrainingSource[[#This Row],[Employee_ID]],THrList[],4,FALSE),"")</f>
        <v>Hassan</v>
      </c>
      <c r="E914" t="str">
        <f>IFERROR(VLOOKUP(TTrainingSource[[#This Row],[Employee_ID]],THrList[],10,FALSE),"")</f>
        <v>Finance</v>
      </c>
      <c r="F914" t="str">
        <f>TRIM(PROPER(TTrainingSource[[#This Row],[Training_Status2]]))</f>
        <v>Planned</v>
      </c>
      <c r="G914" t="s">
        <v>19</v>
      </c>
      <c r="H914" t="str">
        <f>TRIM(PROPER(TTrainingSource[[#This Row],[Training_Title2]]))</f>
        <v>Financial Modeling Basics</v>
      </c>
      <c r="I914" t="s">
        <v>38</v>
      </c>
      <c r="J914" s="1">
        <v>45646</v>
      </c>
      <c r="K914" t="s">
        <v>42</v>
      </c>
      <c r="L914" s="7">
        <v>24</v>
      </c>
      <c r="M914">
        <f>ROUND(TTrainingSource[[#This Row],[Satisfaction_Score2]],0)</f>
        <v>3</v>
      </c>
      <c r="N914">
        <v>3.1</v>
      </c>
    </row>
    <row r="915" spans="1:14" x14ac:dyDescent="0.3">
      <c r="A915" t="s">
        <v>23</v>
      </c>
      <c r="B915" t="str">
        <f>TRIM(TTrainingSource[[#This Row],[EMPloyee_ID2]])</f>
        <v>EMP10446</v>
      </c>
      <c r="C915" t="str">
        <f>IFERROR(VLOOKUP(TTrainingSource[[#This Row],[Employee_ID]],THrList[],3,FALSE),"")</f>
        <v>RODRIGUEZ</v>
      </c>
      <c r="D915" t="str">
        <f>IFERROR(VLOOKUP(TTrainingSource[[#This Row],[Employee_ID]],THrList[],4,FALSE),"")</f>
        <v>Hassan</v>
      </c>
      <c r="E915" t="str">
        <f>IFERROR(VLOOKUP(TTrainingSource[[#This Row],[Employee_ID]],THrList[],10,FALSE),"")</f>
        <v>Finance</v>
      </c>
      <c r="F915" t="str">
        <f>TRIM(PROPER(TTrainingSource[[#This Row],[Training_Status2]]))</f>
        <v>In Progress</v>
      </c>
      <c r="G915" t="s">
        <v>8</v>
      </c>
      <c r="H915" t="str">
        <f>TRIM(PROPER(TTrainingSource[[#This Row],[Training_Title2]]))</f>
        <v>Digital Marketing Strategy</v>
      </c>
      <c r="I915" t="s">
        <v>299</v>
      </c>
      <c r="J915" s="1">
        <v>45185</v>
      </c>
      <c r="K915" t="s">
        <v>44</v>
      </c>
      <c r="L915" s="7">
        <v>32</v>
      </c>
      <c r="M915">
        <f>ROUND(TTrainingSource[[#This Row],[Satisfaction_Score2]],0)</f>
        <v>3</v>
      </c>
      <c r="N915">
        <v>3.3</v>
      </c>
    </row>
    <row r="916" spans="1:14" x14ac:dyDescent="0.3">
      <c r="A916" t="s">
        <v>326</v>
      </c>
      <c r="B916" t="str">
        <f>TRIM(TTrainingSource[[#This Row],[EMPloyee_ID2]])</f>
        <v>EMP10447</v>
      </c>
      <c r="C916" t="str">
        <f>IFERROR(VLOOKUP(TTrainingSource[[#This Row],[Employee_ID]],THrList[],3,FALSE),"")</f>
        <v>DUBOIS</v>
      </c>
      <c r="D916" t="str">
        <f>IFERROR(VLOOKUP(TTrainingSource[[#This Row],[Employee_ID]],THrList[],4,FALSE),"")</f>
        <v>Ngozi</v>
      </c>
      <c r="E916" t="str">
        <f>IFERROR(VLOOKUP(TTrainingSource[[#This Row],[Employee_ID]],THrList[],10,FALSE),"")</f>
        <v>Human Resources</v>
      </c>
      <c r="F916" t="str">
        <f>TRIM(PROPER(TTrainingSource[[#This Row],[Training_Status2]]))</f>
        <v>In Progress</v>
      </c>
      <c r="G916" t="s">
        <v>8</v>
      </c>
      <c r="H916" t="str">
        <f>TRIM(PROPER(TTrainingSource[[#This Row],[Training_Title2]]))</f>
        <v>Sql For Data Analytics</v>
      </c>
      <c r="I916" t="s">
        <v>26</v>
      </c>
      <c r="J916" s="1">
        <v>45006</v>
      </c>
      <c r="K916" t="s">
        <v>42</v>
      </c>
      <c r="L916" s="7">
        <v>16</v>
      </c>
      <c r="M916">
        <f>ROUND(TTrainingSource[[#This Row],[Satisfaction_Score2]],0)</f>
        <v>5</v>
      </c>
      <c r="N916">
        <v>4.8</v>
      </c>
    </row>
    <row r="917" spans="1:14" x14ac:dyDescent="0.3">
      <c r="A917" t="s">
        <v>494</v>
      </c>
      <c r="B917" t="str">
        <f>TRIM(TTrainingSource[[#This Row],[EMPloyee_ID2]])</f>
        <v>EMP10447</v>
      </c>
      <c r="C917" t="str">
        <f>IFERROR(VLOOKUP(TTrainingSource[[#This Row],[Employee_ID]],THrList[],3,FALSE),"")</f>
        <v>DUBOIS</v>
      </c>
      <c r="D917" t="str">
        <f>IFERROR(VLOOKUP(TTrainingSource[[#This Row],[Employee_ID]],THrList[],4,FALSE),"")</f>
        <v>Ngozi</v>
      </c>
      <c r="E917" t="str">
        <f>IFERROR(VLOOKUP(TTrainingSource[[#This Row],[Employee_ID]],THrList[],10,FALSE),"")</f>
        <v>Human Resources</v>
      </c>
      <c r="F917" t="str">
        <f>TRIM(PROPER(TTrainingSource[[#This Row],[Training_Status2]]))</f>
        <v>Planned</v>
      </c>
      <c r="G917" t="s">
        <v>19</v>
      </c>
      <c r="H917" t="str">
        <f>TRIM(PROPER(TTrainingSource[[#This Row],[Training_Title2]]))</f>
        <v>Introduction To Python For Data</v>
      </c>
      <c r="I917" t="s">
        <v>62</v>
      </c>
      <c r="J917" s="1">
        <v>44953</v>
      </c>
      <c r="K917" t="s">
        <v>32</v>
      </c>
      <c r="L917" s="7">
        <v>16</v>
      </c>
      <c r="M917">
        <f>ROUND(TTrainingSource[[#This Row],[Satisfaction_Score2]],0)</f>
        <v>4</v>
      </c>
      <c r="N917">
        <v>4.3</v>
      </c>
    </row>
    <row r="918" spans="1:14" x14ac:dyDescent="0.3">
      <c r="A918" t="s">
        <v>717</v>
      </c>
      <c r="B918" t="str">
        <f>TRIM(TTrainingSource[[#This Row],[EMPloyee_ID2]])</f>
        <v>EMP10448</v>
      </c>
      <c r="C918" t="str">
        <f>IFERROR(VLOOKUP(TTrainingSource[[#This Row],[Employee_ID]],THrList[],3,FALSE),"")</f>
        <v>HERNANDEZ</v>
      </c>
      <c r="D918" t="str">
        <f>IFERROR(VLOOKUP(TTrainingSource[[#This Row],[Employee_ID]],THrList[],4,FALSE),"")</f>
        <v>Charlotte</v>
      </c>
      <c r="E918" t="str">
        <f>IFERROR(VLOOKUP(TTrainingSource[[#This Row],[Employee_ID]],THrList[],10,FALSE),"")</f>
        <v>Compliance</v>
      </c>
      <c r="F918" t="str">
        <f>TRIM(PROPER(TTrainingSource[[#This Row],[Training_Status2]]))</f>
        <v>Completed</v>
      </c>
      <c r="G918" t="s">
        <v>17</v>
      </c>
      <c r="H918" t="str">
        <f>TRIM(PROPER(TTrainingSource[[#This Row],[Training_Title2]]))</f>
        <v>Data Visualization Best Practices</v>
      </c>
      <c r="I918" t="s">
        <v>20</v>
      </c>
      <c r="J918" s="1">
        <v>44961</v>
      </c>
      <c r="K918" t="s">
        <v>46</v>
      </c>
      <c r="L918" s="7">
        <v>24</v>
      </c>
      <c r="M918">
        <f>ROUND(TTrainingSource[[#This Row],[Satisfaction_Score2]],0)</f>
        <v>3</v>
      </c>
      <c r="N918">
        <v>2.6</v>
      </c>
    </row>
    <row r="919" spans="1:14" x14ac:dyDescent="0.3">
      <c r="A919" t="s">
        <v>1008</v>
      </c>
      <c r="B919" t="str">
        <f>TRIM(TTrainingSource[[#This Row],[EMPloyee_ID2]])</f>
        <v>EMP10449</v>
      </c>
      <c r="C919" t="str">
        <f>IFERROR(VLOOKUP(TTrainingSource[[#This Row],[Employee_ID]],THrList[],3,FALSE),"")</f>
        <v>LOPEZ</v>
      </c>
      <c r="D919" t="str">
        <f>IFERROR(VLOOKUP(TTrainingSource[[#This Row],[Employee_ID]],THrList[],4,FALSE),"")</f>
        <v>Amina</v>
      </c>
      <c r="E919" t="str">
        <f>IFERROR(VLOOKUP(TTrainingSource[[#This Row],[Employee_ID]],THrList[],10,FALSE),"")</f>
        <v>Compliance</v>
      </c>
      <c r="F919" t="str">
        <f>TRIM(PROPER(TTrainingSource[[#This Row],[Training_Status2]]))</f>
        <v>Completed</v>
      </c>
      <c r="G919" t="s">
        <v>17</v>
      </c>
      <c r="H919" t="str">
        <f>TRIM(PROPER(TTrainingSource[[#This Row],[Training_Title2]]))</f>
        <v>Financial Modeling Basics</v>
      </c>
      <c r="I919" t="s">
        <v>38</v>
      </c>
      <c r="J919" s="1">
        <v>45465</v>
      </c>
      <c r="K919" t="s">
        <v>42</v>
      </c>
      <c r="L919" s="7">
        <v>6</v>
      </c>
      <c r="M919">
        <f>ROUND(TTrainingSource[[#This Row],[Satisfaction_Score2]],0)</f>
        <v>4</v>
      </c>
      <c r="N919">
        <v>4.0999999999999996</v>
      </c>
    </row>
    <row r="920" spans="1:14" x14ac:dyDescent="0.3">
      <c r="A920" t="s">
        <v>1008</v>
      </c>
      <c r="B920" t="str">
        <f>TRIM(TTrainingSource[[#This Row],[EMPloyee_ID2]])</f>
        <v>EMP10449</v>
      </c>
      <c r="C920" t="str">
        <f>IFERROR(VLOOKUP(TTrainingSource[[#This Row],[Employee_ID]],THrList[],3,FALSE),"")</f>
        <v>LOPEZ</v>
      </c>
      <c r="D920" t="str">
        <f>IFERROR(VLOOKUP(TTrainingSource[[#This Row],[Employee_ID]],THrList[],4,FALSE),"")</f>
        <v>Amina</v>
      </c>
      <c r="E920" t="str">
        <f>IFERROR(VLOOKUP(TTrainingSource[[#This Row],[Employee_ID]],THrList[],10,FALSE),"")</f>
        <v>Compliance</v>
      </c>
      <c r="F920" t="str">
        <f>TRIM(PROPER(TTrainingSource[[#This Row],[Training_Status2]]))</f>
        <v>Completed</v>
      </c>
      <c r="G920" t="s">
        <v>17</v>
      </c>
      <c r="H920" t="str">
        <f>TRIM(PROPER(TTrainingSource[[#This Row],[Training_Title2]]))</f>
        <v>Advanced Excel For Business</v>
      </c>
      <c r="I920" t="s">
        <v>282</v>
      </c>
      <c r="J920" s="1">
        <v>44762</v>
      </c>
      <c r="K920" t="s">
        <v>44</v>
      </c>
      <c r="L920" s="7">
        <v>0</v>
      </c>
      <c r="M920">
        <f>ROUND(TTrainingSource[[#This Row],[Satisfaction_Score2]],0)</f>
        <v>3</v>
      </c>
      <c r="N920">
        <v>2.8</v>
      </c>
    </row>
    <row r="921" spans="1:14" x14ac:dyDescent="0.3">
      <c r="A921" t="s">
        <v>402</v>
      </c>
      <c r="B921" t="str">
        <f>TRIM(TTrainingSource[[#This Row],[EMPloyee_ID2]])</f>
        <v>EMP10450</v>
      </c>
      <c r="C921" t="str">
        <f>IFERROR(VLOOKUP(TTrainingSource[[#This Row],[Employee_ID]],THrList[],3,FALSE),"")</f>
        <v>TOURE</v>
      </c>
      <c r="D921" t="str">
        <f>IFERROR(VLOOKUP(TTrainingSource[[#This Row],[Employee_ID]],THrList[],4,FALSE),"")</f>
        <v>Isabella</v>
      </c>
      <c r="E921" t="str">
        <f>IFERROR(VLOOKUP(TTrainingSource[[#This Row],[Employee_ID]],THrList[],10,FALSE),"")</f>
        <v>Compliance</v>
      </c>
      <c r="F921" t="str">
        <f>TRIM(PROPER(TTrainingSource[[#This Row],[Training_Status2]]))</f>
        <v>Completed</v>
      </c>
      <c r="G921" t="s">
        <v>17</v>
      </c>
      <c r="H921" t="str">
        <f>TRIM(PROPER(TTrainingSource[[#This Row],[Training_Title2]]))</f>
        <v>Data Analysis Fundamentals</v>
      </c>
      <c r="I921" t="s">
        <v>9</v>
      </c>
      <c r="J921" s="1">
        <v>44576</v>
      </c>
      <c r="K921" t="s">
        <v>44</v>
      </c>
      <c r="L921" s="7">
        <v>0</v>
      </c>
      <c r="M921">
        <f>ROUND(TTrainingSource[[#This Row],[Satisfaction_Score2]],0)</f>
        <v>4</v>
      </c>
      <c r="N921">
        <v>4</v>
      </c>
    </row>
    <row r="922" spans="1:14" x14ac:dyDescent="0.3">
      <c r="A922" t="s">
        <v>340</v>
      </c>
      <c r="B922" t="str">
        <f>TRIM(TTrainingSource[[#This Row],[EMPloyee_ID2]])</f>
        <v>EMP10451</v>
      </c>
      <c r="C922" t="str">
        <f>IFERROR(VLOOKUP(TTrainingSource[[#This Row],[Employee_ID]],THrList[],3,FALSE),"")</f>
        <v>TAYLOR</v>
      </c>
      <c r="D922" t="str">
        <f>IFERROR(VLOOKUP(TTrainingSource[[#This Row],[Employee_ID]],THrList[],4,FALSE),"")</f>
        <v>Ava</v>
      </c>
      <c r="E922" t="str">
        <f>IFERROR(VLOOKUP(TTrainingSource[[#This Row],[Employee_ID]],THrList[],10,FALSE),"")</f>
        <v>Finance</v>
      </c>
      <c r="F922" t="str">
        <f>TRIM(PROPER(TTrainingSource[[#This Row],[Training_Status2]]))</f>
        <v>Completed</v>
      </c>
      <c r="G922" t="s">
        <v>17</v>
      </c>
      <c r="H922" t="str">
        <f>TRIM(PROPER(TTrainingSource[[#This Row],[Training_Title2]]))</f>
        <v>Advanced Excel For Business</v>
      </c>
      <c r="I922" t="s">
        <v>52</v>
      </c>
      <c r="J922" s="1">
        <v>45356</v>
      </c>
      <c r="K922" t="s">
        <v>132</v>
      </c>
      <c r="L922" s="7">
        <v>40</v>
      </c>
      <c r="M922">
        <f>ROUND(TTrainingSource[[#This Row],[Satisfaction_Score2]],0)</f>
        <v>3</v>
      </c>
      <c r="N922">
        <v>3.3</v>
      </c>
    </row>
    <row r="923" spans="1:14" x14ac:dyDescent="0.3">
      <c r="A923" t="s">
        <v>340</v>
      </c>
      <c r="B923" t="str">
        <f>TRIM(TTrainingSource[[#This Row],[EMPloyee_ID2]])</f>
        <v>EMP10451</v>
      </c>
      <c r="C923" t="str">
        <f>IFERROR(VLOOKUP(TTrainingSource[[#This Row],[Employee_ID]],THrList[],3,FALSE),"")</f>
        <v>TAYLOR</v>
      </c>
      <c r="D923" t="str">
        <f>IFERROR(VLOOKUP(TTrainingSource[[#This Row],[Employee_ID]],THrList[],4,FALSE),"")</f>
        <v>Ava</v>
      </c>
      <c r="E923" t="str">
        <f>IFERROR(VLOOKUP(TTrainingSource[[#This Row],[Employee_ID]],THrList[],10,FALSE),"")</f>
        <v>Finance</v>
      </c>
      <c r="F923" t="str">
        <f>TRIM(PROPER(TTrainingSource[[#This Row],[Training_Status2]]))</f>
        <v>Planned</v>
      </c>
      <c r="G923" t="s">
        <v>19</v>
      </c>
      <c r="H923" t="str">
        <f>TRIM(PROPER(TTrainingSource[[#This Row],[Training_Title2]]))</f>
        <v>Customer Data Analysis</v>
      </c>
      <c r="I923" t="s">
        <v>149</v>
      </c>
      <c r="J923" s="1">
        <v>44712</v>
      </c>
      <c r="K923" t="s">
        <v>46</v>
      </c>
      <c r="L923" s="7">
        <v>24</v>
      </c>
      <c r="M923">
        <f>ROUND(TTrainingSource[[#This Row],[Satisfaction_Score2]],0)</f>
        <v>3</v>
      </c>
      <c r="N923">
        <v>2.7</v>
      </c>
    </row>
    <row r="924" spans="1:14" x14ac:dyDescent="0.3">
      <c r="A924" t="s">
        <v>340</v>
      </c>
      <c r="B924" t="str">
        <f>TRIM(TTrainingSource[[#This Row],[EMPloyee_ID2]])</f>
        <v>EMP10451</v>
      </c>
      <c r="C924" t="str">
        <f>IFERROR(VLOOKUP(TTrainingSource[[#This Row],[Employee_ID]],THrList[],3,FALSE),"")</f>
        <v>TAYLOR</v>
      </c>
      <c r="D924" t="str">
        <f>IFERROR(VLOOKUP(TTrainingSource[[#This Row],[Employee_ID]],THrList[],4,FALSE),"")</f>
        <v>Ava</v>
      </c>
      <c r="E924" t="str">
        <f>IFERROR(VLOOKUP(TTrainingSource[[#This Row],[Employee_ID]],THrList[],10,FALSE),"")</f>
        <v>Finance</v>
      </c>
      <c r="F924" t="str">
        <f>TRIM(PROPER(TTrainingSource[[#This Row],[Training_Status2]]))</f>
        <v>In Progress</v>
      </c>
      <c r="G924" t="s">
        <v>8</v>
      </c>
      <c r="H924" t="str">
        <f>TRIM(PROPER(TTrainingSource[[#This Row],[Training_Title2]]))</f>
        <v>Introduction To Python For Data</v>
      </c>
      <c r="I924" t="s">
        <v>62</v>
      </c>
      <c r="J924" s="1">
        <v>45236</v>
      </c>
      <c r="K924" t="s">
        <v>46</v>
      </c>
      <c r="L924" s="7">
        <v>12</v>
      </c>
      <c r="M924">
        <f>ROUND(TTrainingSource[[#This Row],[Satisfaction_Score2]],0)</f>
        <v>5</v>
      </c>
      <c r="N924">
        <v>4.5999999999999996</v>
      </c>
    </row>
    <row r="925" spans="1:14" x14ac:dyDescent="0.3">
      <c r="A925" t="s">
        <v>340</v>
      </c>
      <c r="B925" t="str">
        <f>TRIM(TTrainingSource[[#This Row],[EMPloyee_ID2]])</f>
        <v>EMP10451</v>
      </c>
      <c r="C925" t="str">
        <f>IFERROR(VLOOKUP(TTrainingSource[[#This Row],[Employee_ID]],THrList[],3,FALSE),"")</f>
        <v>TAYLOR</v>
      </c>
      <c r="D925" t="str">
        <f>IFERROR(VLOOKUP(TTrainingSource[[#This Row],[Employee_ID]],THrList[],4,FALSE),"")</f>
        <v>Ava</v>
      </c>
      <c r="E925" t="str">
        <f>IFERROR(VLOOKUP(TTrainingSource[[#This Row],[Employee_ID]],THrList[],10,FALSE),"")</f>
        <v>Finance</v>
      </c>
      <c r="F925" t="str">
        <f>TRIM(PROPER(TTrainingSource[[#This Row],[Training_Status2]]))</f>
        <v>Completed</v>
      </c>
      <c r="G925" t="s">
        <v>17</v>
      </c>
      <c r="H925" t="str">
        <f>TRIM(PROPER(TTrainingSource[[#This Row],[Training_Title2]]))</f>
        <v>Financial Modeling Basics</v>
      </c>
      <c r="I925" t="s">
        <v>38</v>
      </c>
      <c r="J925" s="1">
        <v>44797</v>
      </c>
      <c r="K925" t="s">
        <v>32</v>
      </c>
      <c r="L925" s="7">
        <v>32</v>
      </c>
      <c r="M925">
        <f>ROUND(TTrainingSource[[#This Row],[Satisfaction_Score2]],0)</f>
        <v>5</v>
      </c>
      <c r="N925">
        <v>4.5999999999999996</v>
      </c>
    </row>
    <row r="926" spans="1:14" x14ac:dyDescent="0.3">
      <c r="A926" t="s">
        <v>37</v>
      </c>
      <c r="B926" t="str">
        <f>TRIM(TTrainingSource[[#This Row],[EMPloyee_ID2]])</f>
        <v>EMP10452</v>
      </c>
      <c r="C926" t="str">
        <f>IFERROR(VLOOKUP(TTrainingSource[[#This Row],[Employee_ID]],THrList[],3,FALSE),"")</f>
        <v>JOHNSON</v>
      </c>
      <c r="D926" t="str">
        <f>IFERROR(VLOOKUP(TTrainingSource[[#This Row],[Employee_ID]],THrList[],4,FALSE),"")</f>
        <v>Hassan</v>
      </c>
      <c r="E926" t="str">
        <f>IFERROR(VLOOKUP(TTrainingSource[[#This Row],[Employee_ID]],THrList[],10,FALSE),"")</f>
        <v>Sales</v>
      </c>
      <c r="F926" t="str">
        <f>TRIM(PROPER(TTrainingSource[[#This Row],[Training_Status2]]))</f>
        <v>In Progress</v>
      </c>
      <c r="G926" t="s">
        <v>8</v>
      </c>
      <c r="H926" t="str">
        <f>TRIM(PROPER(TTrainingSource[[#This Row],[Training_Title2]]))</f>
        <v>Financial Modeling Basics</v>
      </c>
      <c r="I926" t="s">
        <v>38</v>
      </c>
      <c r="J926" s="1">
        <v>44845</v>
      </c>
      <c r="K926" t="s">
        <v>39</v>
      </c>
      <c r="L926" s="7">
        <v>6</v>
      </c>
      <c r="M926">
        <f>ROUND(TTrainingSource[[#This Row],[Satisfaction_Score2]],0)</f>
        <v>3</v>
      </c>
      <c r="N926">
        <v>3</v>
      </c>
    </row>
    <row r="927" spans="1:14" x14ac:dyDescent="0.3">
      <c r="A927" t="s">
        <v>37</v>
      </c>
      <c r="B927" t="str">
        <f>TRIM(TTrainingSource[[#This Row],[EMPloyee_ID2]])</f>
        <v>EMP10452</v>
      </c>
      <c r="C927" t="str">
        <f>IFERROR(VLOOKUP(TTrainingSource[[#This Row],[Employee_ID]],THrList[],3,FALSE),"")</f>
        <v>JOHNSON</v>
      </c>
      <c r="D927" t="str">
        <f>IFERROR(VLOOKUP(TTrainingSource[[#This Row],[Employee_ID]],THrList[],4,FALSE),"")</f>
        <v>Hassan</v>
      </c>
      <c r="E927" t="str">
        <f>IFERROR(VLOOKUP(TTrainingSource[[#This Row],[Employee_ID]],THrList[],10,FALSE),"")</f>
        <v>Sales</v>
      </c>
      <c r="F927" t="str">
        <f>TRIM(PROPER(TTrainingSource[[#This Row],[Training_Status2]]))</f>
        <v>In Progress</v>
      </c>
      <c r="G927" t="s">
        <v>8</v>
      </c>
      <c r="H927" t="str">
        <f>TRIM(PROPER(TTrainingSource[[#This Row],[Training_Title2]]))</f>
        <v>Communication For Analysts</v>
      </c>
      <c r="I927" t="s">
        <v>28</v>
      </c>
      <c r="J927" s="1">
        <v>45440</v>
      </c>
      <c r="K927" t="s">
        <v>46</v>
      </c>
      <c r="L927" s="7">
        <v>32</v>
      </c>
      <c r="M927">
        <f>ROUND(TTrainingSource[[#This Row],[Satisfaction_Score2]],0)</f>
        <v>4</v>
      </c>
      <c r="N927">
        <v>4.0999999999999996</v>
      </c>
    </row>
    <row r="928" spans="1:14" x14ac:dyDescent="0.3">
      <c r="A928" t="s">
        <v>37</v>
      </c>
      <c r="B928" t="str">
        <f>TRIM(TTrainingSource[[#This Row],[EMPloyee_ID2]])</f>
        <v>EMP10452</v>
      </c>
      <c r="C928" t="str">
        <f>IFERROR(VLOOKUP(TTrainingSource[[#This Row],[Employee_ID]],THrList[],3,FALSE),"")</f>
        <v>JOHNSON</v>
      </c>
      <c r="D928" t="str">
        <f>IFERROR(VLOOKUP(TTrainingSource[[#This Row],[Employee_ID]],THrList[],4,FALSE),"")</f>
        <v>Hassan</v>
      </c>
      <c r="E928" t="str">
        <f>IFERROR(VLOOKUP(TTrainingSource[[#This Row],[Employee_ID]],THrList[],10,FALSE),"")</f>
        <v>Sales</v>
      </c>
      <c r="F928" t="str">
        <f>TRIM(PROPER(TTrainingSource[[#This Row],[Training_Status2]]))</f>
        <v>Completed</v>
      </c>
      <c r="G928" t="s">
        <v>17</v>
      </c>
      <c r="H928" t="str">
        <f>TRIM(PROPER(TTrainingSource[[#This Row],[Training_Title2]]))</f>
        <v>Customer Data Analysis</v>
      </c>
      <c r="I928" t="s">
        <v>31</v>
      </c>
      <c r="J928" s="1">
        <v>45313</v>
      </c>
      <c r="K928" t="s">
        <v>39</v>
      </c>
      <c r="L928" s="7">
        <v>0</v>
      </c>
      <c r="M928">
        <f>ROUND(TTrainingSource[[#This Row],[Satisfaction_Score2]],0)</f>
        <v>5</v>
      </c>
      <c r="N928">
        <v>4.8</v>
      </c>
    </row>
    <row r="929" spans="1:14" x14ac:dyDescent="0.3">
      <c r="A929" t="s">
        <v>37</v>
      </c>
      <c r="B929" t="str">
        <f>TRIM(TTrainingSource[[#This Row],[EMPloyee_ID2]])</f>
        <v>EMP10452</v>
      </c>
      <c r="C929" t="str">
        <f>IFERROR(VLOOKUP(TTrainingSource[[#This Row],[Employee_ID]],THrList[],3,FALSE),"")</f>
        <v>JOHNSON</v>
      </c>
      <c r="D929" t="str">
        <f>IFERROR(VLOOKUP(TTrainingSource[[#This Row],[Employee_ID]],THrList[],4,FALSE),"")</f>
        <v>Hassan</v>
      </c>
      <c r="E929" t="str">
        <f>IFERROR(VLOOKUP(TTrainingSource[[#This Row],[Employee_ID]],THrList[],10,FALSE),"")</f>
        <v>Sales</v>
      </c>
      <c r="F929" t="str">
        <f>TRIM(PROPER(TTrainingSource[[#This Row],[Training_Status2]]))</f>
        <v>Completed</v>
      </c>
      <c r="G929" t="s">
        <v>17</v>
      </c>
      <c r="H929" t="str">
        <f>TRIM(PROPER(TTrainingSource[[#This Row],[Training_Title2]]))</f>
        <v>Digital Marketing Strategy</v>
      </c>
      <c r="I929" t="s">
        <v>43</v>
      </c>
      <c r="J929" s="1">
        <v>45094</v>
      </c>
      <c r="K929" t="s">
        <v>98</v>
      </c>
      <c r="L929" s="7">
        <v>6</v>
      </c>
      <c r="M929">
        <f>ROUND(TTrainingSource[[#This Row],[Satisfaction_Score2]],0)</f>
        <v>4</v>
      </c>
      <c r="N929">
        <v>4.2</v>
      </c>
    </row>
    <row r="930" spans="1:14" x14ac:dyDescent="0.3">
      <c r="A930" t="s">
        <v>344</v>
      </c>
      <c r="B930" t="str">
        <f>TRIM(TTrainingSource[[#This Row],[EMPloyee_ID2]])</f>
        <v>EMP10454</v>
      </c>
      <c r="C930" t="str">
        <f>IFERROR(VLOOKUP(TTrainingSource[[#This Row],[Employee_ID]],THrList[],3,FALSE),"")</f>
        <v>LEROY</v>
      </c>
      <c r="D930" t="str">
        <f>IFERROR(VLOOKUP(TTrainingSource[[#This Row],[Employee_ID]],THrList[],4,FALSE),"")</f>
        <v>Benjamin</v>
      </c>
      <c r="E930" t="str">
        <f>IFERROR(VLOOKUP(TTrainingSource[[#This Row],[Employee_ID]],THrList[],10,FALSE),"")</f>
        <v>Procurement</v>
      </c>
      <c r="F930" t="str">
        <f>TRIM(PROPER(TTrainingSource[[#This Row],[Training_Status2]]))</f>
        <v>In Progress</v>
      </c>
      <c r="G930" t="s">
        <v>8</v>
      </c>
      <c r="H930" t="str">
        <f>TRIM(PROPER(TTrainingSource[[#This Row],[Training_Title2]]))</f>
        <v>Advanced Excel For Business</v>
      </c>
      <c r="I930" t="s">
        <v>52</v>
      </c>
      <c r="J930" s="1">
        <v>45740</v>
      </c>
      <c r="K930" t="s">
        <v>39</v>
      </c>
      <c r="L930" s="7">
        <v>12</v>
      </c>
      <c r="M930">
        <f>ROUND(TTrainingSource[[#This Row],[Satisfaction_Score2]],0)</f>
        <v>5</v>
      </c>
      <c r="N930">
        <v>4.8</v>
      </c>
    </row>
    <row r="931" spans="1:14" x14ac:dyDescent="0.3">
      <c r="A931" t="s">
        <v>435</v>
      </c>
      <c r="B931" t="str">
        <f>TRIM(TTrainingSource[[#This Row],[EMPloyee_ID2]])</f>
        <v>EMP10454</v>
      </c>
      <c r="C931" t="str">
        <f>IFERROR(VLOOKUP(TTrainingSource[[#This Row],[Employee_ID]],THrList[],3,FALSE),"")</f>
        <v>LEROY</v>
      </c>
      <c r="D931" t="str">
        <f>IFERROR(VLOOKUP(TTrainingSource[[#This Row],[Employee_ID]],THrList[],4,FALSE),"")</f>
        <v>Benjamin</v>
      </c>
      <c r="E931" t="str">
        <f>IFERROR(VLOOKUP(TTrainingSource[[#This Row],[Employee_ID]],THrList[],10,FALSE),"")</f>
        <v>Procurement</v>
      </c>
      <c r="F931" t="str">
        <f>TRIM(PROPER(TTrainingSource[[#This Row],[Training_Status2]]))</f>
        <v>In Progress</v>
      </c>
      <c r="G931" t="s">
        <v>8</v>
      </c>
      <c r="H931" t="str">
        <f>TRIM(PROPER(TTrainingSource[[#This Row],[Training_Title2]]))</f>
        <v>Data Visualization Best Practices</v>
      </c>
      <c r="I931" t="s">
        <v>20</v>
      </c>
      <c r="J931" s="1">
        <v>45754</v>
      </c>
      <c r="K931" t="s">
        <v>46</v>
      </c>
      <c r="L931" s="7">
        <v>8</v>
      </c>
      <c r="M931">
        <f>ROUND(TTrainingSource[[#This Row],[Satisfaction_Score2]],0)</f>
        <v>4</v>
      </c>
      <c r="N931">
        <v>3.6</v>
      </c>
    </row>
    <row r="932" spans="1:14" x14ac:dyDescent="0.3">
      <c r="A932" t="s">
        <v>344</v>
      </c>
      <c r="B932" t="str">
        <f>TRIM(TTrainingSource[[#This Row],[EMPloyee_ID2]])</f>
        <v>EMP10454</v>
      </c>
      <c r="C932" t="str">
        <f>IFERROR(VLOOKUP(TTrainingSource[[#This Row],[Employee_ID]],THrList[],3,FALSE),"")</f>
        <v>LEROY</v>
      </c>
      <c r="D932" t="str">
        <f>IFERROR(VLOOKUP(TTrainingSource[[#This Row],[Employee_ID]],THrList[],4,FALSE),"")</f>
        <v>Benjamin</v>
      </c>
      <c r="E932" t="str">
        <f>IFERROR(VLOOKUP(TTrainingSource[[#This Row],[Employee_ID]],THrList[],10,FALSE),"")</f>
        <v>Procurement</v>
      </c>
      <c r="F932" t="str">
        <f>TRIM(PROPER(TTrainingSource[[#This Row],[Training_Status2]]))</f>
        <v>Planned</v>
      </c>
      <c r="G932" t="s">
        <v>19</v>
      </c>
      <c r="H932" t="str">
        <f>TRIM(PROPER(TTrainingSource[[#This Row],[Training_Title2]]))</f>
        <v>Customer Data Analysis</v>
      </c>
      <c r="I932" t="s">
        <v>31</v>
      </c>
      <c r="J932" s="1">
        <v>45245</v>
      </c>
      <c r="K932" t="s">
        <v>1072</v>
      </c>
      <c r="L932" s="7">
        <v>8</v>
      </c>
      <c r="M932">
        <f>ROUND(TTrainingSource[[#This Row],[Satisfaction_Score2]],0)</f>
        <v>4</v>
      </c>
      <c r="N932">
        <v>4</v>
      </c>
    </row>
    <row r="933" spans="1:14" x14ac:dyDescent="0.3">
      <c r="A933" t="s">
        <v>361</v>
      </c>
      <c r="B933" t="str">
        <f>TRIM(TTrainingSource[[#This Row],[EMPloyee_ID2]])</f>
        <v>EMP10455</v>
      </c>
      <c r="C933" t="str">
        <f>IFERROR(VLOOKUP(TTrainingSource[[#This Row],[Employee_ID]],THrList[],3,FALSE),"")</f>
        <v>MILLER</v>
      </c>
      <c r="D933" t="str">
        <f>IFERROR(VLOOKUP(TTrainingSource[[#This Row],[Employee_ID]],THrList[],4,FALSE),"")</f>
        <v>Sophia</v>
      </c>
      <c r="E933" t="str">
        <f>IFERROR(VLOOKUP(TTrainingSource[[#This Row],[Employee_ID]],THrList[],10,FALSE),"")</f>
        <v>Compliance</v>
      </c>
      <c r="F933" t="str">
        <f>TRIM(PROPER(TTrainingSource[[#This Row],[Training_Status2]]))</f>
        <v>Completed</v>
      </c>
      <c r="G933" t="s">
        <v>35</v>
      </c>
      <c r="H933" t="str">
        <f>TRIM(PROPER(TTrainingSource[[#This Row],[Training_Title2]]))</f>
        <v>Data Analysis Fundamentals</v>
      </c>
      <c r="I933" t="s">
        <v>9</v>
      </c>
      <c r="J933" s="1">
        <v>45402</v>
      </c>
      <c r="K933" t="s">
        <v>42</v>
      </c>
      <c r="L933" s="7">
        <v>20</v>
      </c>
      <c r="M933">
        <f>ROUND(TTrainingSource[[#This Row],[Satisfaction_Score2]],0)</f>
        <v>3</v>
      </c>
      <c r="N933">
        <v>2.9</v>
      </c>
    </row>
    <row r="934" spans="1:14" x14ac:dyDescent="0.3">
      <c r="A934" t="s">
        <v>361</v>
      </c>
      <c r="B934" t="str">
        <f>TRIM(TTrainingSource[[#This Row],[EMPloyee_ID2]])</f>
        <v>EMP10455</v>
      </c>
      <c r="C934" t="str">
        <f>IFERROR(VLOOKUP(TTrainingSource[[#This Row],[Employee_ID]],THrList[],3,FALSE),"")</f>
        <v>MILLER</v>
      </c>
      <c r="D934" t="str">
        <f>IFERROR(VLOOKUP(TTrainingSource[[#This Row],[Employee_ID]],THrList[],4,FALSE),"")</f>
        <v>Sophia</v>
      </c>
      <c r="E934" t="str">
        <f>IFERROR(VLOOKUP(TTrainingSource[[#This Row],[Employee_ID]],THrList[],10,FALSE),"")</f>
        <v>Compliance</v>
      </c>
      <c r="F934" t="str">
        <f>TRIM(PROPER(TTrainingSource[[#This Row],[Training_Status2]]))</f>
        <v>In Progress</v>
      </c>
      <c r="G934" t="s">
        <v>8</v>
      </c>
      <c r="H934" t="str">
        <f>TRIM(PROPER(TTrainingSource[[#This Row],[Training_Title2]]))</f>
        <v>Digital Marketing Strategy</v>
      </c>
      <c r="I934" t="s">
        <v>43</v>
      </c>
      <c r="J934" s="1">
        <v>45010</v>
      </c>
      <c r="K934" t="s">
        <v>98</v>
      </c>
      <c r="L934" s="7">
        <v>8</v>
      </c>
      <c r="M934">
        <f>ROUND(TTrainingSource[[#This Row],[Satisfaction_Score2]],0)</f>
        <v>3</v>
      </c>
      <c r="N934">
        <v>2.7</v>
      </c>
    </row>
    <row r="935" spans="1:14" x14ac:dyDescent="0.3">
      <c r="A935" t="s">
        <v>361</v>
      </c>
      <c r="B935" t="str">
        <f>TRIM(TTrainingSource[[#This Row],[EMPloyee_ID2]])</f>
        <v>EMP10455</v>
      </c>
      <c r="C935" t="str">
        <f>IFERROR(VLOOKUP(TTrainingSource[[#This Row],[Employee_ID]],THrList[],3,FALSE),"")</f>
        <v>MILLER</v>
      </c>
      <c r="D935" t="str">
        <f>IFERROR(VLOOKUP(TTrainingSource[[#This Row],[Employee_ID]],THrList[],4,FALSE),"")</f>
        <v>Sophia</v>
      </c>
      <c r="E935" t="str">
        <f>IFERROR(VLOOKUP(TTrainingSource[[#This Row],[Employee_ID]],THrList[],10,FALSE),"")</f>
        <v>Compliance</v>
      </c>
      <c r="F935" t="str">
        <f>TRIM(PROPER(TTrainingSource[[#This Row],[Training_Status2]]))</f>
        <v>Planned</v>
      </c>
      <c r="G935" t="s">
        <v>19</v>
      </c>
      <c r="H935" t="str">
        <f>TRIM(PROPER(TTrainingSource[[#This Row],[Training_Title2]]))</f>
        <v>Advanced Excel For Business</v>
      </c>
      <c r="I935" t="s">
        <v>52</v>
      </c>
      <c r="J935" s="1">
        <v>45486</v>
      </c>
      <c r="K935" t="s">
        <v>15</v>
      </c>
      <c r="L935" s="7">
        <v>40</v>
      </c>
      <c r="M935">
        <f>ROUND(TTrainingSource[[#This Row],[Satisfaction_Score2]],0)</f>
        <v>3</v>
      </c>
      <c r="N935">
        <v>2.7</v>
      </c>
    </row>
    <row r="936" spans="1:14" x14ac:dyDescent="0.3">
      <c r="A936" t="s">
        <v>327</v>
      </c>
      <c r="B936" t="str">
        <f>TRIM(TTrainingSource[[#This Row],[EMPloyee_ID2]])</f>
        <v>EMP10456</v>
      </c>
      <c r="C936" t="str">
        <f>IFERROR(VLOOKUP(TTrainingSource[[#This Row],[Employee_ID]],THrList[],3,FALSE),"")</f>
        <v>MOREAU</v>
      </c>
      <c r="D936" t="str">
        <f>IFERROR(VLOOKUP(TTrainingSource[[#This Row],[Employee_ID]],THrList[],4,FALSE),"")</f>
        <v>Ibrahim</v>
      </c>
      <c r="E936" t="str">
        <f>IFERROR(VLOOKUP(TTrainingSource[[#This Row],[Employee_ID]],THrList[],10,FALSE),"")</f>
        <v>Finance</v>
      </c>
      <c r="F936" t="str">
        <f>TRIM(PROPER(TTrainingSource[[#This Row],[Training_Status2]]))</f>
        <v>In Progress</v>
      </c>
      <c r="G936" t="s">
        <v>8</v>
      </c>
      <c r="H936" t="str">
        <f>TRIM(PROPER(TTrainingSource[[#This Row],[Training_Title2]]))</f>
        <v>Power Bi Reporting</v>
      </c>
      <c r="I936" t="s">
        <v>95</v>
      </c>
      <c r="J936" s="1">
        <v>44855</v>
      </c>
      <c r="K936" t="s">
        <v>46</v>
      </c>
      <c r="L936" s="7">
        <v>0</v>
      </c>
      <c r="M936">
        <f>ROUND(TTrainingSource[[#This Row],[Satisfaction_Score2]],0)</f>
        <v>4</v>
      </c>
      <c r="N936">
        <v>4.3</v>
      </c>
    </row>
    <row r="937" spans="1:14" x14ac:dyDescent="0.3">
      <c r="A937" t="s">
        <v>412</v>
      </c>
      <c r="B937" t="str">
        <f>TRIM(TTrainingSource[[#This Row],[EMPloyee_ID2]])</f>
        <v>EMP10456</v>
      </c>
      <c r="C937" t="str">
        <f>IFERROR(VLOOKUP(TTrainingSource[[#This Row],[Employee_ID]],THrList[],3,FALSE),"")</f>
        <v>MOREAU</v>
      </c>
      <c r="D937" t="str">
        <f>IFERROR(VLOOKUP(TTrainingSource[[#This Row],[Employee_ID]],THrList[],4,FALSE),"")</f>
        <v>Ibrahim</v>
      </c>
      <c r="E937" t="str">
        <f>IFERROR(VLOOKUP(TTrainingSource[[#This Row],[Employee_ID]],THrList[],10,FALSE),"")</f>
        <v>Finance</v>
      </c>
      <c r="F937" t="str">
        <f>TRIM(PROPER(TTrainingSource[[#This Row],[Training_Status2]]))</f>
        <v>Planned</v>
      </c>
      <c r="G937" t="s">
        <v>19</v>
      </c>
      <c r="H937" t="str">
        <f>TRIM(PROPER(TTrainingSource[[#This Row],[Training_Title2]]))</f>
        <v>Advanced Excel For Business</v>
      </c>
      <c r="I937" t="s">
        <v>52</v>
      </c>
      <c r="J937" s="1">
        <v>45646</v>
      </c>
      <c r="K937" t="s">
        <v>132</v>
      </c>
      <c r="L937" s="7">
        <v>8</v>
      </c>
      <c r="M937">
        <f>ROUND(TTrainingSource[[#This Row],[Satisfaction_Score2]],0)</f>
        <v>4</v>
      </c>
      <c r="N937">
        <v>3.9</v>
      </c>
    </row>
    <row r="938" spans="1:14" x14ac:dyDescent="0.3">
      <c r="A938" t="s">
        <v>327</v>
      </c>
      <c r="B938" t="str">
        <f>TRIM(TTrainingSource[[#This Row],[EMPloyee_ID2]])</f>
        <v>EMP10456</v>
      </c>
      <c r="C938" t="str">
        <f>IFERROR(VLOOKUP(TTrainingSource[[#This Row],[Employee_ID]],THrList[],3,FALSE),"")</f>
        <v>MOREAU</v>
      </c>
      <c r="D938" t="str">
        <f>IFERROR(VLOOKUP(TTrainingSource[[#This Row],[Employee_ID]],THrList[],4,FALSE),"")</f>
        <v>Ibrahim</v>
      </c>
      <c r="E938" t="str">
        <f>IFERROR(VLOOKUP(TTrainingSource[[#This Row],[Employee_ID]],THrList[],10,FALSE),"")</f>
        <v>Finance</v>
      </c>
      <c r="F938" t="str">
        <f>TRIM(PROPER(TTrainingSource[[#This Row],[Training_Status2]]))</f>
        <v>Completed</v>
      </c>
      <c r="G938" t="s">
        <v>35</v>
      </c>
      <c r="H938" t="str">
        <f>TRIM(PROPER(TTrainingSource[[#This Row],[Training_Title2]]))</f>
        <v>Financial Modeling Basics</v>
      </c>
      <c r="I938" t="s">
        <v>331</v>
      </c>
      <c r="J938" s="1">
        <v>45629</v>
      </c>
      <c r="K938" t="s">
        <v>42</v>
      </c>
      <c r="L938" s="7">
        <v>6</v>
      </c>
      <c r="M938">
        <f>ROUND(TTrainingSource[[#This Row],[Satisfaction_Score2]],0)</f>
        <v>4</v>
      </c>
      <c r="N938">
        <v>4.2</v>
      </c>
    </row>
    <row r="939" spans="1:14" x14ac:dyDescent="0.3">
      <c r="A939" t="s">
        <v>412</v>
      </c>
      <c r="B939" t="str">
        <f>TRIM(TTrainingSource[[#This Row],[EMPloyee_ID2]])</f>
        <v>EMP10456</v>
      </c>
      <c r="C939" t="str">
        <f>IFERROR(VLOOKUP(TTrainingSource[[#This Row],[Employee_ID]],THrList[],3,FALSE),"")</f>
        <v>MOREAU</v>
      </c>
      <c r="D939" t="str">
        <f>IFERROR(VLOOKUP(TTrainingSource[[#This Row],[Employee_ID]],THrList[],4,FALSE),"")</f>
        <v>Ibrahim</v>
      </c>
      <c r="E939" t="str">
        <f>IFERROR(VLOOKUP(TTrainingSource[[#This Row],[Employee_ID]],THrList[],10,FALSE),"")</f>
        <v>Finance</v>
      </c>
      <c r="F939" t="str">
        <f>TRIM(PROPER(TTrainingSource[[#This Row],[Training_Status2]]))</f>
        <v>Completed</v>
      </c>
      <c r="G939" t="s">
        <v>17</v>
      </c>
      <c r="H939" t="str">
        <f>TRIM(PROPER(TTrainingSource[[#This Row],[Training_Title2]]))</f>
        <v>Power Bi Reporting</v>
      </c>
      <c r="I939" t="s">
        <v>142</v>
      </c>
      <c r="J939" s="1">
        <v>44656</v>
      </c>
      <c r="K939" t="s">
        <v>1072</v>
      </c>
      <c r="L939" s="7">
        <v>8</v>
      </c>
      <c r="M939">
        <f>ROUND(TTrainingSource[[#This Row],[Satisfaction_Score2]],0)</f>
        <v>3</v>
      </c>
      <c r="N939">
        <v>2.9</v>
      </c>
    </row>
    <row r="940" spans="1:14" x14ac:dyDescent="0.3">
      <c r="A940" t="s">
        <v>241</v>
      </c>
      <c r="B940" t="str">
        <f>TRIM(TTrainingSource[[#This Row],[EMPloyee_ID2]])</f>
        <v>EMP10458</v>
      </c>
      <c r="C940" t="str">
        <f>IFERROR(VLOOKUP(TTrainingSource[[#This Row],[Employee_ID]],THrList[],3,FALSE),"")</f>
        <v>FOURNIER</v>
      </c>
      <c r="D940" t="str">
        <f>IFERROR(VLOOKUP(TTrainingSource[[#This Row],[Employee_ID]],THrList[],4,FALSE),"")</f>
        <v>Hugo</v>
      </c>
      <c r="E940" t="str">
        <f>IFERROR(VLOOKUP(TTrainingSource[[#This Row],[Employee_ID]],THrList[],10,FALSE),"")</f>
        <v>Customer Support</v>
      </c>
      <c r="F940" t="str">
        <f>TRIM(PROPER(TTrainingSource[[#This Row],[Training_Status2]]))</f>
        <v>Completed</v>
      </c>
      <c r="G940" t="s">
        <v>69</v>
      </c>
      <c r="H940" t="str">
        <f>TRIM(PROPER(TTrainingSource[[#This Row],[Training_Title2]]))</f>
        <v>Sql For Data Analytics</v>
      </c>
      <c r="I940" t="s">
        <v>26</v>
      </c>
      <c r="J940" s="1">
        <v>44773</v>
      </c>
      <c r="K940" t="s">
        <v>1072</v>
      </c>
      <c r="L940" s="7">
        <v>4</v>
      </c>
      <c r="M940">
        <f>ROUND(TTrainingSource[[#This Row],[Satisfaction_Score2]],0)</f>
        <v>5</v>
      </c>
      <c r="N940">
        <v>4.5999999999999996</v>
      </c>
    </row>
    <row r="941" spans="1:14" x14ac:dyDescent="0.3">
      <c r="A941" t="s">
        <v>241</v>
      </c>
      <c r="B941" t="str">
        <f>TRIM(TTrainingSource[[#This Row],[EMPloyee_ID2]])</f>
        <v>EMP10458</v>
      </c>
      <c r="C941" t="str">
        <f>IFERROR(VLOOKUP(TTrainingSource[[#This Row],[Employee_ID]],THrList[],3,FALSE),"")</f>
        <v>FOURNIER</v>
      </c>
      <c r="D941" t="str">
        <f>IFERROR(VLOOKUP(TTrainingSource[[#This Row],[Employee_ID]],THrList[],4,FALSE),"")</f>
        <v>Hugo</v>
      </c>
      <c r="E941" t="str">
        <f>IFERROR(VLOOKUP(TTrainingSource[[#This Row],[Employee_ID]],THrList[],10,FALSE),"")</f>
        <v>Customer Support</v>
      </c>
      <c r="F941" t="str">
        <f>TRIM(PROPER(TTrainingSource[[#This Row],[Training_Status2]]))</f>
        <v>In Progress</v>
      </c>
      <c r="G941" t="s">
        <v>8</v>
      </c>
      <c r="H941" t="str">
        <f>TRIM(PROPER(TTrainingSource[[#This Row],[Training_Title2]]))</f>
        <v>Data Visualization Best Practices</v>
      </c>
      <c r="I941" t="s">
        <v>20</v>
      </c>
      <c r="J941" s="1">
        <v>44738</v>
      </c>
      <c r="K941" t="s">
        <v>44</v>
      </c>
      <c r="L941" s="7">
        <v>20</v>
      </c>
      <c r="M941">
        <f>ROUND(TTrainingSource[[#This Row],[Satisfaction_Score2]],0)</f>
        <v>4</v>
      </c>
      <c r="N941">
        <v>3.5</v>
      </c>
    </row>
    <row r="942" spans="1:14" x14ac:dyDescent="0.3">
      <c r="A942" t="s">
        <v>241</v>
      </c>
      <c r="B942" t="str">
        <f>TRIM(TTrainingSource[[#This Row],[EMPloyee_ID2]])</f>
        <v>EMP10458</v>
      </c>
      <c r="C942" t="str">
        <f>IFERROR(VLOOKUP(TTrainingSource[[#This Row],[Employee_ID]],THrList[],3,FALSE),"")</f>
        <v>FOURNIER</v>
      </c>
      <c r="D942" t="str">
        <f>IFERROR(VLOOKUP(TTrainingSource[[#This Row],[Employee_ID]],THrList[],4,FALSE),"")</f>
        <v>Hugo</v>
      </c>
      <c r="E942" t="str">
        <f>IFERROR(VLOOKUP(TTrainingSource[[#This Row],[Employee_ID]],THrList[],10,FALSE),"")</f>
        <v>Customer Support</v>
      </c>
      <c r="F942" t="str">
        <f>TRIM(PROPER(TTrainingSource[[#This Row],[Training_Status2]]))</f>
        <v>Planned</v>
      </c>
      <c r="G942" t="s">
        <v>19</v>
      </c>
      <c r="H942" t="str">
        <f>TRIM(PROPER(TTrainingSource[[#This Row],[Training_Title2]]))</f>
        <v>Communication For Analysts</v>
      </c>
      <c r="I942" t="s">
        <v>28</v>
      </c>
      <c r="J942" s="1">
        <v>44984</v>
      </c>
      <c r="K942" t="s">
        <v>15</v>
      </c>
      <c r="L942" s="7">
        <v>4</v>
      </c>
      <c r="M942">
        <f>ROUND(TTrainingSource[[#This Row],[Satisfaction_Score2]],0)</f>
        <v>4</v>
      </c>
      <c r="N942">
        <v>3.7</v>
      </c>
    </row>
    <row r="943" spans="1:14" x14ac:dyDescent="0.3">
      <c r="A943" t="s">
        <v>241</v>
      </c>
      <c r="B943" t="str">
        <f>TRIM(TTrainingSource[[#This Row],[EMPloyee_ID2]])</f>
        <v>EMP10458</v>
      </c>
      <c r="C943" t="str">
        <f>IFERROR(VLOOKUP(TTrainingSource[[#This Row],[Employee_ID]],THrList[],3,FALSE),"")</f>
        <v>FOURNIER</v>
      </c>
      <c r="D943" t="str">
        <f>IFERROR(VLOOKUP(TTrainingSource[[#This Row],[Employee_ID]],THrList[],4,FALSE),"")</f>
        <v>Hugo</v>
      </c>
      <c r="E943" t="str">
        <f>IFERROR(VLOOKUP(TTrainingSource[[#This Row],[Employee_ID]],THrList[],10,FALSE),"")</f>
        <v>Customer Support</v>
      </c>
      <c r="F943" t="str">
        <f>TRIM(PROPER(TTrainingSource[[#This Row],[Training_Status2]]))</f>
        <v>Completed</v>
      </c>
      <c r="G943" t="s">
        <v>17</v>
      </c>
      <c r="H943" t="str">
        <f>TRIM(PROPER(TTrainingSource[[#This Row],[Training_Title2]]))</f>
        <v>Digital Marketing Strategy</v>
      </c>
      <c r="I943" t="s">
        <v>299</v>
      </c>
      <c r="J943" s="1">
        <v>45918</v>
      </c>
      <c r="K943" t="s">
        <v>44</v>
      </c>
      <c r="L943" s="7">
        <v>16</v>
      </c>
      <c r="M943">
        <f>ROUND(TTrainingSource[[#This Row],[Satisfaction_Score2]],0)</f>
        <v>5</v>
      </c>
      <c r="N943">
        <v>4.8</v>
      </c>
    </row>
    <row r="944" spans="1:14" x14ac:dyDescent="0.3">
      <c r="A944" t="s">
        <v>394</v>
      </c>
      <c r="B944" t="str">
        <f>TRIM(TTrainingSource[[#This Row],[EMPloyee_ID2]])</f>
        <v>EMP10459</v>
      </c>
      <c r="C944" t="str">
        <f>IFERROR(VLOOKUP(TTrainingSource[[#This Row],[Employee_ID]],THrList[],3,FALSE),"")</f>
        <v>JACKSON</v>
      </c>
      <c r="D944" t="str">
        <f>IFERROR(VLOOKUP(TTrainingSource[[#This Row],[Employee_ID]],THrList[],4,FALSE),"")</f>
        <v>Mariama</v>
      </c>
      <c r="E944" t="str">
        <f>IFERROR(VLOOKUP(TTrainingSource[[#This Row],[Employee_ID]],THrList[],10,FALSE),"")</f>
        <v>Compliance</v>
      </c>
      <c r="F944" t="str">
        <f>TRIM(PROPER(TTrainingSource[[#This Row],[Training_Status2]]))</f>
        <v>In Progress</v>
      </c>
      <c r="G944" t="s">
        <v>8</v>
      </c>
      <c r="H944" t="str">
        <f>TRIM(PROPER(TTrainingSource[[#This Row],[Training_Title2]]))</f>
        <v>Business Intelligence With Tableau</v>
      </c>
      <c r="I944" t="s">
        <v>162</v>
      </c>
      <c r="J944" s="1">
        <v>44692</v>
      </c>
      <c r="K944" t="s">
        <v>1072</v>
      </c>
      <c r="L944" s="7">
        <v>0</v>
      </c>
      <c r="M944">
        <f>ROUND(TTrainingSource[[#This Row],[Satisfaction_Score2]],0)</f>
        <v>5</v>
      </c>
      <c r="N944">
        <v>4.5999999999999996</v>
      </c>
    </row>
    <row r="945" spans="1:14" x14ac:dyDescent="0.3">
      <c r="A945" t="s">
        <v>394</v>
      </c>
      <c r="B945" t="str">
        <f>TRIM(TTrainingSource[[#This Row],[EMPloyee_ID2]])</f>
        <v>EMP10459</v>
      </c>
      <c r="C945" t="str">
        <f>IFERROR(VLOOKUP(TTrainingSource[[#This Row],[Employee_ID]],THrList[],3,FALSE),"")</f>
        <v>JACKSON</v>
      </c>
      <c r="D945" t="str">
        <f>IFERROR(VLOOKUP(TTrainingSource[[#This Row],[Employee_ID]],THrList[],4,FALSE),"")</f>
        <v>Mariama</v>
      </c>
      <c r="E945" t="str">
        <f>IFERROR(VLOOKUP(TTrainingSource[[#This Row],[Employee_ID]],THrList[],10,FALSE),"")</f>
        <v>Compliance</v>
      </c>
      <c r="F945" t="str">
        <f>TRIM(PROPER(TTrainingSource[[#This Row],[Training_Status2]]))</f>
        <v>In Progress</v>
      </c>
      <c r="G945" t="s">
        <v>8</v>
      </c>
      <c r="H945" t="str">
        <f>TRIM(PROPER(TTrainingSource[[#This Row],[Training_Title2]]))</f>
        <v>Power Bi Reporting</v>
      </c>
      <c r="I945" t="s">
        <v>24</v>
      </c>
      <c r="J945" s="1">
        <v>44588</v>
      </c>
      <c r="K945" t="s">
        <v>42</v>
      </c>
      <c r="L945" s="7">
        <v>8</v>
      </c>
      <c r="M945">
        <f>ROUND(TTrainingSource[[#This Row],[Satisfaction_Score2]],0)</f>
        <v>3</v>
      </c>
      <c r="N945">
        <v>2.8</v>
      </c>
    </row>
    <row r="946" spans="1:14" x14ac:dyDescent="0.3">
      <c r="A946" t="s">
        <v>394</v>
      </c>
      <c r="B946" t="str">
        <f>TRIM(TTrainingSource[[#This Row],[EMPloyee_ID2]])</f>
        <v>EMP10459</v>
      </c>
      <c r="C946" t="str">
        <f>IFERROR(VLOOKUP(TTrainingSource[[#This Row],[Employee_ID]],THrList[],3,FALSE),"")</f>
        <v>JACKSON</v>
      </c>
      <c r="D946" t="str">
        <f>IFERROR(VLOOKUP(TTrainingSource[[#This Row],[Employee_ID]],THrList[],4,FALSE),"")</f>
        <v>Mariama</v>
      </c>
      <c r="E946" t="str">
        <f>IFERROR(VLOOKUP(TTrainingSource[[#This Row],[Employee_ID]],THrList[],10,FALSE),"")</f>
        <v>Compliance</v>
      </c>
      <c r="F946" t="str">
        <f>TRIM(PROPER(TTrainingSource[[#This Row],[Training_Status2]]))</f>
        <v>Completed</v>
      </c>
      <c r="G946" t="s">
        <v>17</v>
      </c>
      <c r="H946" t="str">
        <f>TRIM(PROPER(TTrainingSource[[#This Row],[Training_Title2]]))</f>
        <v>Financial Modeling Basics</v>
      </c>
      <c r="I946" t="s">
        <v>38</v>
      </c>
      <c r="J946" s="1">
        <v>45829</v>
      </c>
      <c r="K946" t="s">
        <v>42</v>
      </c>
      <c r="L946" s="7">
        <v>6</v>
      </c>
      <c r="M946">
        <f>ROUND(TTrainingSource[[#This Row],[Satisfaction_Score2]],0)</f>
        <v>5</v>
      </c>
      <c r="N946">
        <v>4.5999999999999996</v>
      </c>
    </row>
    <row r="947" spans="1:14" x14ac:dyDescent="0.3">
      <c r="A947" t="s">
        <v>394</v>
      </c>
      <c r="B947" t="str">
        <f>TRIM(TTrainingSource[[#This Row],[EMPloyee_ID2]])</f>
        <v>EMP10459</v>
      </c>
      <c r="C947" t="str">
        <f>IFERROR(VLOOKUP(TTrainingSource[[#This Row],[Employee_ID]],THrList[],3,FALSE),"")</f>
        <v>JACKSON</v>
      </c>
      <c r="D947" t="str">
        <f>IFERROR(VLOOKUP(TTrainingSource[[#This Row],[Employee_ID]],THrList[],4,FALSE),"")</f>
        <v>Mariama</v>
      </c>
      <c r="E947" t="str">
        <f>IFERROR(VLOOKUP(TTrainingSource[[#This Row],[Employee_ID]],THrList[],10,FALSE),"")</f>
        <v>Compliance</v>
      </c>
      <c r="F947" t="str">
        <f>TRIM(PROPER(TTrainingSource[[#This Row],[Training_Status2]]))</f>
        <v>Completed</v>
      </c>
      <c r="G947" t="s">
        <v>17</v>
      </c>
      <c r="H947" t="str">
        <f>TRIM(PROPER(TTrainingSource[[#This Row],[Training_Title2]]))</f>
        <v>Business Intelligence With Tableau</v>
      </c>
      <c r="I947" t="s">
        <v>22</v>
      </c>
      <c r="J947" s="1">
        <v>45216</v>
      </c>
      <c r="K947" t="s">
        <v>39</v>
      </c>
      <c r="L947" s="7">
        <v>24</v>
      </c>
      <c r="M947">
        <f>ROUND(TTrainingSource[[#This Row],[Satisfaction_Score2]],0)</f>
        <v>3</v>
      </c>
      <c r="N947">
        <v>3.1</v>
      </c>
    </row>
    <row r="948" spans="1:14" x14ac:dyDescent="0.3">
      <c r="A948" t="s">
        <v>125</v>
      </c>
      <c r="B948" t="str">
        <f>TRIM(TTrainingSource[[#This Row],[EMPloyee_ID2]])</f>
        <v>EMP10460</v>
      </c>
      <c r="C948" t="str">
        <f>IFERROR(VLOOKUP(TTrainingSource[[#This Row],[Employee_ID]],THrList[],3,FALSE),"")</f>
        <v>CAMARA</v>
      </c>
      <c r="D948" t="str">
        <f>IFERROR(VLOOKUP(TTrainingSource[[#This Row],[Employee_ID]],THrList[],4,FALSE),"")</f>
        <v>Claire</v>
      </c>
      <c r="E948" t="str">
        <f>IFERROR(VLOOKUP(TTrainingSource[[#This Row],[Employee_ID]],THrList[],10,FALSE),"")</f>
        <v>Operations</v>
      </c>
      <c r="F948" t="str">
        <f>TRIM(PROPER(TTrainingSource[[#This Row],[Training_Status2]]))</f>
        <v>Completed</v>
      </c>
      <c r="G948" t="s">
        <v>17</v>
      </c>
      <c r="H948" t="str">
        <f>TRIM(PROPER(TTrainingSource[[#This Row],[Training_Title2]]))</f>
        <v>Financial Modeling Basics</v>
      </c>
      <c r="I948" t="s">
        <v>38</v>
      </c>
      <c r="J948" s="1">
        <v>45635</v>
      </c>
      <c r="K948" t="s">
        <v>39</v>
      </c>
      <c r="L948" s="7">
        <v>8</v>
      </c>
      <c r="M948">
        <f>ROUND(TTrainingSource[[#This Row],[Satisfaction_Score2]],0)</f>
        <v>3</v>
      </c>
      <c r="N948">
        <v>3</v>
      </c>
    </row>
    <row r="949" spans="1:14" x14ac:dyDescent="0.3">
      <c r="A949" t="s">
        <v>61</v>
      </c>
      <c r="B949" t="str">
        <f>TRIM(TTrainingSource[[#This Row],[EMPloyee_ID2]])</f>
        <v>EMP10461</v>
      </c>
      <c r="C949" t="str">
        <f>IFERROR(VLOOKUP(TTrainingSource[[#This Row],[Employee_ID]],THrList[],3,FALSE),"")</f>
        <v>DUBOIS</v>
      </c>
      <c r="D949" t="str">
        <f>IFERROR(VLOOKUP(TTrainingSource[[#This Row],[Employee_ID]],THrList[],4,FALSE),"")</f>
        <v>Hassan</v>
      </c>
      <c r="E949" t="str">
        <f>IFERROR(VLOOKUP(TTrainingSource[[#This Row],[Employee_ID]],THrList[],10,FALSE),"")</f>
        <v>Finance</v>
      </c>
      <c r="F949" t="str">
        <f>TRIM(PROPER(TTrainingSource[[#This Row],[Training_Status2]]))</f>
        <v>Completed</v>
      </c>
      <c r="G949" t="s">
        <v>17</v>
      </c>
      <c r="H949" t="str">
        <f>TRIM(PROPER(TTrainingSource[[#This Row],[Training_Title2]]))</f>
        <v>Introduction To Python For Data</v>
      </c>
      <c r="I949" t="s">
        <v>62</v>
      </c>
      <c r="J949" s="1">
        <v>45163</v>
      </c>
      <c r="K949" t="s">
        <v>42</v>
      </c>
      <c r="L949" s="7">
        <v>24</v>
      </c>
      <c r="M949">
        <f>ROUND(TTrainingSource[[#This Row],[Satisfaction_Score2]],0)</f>
        <v>4</v>
      </c>
      <c r="N949">
        <v>3.7</v>
      </c>
    </row>
    <row r="950" spans="1:14" x14ac:dyDescent="0.3">
      <c r="A950" t="s">
        <v>432</v>
      </c>
      <c r="B950" t="str">
        <f>TRIM(TTrainingSource[[#This Row],[EMPloyee_ID2]])</f>
        <v>EMP10461</v>
      </c>
      <c r="C950" t="str">
        <f>IFERROR(VLOOKUP(TTrainingSource[[#This Row],[Employee_ID]],THrList[],3,FALSE),"")</f>
        <v>DUBOIS</v>
      </c>
      <c r="D950" t="str">
        <f>IFERROR(VLOOKUP(TTrainingSource[[#This Row],[Employee_ID]],THrList[],4,FALSE),"")</f>
        <v>Hassan</v>
      </c>
      <c r="E950" t="str">
        <f>IFERROR(VLOOKUP(TTrainingSource[[#This Row],[Employee_ID]],THrList[],10,FALSE),"")</f>
        <v>Finance</v>
      </c>
      <c r="F950" t="str">
        <f>TRIM(PROPER(TTrainingSource[[#This Row],[Training_Status2]]))</f>
        <v>Completed</v>
      </c>
      <c r="G950" t="s">
        <v>17</v>
      </c>
      <c r="H950" t="str">
        <f>TRIM(PROPER(TTrainingSource[[#This Row],[Training_Title2]]))</f>
        <v>Business Intelligence With Tableau</v>
      </c>
      <c r="I950" t="s">
        <v>433</v>
      </c>
      <c r="J950" s="1">
        <v>45401</v>
      </c>
      <c r="K950" t="s">
        <v>32</v>
      </c>
      <c r="L950" s="7">
        <v>20</v>
      </c>
      <c r="M950">
        <f>ROUND(TTrainingSource[[#This Row],[Satisfaction_Score2]],0)</f>
        <v>5</v>
      </c>
      <c r="N950">
        <v>4.8</v>
      </c>
    </row>
    <row r="951" spans="1:14" x14ac:dyDescent="0.3">
      <c r="A951" t="s">
        <v>61</v>
      </c>
      <c r="B951" t="str">
        <f>TRIM(TTrainingSource[[#This Row],[EMPloyee_ID2]])</f>
        <v>EMP10461</v>
      </c>
      <c r="C951" t="str">
        <f>IFERROR(VLOOKUP(TTrainingSource[[#This Row],[Employee_ID]],THrList[],3,FALSE),"")</f>
        <v>DUBOIS</v>
      </c>
      <c r="D951" t="str">
        <f>IFERROR(VLOOKUP(TTrainingSource[[#This Row],[Employee_ID]],THrList[],4,FALSE),"")</f>
        <v>Hassan</v>
      </c>
      <c r="E951" t="str">
        <f>IFERROR(VLOOKUP(TTrainingSource[[#This Row],[Employee_ID]],THrList[],10,FALSE),"")</f>
        <v>Finance</v>
      </c>
      <c r="F951" t="str">
        <f>TRIM(PROPER(TTrainingSource[[#This Row],[Training_Status2]]))</f>
        <v>Completed</v>
      </c>
      <c r="G951" t="s">
        <v>17</v>
      </c>
      <c r="H951" t="str">
        <f>TRIM(PROPER(TTrainingSource[[#This Row],[Training_Title2]]))</f>
        <v>Business Intelligence With Tableau</v>
      </c>
      <c r="I951" t="s">
        <v>22</v>
      </c>
      <c r="J951" s="1">
        <v>45189</v>
      </c>
      <c r="K951" t="s">
        <v>44</v>
      </c>
      <c r="L951" s="7">
        <v>16</v>
      </c>
      <c r="M951">
        <f>ROUND(TTrainingSource[[#This Row],[Satisfaction_Score2]],0)</f>
        <v>5</v>
      </c>
      <c r="N951">
        <v>4.9000000000000004</v>
      </c>
    </row>
    <row r="952" spans="1:14" x14ac:dyDescent="0.3">
      <c r="A952" t="s">
        <v>432</v>
      </c>
      <c r="B952" t="str">
        <f>TRIM(TTrainingSource[[#This Row],[EMPloyee_ID2]])</f>
        <v>EMP10461</v>
      </c>
      <c r="C952" t="str">
        <f>IFERROR(VLOOKUP(TTrainingSource[[#This Row],[Employee_ID]],THrList[],3,FALSE),"")</f>
        <v>DUBOIS</v>
      </c>
      <c r="D952" t="str">
        <f>IFERROR(VLOOKUP(TTrainingSource[[#This Row],[Employee_ID]],THrList[],4,FALSE),"")</f>
        <v>Hassan</v>
      </c>
      <c r="E952" t="str">
        <f>IFERROR(VLOOKUP(TTrainingSource[[#This Row],[Employee_ID]],THrList[],10,FALSE),"")</f>
        <v>Finance</v>
      </c>
      <c r="F952" t="str">
        <f>TRIM(PROPER(TTrainingSource[[#This Row],[Training_Status2]]))</f>
        <v>Completed</v>
      </c>
      <c r="G952" t="s">
        <v>17</v>
      </c>
      <c r="H952" t="str">
        <f>TRIM(PROPER(TTrainingSource[[#This Row],[Training_Title2]]))</f>
        <v>Customer Data Analysis</v>
      </c>
      <c r="I952" t="s">
        <v>31</v>
      </c>
      <c r="J952" s="1">
        <v>45708</v>
      </c>
      <c r="K952" t="s">
        <v>32</v>
      </c>
      <c r="L952" s="7">
        <v>32</v>
      </c>
      <c r="M952">
        <f>ROUND(TTrainingSource[[#This Row],[Satisfaction_Score2]],0)</f>
        <v>4</v>
      </c>
      <c r="N952">
        <v>3.7</v>
      </c>
    </row>
    <row r="953" spans="1:14" x14ac:dyDescent="0.3">
      <c r="A953" t="s">
        <v>606</v>
      </c>
      <c r="B953" t="str">
        <f>TRIM(TTrainingSource[[#This Row],[EMPloyee_ID2]])</f>
        <v>EMP10462</v>
      </c>
      <c r="C953" t="str">
        <f>IFERROR(VLOOKUP(TTrainingSource[[#This Row],[Employee_ID]],THrList[],3,FALSE),"")</f>
        <v>MARTIN</v>
      </c>
      <c r="D953" t="str">
        <f>IFERROR(VLOOKUP(TTrainingSource[[#This Row],[Employee_ID]],THrList[],4,FALSE),"")</f>
        <v>Henry</v>
      </c>
      <c r="E953" t="str">
        <f>IFERROR(VLOOKUP(TTrainingSource[[#This Row],[Employee_ID]],THrList[],10,FALSE),"")</f>
        <v>Finance</v>
      </c>
      <c r="F953" t="str">
        <f>TRIM(PROPER(TTrainingSource[[#This Row],[Training_Status2]]))</f>
        <v>Completed</v>
      </c>
      <c r="G953" t="s">
        <v>17</v>
      </c>
      <c r="H953" t="str">
        <f>TRIM(PROPER(TTrainingSource[[#This Row],[Training_Title2]]))</f>
        <v>Financial Modeling Basics</v>
      </c>
      <c r="I953" t="s">
        <v>38</v>
      </c>
      <c r="J953" s="1">
        <v>44577</v>
      </c>
      <c r="K953" t="s">
        <v>32</v>
      </c>
      <c r="L953" s="7">
        <v>40</v>
      </c>
      <c r="M953">
        <f>ROUND(TTrainingSource[[#This Row],[Satisfaction_Score2]],0)</f>
        <v>5</v>
      </c>
      <c r="N953">
        <v>4.5</v>
      </c>
    </row>
    <row r="954" spans="1:14" x14ac:dyDescent="0.3">
      <c r="A954" t="s">
        <v>606</v>
      </c>
      <c r="B954" t="str">
        <f>TRIM(TTrainingSource[[#This Row],[EMPloyee_ID2]])</f>
        <v>EMP10462</v>
      </c>
      <c r="C954" t="str">
        <f>IFERROR(VLOOKUP(TTrainingSource[[#This Row],[Employee_ID]],THrList[],3,FALSE),"")</f>
        <v>MARTIN</v>
      </c>
      <c r="D954" t="str">
        <f>IFERROR(VLOOKUP(TTrainingSource[[#This Row],[Employee_ID]],THrList[],4,FALSE),"")</f>
        <v>Henry</v>
      </c>
      <c r="E954" t="str">
        <f>IFERROR(VLOOKUP(TTrainingSource[[#This Row],[Employee_ID]],THrList[],10,FALSE),"")</f>
        <v>Finance</v>
      </c>
      <c r="F954" t="str">
        <f>TRIM(PROPER(TTrainingSource[[#This Row],[Training_Status2]]))</f>
        <v>In Progress</v>
      </c>
      <c r="G954" t="s">
        <v>8</v>
      </c>
      <c r="H954" t="str">
        <f>TRIM(PROPER(TTrainingSource[[#This Row],[Training_Title2]]))</f>
        <v>Sql For Data Analytics</v>
      </c>
      <c r="I954" t="s">
        <v>26</v>
      </c>
      <c r="J954" s="1">
        <v>45785</v>
      </c>
      <c r="K954" t="s">
        <v>39</v>
      </c>
      <c r="L954" s="7">
        <v>32</v>
      </c>
      <c r="M954">
        <f>ROUND(TTrainingSource[[#This Row],[Satisfaction_Score2]],0)</f>
        <v>3</v>
      </c>
      <c r="N954">
        <v>2.8</v>
      </c>
    </row>
    <row r="955" spans="1:14" x14ac:dyDescent="0.3">
      <c r="A955" t="s">
        <v>606</v>
      </c>
      <c r="B955" t="str">
        <f>TRIM(TTrainingSource[[#This Row],[EMPloyee_ID2]])</f>
        <v>EMP10462</v>
      </c>
      <c r="C955" t="str">
        <f>IFERROR(VLOOKUP(TTrainingSource[[#This Row],[Employee_ID]],THrList[],3,FALSE),"")</f>
        <v>MARTIN</v>
      </c>
      <c r="D955" t="str">
        <f>IFERROR(VLOOKUP(TTrainingSource[[#This Row],[Employee_ID]],THrList[],4,FALSE),"")</f>
        <v>Henry</v>
      </c>
      <c r="E955" t="str">
        <f>IFERROR(VLOOKUP(TTrainingSource[[#This Row],[Employee_ID]],THrList[],10,FALSE),"")</f>
        <v>Finance</v>
      </c>
      <c r="F955" t="str">
        <f>TRIM(PROPER(TTrainingSource[[#This Row],[Training_Status2]]))</f>
        <v>Completed</v>
      </c>
      <c r="G955" t="s">
        <v>17</v>
      </c>
      <c r="H955" t="str">
        <f>TRIM(PROPER(TTrainingSource[[#This Row],[Training_Title2]]))</f>
        <v>Business Intelligence With Tableau</v>
      </c>
      <c r="I955" t="s">
        <v>22</v>
      </c>
      <c r="J955" s="1">
        <v>44792</v>
      </c>
      <c r="K955" t="s">
        <v>44</v>
      </c>
      <c r="L955" s="7">
        <v>20</v>
      </c>
      <c r="M955">
        <f>ROUND(TTrainingSource[[#This Row],[Satisfaction_Score2]],0)</f>
        <v>3</v>
      </c>
      <c r="N955">
        <v>3.2</v>
      </c>
    </row>
    <row r="956" spans="1:14" x14ac:dyDescent="0.3">
      <c r="A956" t="s">
        <v>631</v>
      </c>
      <c r="B956" t="str">
        <f>TRIM(TTrainingSource[[#This Row],[EMPloyee_ID2]])</f>
        <v>EMP10463</v>
      </c>
      <c r="C956" t="str">
        <f>IFERROR(VLOOKUP(TTrainingSource[[#This Row],[Employee_ID]],THrList[],3,FALSE),"")</f>
        <v>KONE</v>
      </c>
      <c r="D956" t="str">
        <f>IFERROR(VLOOKUP(TTrainingSource[[#This Row],[Employee_ID]],THrList[],4,FALSE),"")</f>
        <v>Amelia</v>
      </c>
      <c r="E956" t="str">
        <f>IFERROR(VLOOKUP(TTrainingSource[[#This Row],[Employee_ID]],THrList[],10,FALSE),"")</f>
        <v>Operations</v>
      </c>
      <c r="F956" t="str">
        <f>TRIM(PROPER(TTrainingSource[[#This Row],[Training_Status2]]))</f>
        <v>Planned</v>
      </c>
      <c r="G956" t="s">
        <v>10</v>
      </c>
      <c r="H956" t="str">
        <f>TRIM(PROPER(TTrainingSource[[#This Row],[Training_Title2]]))</f>
        <v>Power Bi Reporting</v>
      </c>
      <c r="I956" t="s">
        <v>632</v>
      </c>
      <c r="J956" s="1">
        <v>45745</v>
      </c>
      <c r="K956" t="s">
        <v>42</v>
      </c>
      <c r="L956" s="7">
        <v>0</v>
      </c>
      <c r="M956">
        <f>ROUND(TTrainingSource[[#This Row],[Satisfaction_Score2]],0)</f>
        <v>3</v>
      </c>
      <c r="N956">
        <v>3.4</v>
      </c>
    </row>
    <row r="957" spans="1:14" x14ac:dyDescent="0.3">
      <c r="A957" t="s">
        <v>631</v>
      </c>
      <c r="B957" t="str">
        <f>TRIM(TTrainingSource[[#This Row],[EMPloyee_ID2]])</f>
        <v>EMP10463</v>
      </c>
      <c r="C957" t="str">
        <f>IFERROR(VLOOKUP(TTrainingSource[[#This Row],[Employee_ID]],THrList[],3,FALSE),"")</f>
        <v>KONE</v>
      </c>
      <c r="D957" t="str">
        <f>IFERROR(VLOOKUP(TTrainingSource[[#This Row],[Employee_ID]],THrList[],4,FALSE),"")</f>
        <v>Amelia</v>
      </c>
      <c r="E957" t="str">
        <f>IFERROR(VLOOKUP(TTrainingSource[[#This Row],[Employee_ID]],THrList[],10,FALSE),"")</f>
        <v>Operations</v>
      </c>
      <c r="F957" t="str">
        <f>TRIM(PROPER(TTrainingSource[[#This Row],[Training_Status2]]))</f>
        <v>Completed</v>
      </c>
      <c r="G957" t="s">
        <v>17</v>
      </c>
      <c r="H957" t="str">
        <f>TRIM(PROPER(TTrainingSource[[#This Row],[Training_Title2]]))</f>
        <v>Financial Modeling Basics</v>
      </c>
      <c r="I957" t="s">
        <v>38</v>
      </c>
      <c r="J957" s="1">
        <v>45389</v>
      </c>
      <c r="K957" t="s">
        <v>132</v>
      </c>
      <c r="L957" s="7">
        <v>12</v>
      </c>
      <c r="M957">
        <f>ROUND(TTrainingSource[[#This Row],[Satisfaction_Score2]],0)</f>
        <v>5</v>
      </c>
      <c r="N957">
        <v>4.5999999999999996</v>
      </c>
    </row>
    <row r="958" spans="1:14" x14ac:dyDescent="0.3">
      <c r="A958" t="s">
        <v>660</v>
      </c>
      <c r="B958" t="str">
        <f>TRIM(TTrainingSource[[#This Row],[EMPloyee_ID2]])</f>
        <v>EMP10464</v>
      </c>
      <c r="C958" t="str">
        <f>IFERROR(VLOOKUP(TTrainingSource[[#This Row],[Employee_ID]],THrList[],3,FALSE),"")</f>
        <v>FOURNIER</v>
      </c>
      <c r="D958" t="str">
        <f>IFERROR(VLOOKUP(TTrainingSource[[#This Row],[Employee_ID]],THrList[],4,FALSE),"")</f>
        <v>Akosua</v>
      </c>
      <c r="E958" t="str">
        <f>IFERROR(VLOOKUP(TTrainingSource[[#This Row],[Employee_ID]],THrList[],10,FALSE),"")</f>
        <v>Procurement</v>
      </c>
      <c r="F958" t="str">
        <f>TRIM(PROPER(TTrainingSource[[#This Row],[Training_Status2]]))</f>
        <v>Planned</v>
      </c>
      <c r="G958" t="s">
        <v>19</v>
      </c>
      <c r="H958" t="str">
        <f>TRIM(PROPER(TTrainingSource[[#This Row],[Training_Title2]]))</f>
        <v>Financial Modeling Basics</v>
      </c>
      <c r="I958" t="s">
        <v>38</v>
      </c>
      <c r="J958" s="1">
        <v>45275</v>
      </c>
      <c r="K958" t="s">
        <v>44</v>
      </c>
      <c r="L958" s="7">
        <v>4</v>
      </c>
      <c r="M958">
        <f>ROUND(TTrainingSource[[#This Row],[Satisfaction_Score2]],0)</f>
        <v>5</v>
      </c>
      <c r="N958">
        <v>4.8</v>
      </c>
    </row>
    <row r="959" spans="1:14" x14ac:dyDescent="0.3">
      <c r="A959" t="s">
        <v>660</v>
      </c>
      <c r="B959" t="str">
        <f>TRIM(TTrainingSource[[#This Row],[EMPloyee_ID2]])</f>
        <v>EMP10464</v>
      </c>
      <c r="C959" t="str">
        <f>IFERROR(VLOOKUP(TTrainingSource[[#This Row],[Employee_ID]],THrList[],3,FALSE),"")</f>
        <v>FOURNIER</v>
      </c>
      <c r="D959" t="str">
        <f>IFERROR(VLOOKUP(TTrainingSource[[#This Row],[Employee_ID]],THrList[],4,FALSE),"")</f>
        <v>Akosua</v>
      </c>
      <c r="E959" t="str">
        <f>IFERROR(VLOOKUP(TTrainingSource[[#This Row],[Employee_ID]],THrList[],10,FALSE),"")</f>
        <v>Procurement</v>
      </c>
      <c r="F959" t="str">
        <f>TRIM(PROPER(TTrainingSource[[#This Row],[Training_Status2]]))</f>
        <v>Completed</v>
      </c>
      <c r="G959" t="s">
        <v>17</v>
      </c>
      <c r="H959" t="str">
        <f>TRIM(PROPER(TTrainingSource[[#This Row],[Training_Title2]]))</f>
        <v>Data Visualization Best Practices</v>
      </c>
      <c r="I959" t="s">
        <v>20</v>
      </c>
      <c r="J959" s="1">
        <v>45924</v>
      </c>
      <c r="K959" t="s">
        <v>29</v>
      </c>
      <c r="L959" s="7">
        <v>4</v>
      </c>
      <c r="M959">
        <f>ROUND(TTrainingSource[[#This Row],[Satisfaction_Score2]],0)</f>
        <v>4</v>
      </c>
      <c r="N959">
        <v>3.5</v>
      </c>
    </row>
    <row r="960" spans="1:14" x14ac:dyDescent="0.3">
      <c r="A960" t="s">
        <v>370</v>
      </c>
      <c r="B960" t="str">
        <f>TRIM(TTrainingSource[[#This Row],[EMPloyee_ID2]])</f>
        <v>EMP10467</v>
      </c>
      <c r="C960" t="str">
        <f>IFERROR(VLOOKUP(TTrainingSource[[#This Row],[Employee_ID]],THrList[],3,FALSE),"")</f>
        <v>TOURE</v>
      </c>
      <c r="D960" t="str">
        <f>IFERROR(VLOOKUP(TTrainingSource[[#This Row],[Employee_ID]],THrList[],4,FALSE),"")</f>
        <v>Lucas</v>
      </c>
      <c r="E960" t="str">
        <f>IFERROR(VLOOKUP(TTrainingSource[[#This Row],[Employee_ID]],THrList[],10,FALSE),"")</f>
        <v>IT</v>
      </c>
      <c r="F960" t="str">
        <f>TRIM(PROPER(TTrainingSource[[#This Row],[Training_Status2]]))</f>
        <v>Completed</v>
      </c>
      <c r="G960" t="s">
        <v>17</v>
      </c>
      <c r="H960" t="str">
        <f>TRIM(PROPER(TTrainingSource[[#This Row],[Training_Title2]]))</f>
        <v>Customer Data Analysis</v>
      </c>
      <c r="I960" t="s">
        <v>31</v>
      </c>
      <c r="J960" s="1">
        <v>44820</v>
      </c>
      <c r="K960" t="s">
        <v>32</v>
      </c>
      <c r="L960" s="7">
        <v>8</v>
      </c>
      <c r="M960">
        <f>ROUND(TTrainingSource[[#This Row],[Satisfaction_Score2]],0)</f>
        <v>3</v>
      </c>
      <c r="N960">
        <v>2.5</v>
      </c>
    </row>
    <row r="961" spans="1:14" x14ac:dyDescent="0.3">
      <c r="A961" t="s">
        <v>370</v>
      </c>
      <c r="B961" t="str">
        <f>TRIM(TTrainingSource[[#This Row],[EMPloyee_ID2]])</f>
        <v>EMP10467</v>
      </c>
      <c r="C961" t="str">
        <f>IFERROR(VLOOKUP(TTrainingSource[[#This Row],[Employee_ID]],THrList[],3,FALSE),"")</f>
        <v>TOURE</v>
      </c>
      <c r="D961" t="str">
        <f>IFERROR(VLOOKUP(TTrainingSource[[#This Row],[Employee_ID]],THrList[],4,FALSE),"")</f>
        <v>Lucas</v>
      </c>
      <c r="E961" t="str">
        <f>IFERROR(VLOOKUP(TTrainingSource[[#This Row],[Employee_ID]],THrList[],10,FALSE),"")</f>
        <v>IT</v>
      </c>
      <c r="F961" t="str">
        <f>TRIM(PROPER(TTrainingSource[[#This Row],[Training_Status2]]))</f>
        <v>Completed</v>
      </c>
      <c r="G961" t="s">
        <v>17</v>
      </c>
      <c r="H961" t="str">
        <f>TRIM(PROPER(TTrainingSource[[#This Row],[Training_Title2]]))</f>
        <v>Project Management Essentials</v>
      </c>
      <c r="I961" t="s">
        <v>360</v>
      </c>
      <c r="J961" s="1">
        <v>45458</v>
      </c>
      <c r="K961" t="s">
        <v>98</v>
      </c>
      <c r="L961" s="7">
        <v>8</v>
      </c>
      <c r="M961">
        <f>ROUND(TTrainingSource[[#This Row],[Satisfaction_Score2]],0)</f>
        <v>5</v>
      </c>
      <c r="N961">
        <v>4.9000000000000004</v>
      </c>
    </row>
    <row r="962" spans="1:14" x14ac:dyDescent="0.3">
      <c r="A962" t="s">
        <v>711</v>
      </c>
      <c r="B962" t="str">
        <f>TRIM(TTrainingSource[[#This Row],[EMPloyee_ID2]])</f>
        <v>EMP10467</v>
      </c>
      <c r="C962" t="str">
        <f>IFERROR(VLOOKUP(TTrainingSource[[#This Row],[Employee_ID]],THrList[],3,FALSE),"")</f>
        <v>TOURE</v>
      </c>
      <c r="D962" t="str">
        <f>IFERROR(VLOOKUP(TTrainingSource[[#This Row],[Employee_ID]],THrList[],4,FALSE),"")</f>
        <v>Lucas</v>
      </c>
      <c r="E962" t="str">
        <f>IFERROR(VLOOKUP(TTrainingSource[[#This Row],[Employee_ID]],THrList[],10,FALSE),"")</f>
        <v>IT</v>
      </c>
      <c r="F962" t="str">
        <f>TRIM(PROPER(TTrainingSource[[#This Row],[Training_Status2]]))</f>
        <v>In Progress</v>
      </c>
      <c r="G962" t="s">
        <v>8</v>
      </c>
      <c r="H962" t="str">
        <f>TRIM(PROPER(TTrainingSource[[#This Row],[Training_Title2]]))</f>
        <v>Customer Data Analysis</v>
      </c>
      <c r="I962" t="s">
        <v>31</v>
      </c>
      <c r="J962" s="1">
        <v>45634</v>
      </c>
      <c r="K962" t="s">
        <v>98</v>
      </c>
      <c r="L962" s="7">
        <v>32</v>
      </c>
      <c r="M962">
        <f>ROUND(TTrainingSource[[#This Row],[Satisfaction_Score2]],0)</f>
        <v>3</v>
      </c>
      <c r="N962">
        <v>2.6</v>
      </c>
    </row>
    <row r="963" spans="1:14" x14ac:dyDescent="0.3">
      <c r="A963" t="s">
        <v>176</v>
      </c>
      <c r="B963" t="str">
        <f>TRIM(TTrainingSource[[#This Row],[EMPloyee_ID2]])</f>
        <v>EMP10468</v>
      </c>
      <c r="C963" t="str">
        <f>IFERROR(VLOOKUP(TTrainingSource[[#This Row],[Employee_ID]],THrList[],3,FALSE),"")</f>
        <v>SMITH</v>
      </c>
      <c r="D963" t="str">
        <f>IFERROR(VLOOKUP(TTrainingSource[[#This Row],[Employee_ID]],THrList[],4,FALSE),"")</f>
        <v>Nina</v>
      </c>
      <c r="E963" t="str">
        <f>IFERROR(VLOOKUP(TTrainingSource[[#This Row],[Employee_ID]],THrList[],10,FALSE),"")</f>
        <v>Finance</v>
      </c>
      <c r="F963" t="str">
        <f>TRIM(PROPER(TTrainingSource[[#This Row],[Training_Status2]]))</f>
        <v>Completed</v>
      </c>
      <c r="G963" t="s">
        <v>17</v>
      </c>
      <c r="H963" t="str">
        <f>TRIM(PROPER(TTrainingSource[[#This Row],[Training_Title2]]))</f>
        <v>Customer Data Analysis</v>
      </c>
      <c r="I963" t="s">
        <v>31</v>
      </c>
      <c r="J963" s="1">
        <v>44675</v>
      </c>
      <c r="K963" t="s">
        <v>46</v>
      </c>
      <c r="L963" s="7">
        <v>4</v>
      </c>
      <c r="M963">
        <f>ROUND(TTrainingSource[[#This Row],[Satisfaction_Score2]],0)</f>
        <v>4</v>
      </c>
      <c r="N963">
        <v>4.2</v>
      </c>
    </row>
    <row r="964" spans="1:14" x14ac:dyDescent="0.3">
      <c r="A964" t="s">
        <v>176</v>
      </c>
      <c r="B964" t="str">
        <f>TRIM(TTrainingSource[[#This Row],[EMPloyee_ID2]])</f>
        <v>EMP10468</v>
      </c>
      <c r="C964" t="str">
        <f>IFERROR(VLOOKUP(TTrainingSource[[#This Row],[Employee_ID]],THrList[],3,FALSE),"")</f>
        <v>SMITH</v>
      </c>
      <c r="D964" t="str">
        <f>IFERROR(VLOOKUP(TTrainingSource[[#This Row],[Employee_ID]],THrList[],4,FALSE),"")</f>
        <v>Nina</v>
      </c>
      <c r="E964" t="str">
        <f>IFERROR(VLOOKUP(TTrainingSource[[#This Row],[Employee_ID]],THrList[],10,FALSE),"")</f>
        <v>Finance</v>
      </c>
      <c r="F964" t="str">
        <f>TRIM(PROPER(TTrainingSource[[#This Row],[Training_Status2]]))</f>
        <v>Completed</v>
      </c>
      <c r="G964" t="s">
        <v>17</v>
      </c>
      <c r="H964" t="str">
        <f>TRIM(PROPER(TTrainingSource[[#This Row],[Training_Title2]]))</f>
        <v>Business Intelligence With Tableau</v>
      </c>
      <c r="I964" t="s">
        <v>22</v>
      </c>
      <c r="J964" s="1">
        <v>45918</v>
      </c>
      <c r="K964" t="s">
        <v>15</v>
      </c>
      <c r="L964" s="7">
        <v>8</v>
      </c>
      <c r="M964">
        <f>ROUND(TTrainingSource[[#This Row],[Satisfaction_Score2]],0)</f>
        <v>3</v>
      </c>
      <c r="N964">
        <v>3.2</v>
      </c>
    </row>
    <row r="965" spans="1:14" x14ac:dyDescent="0.3">
      <c r="A965" t="s">
        <v>594</v>
      </c>
      <c r="B965" t="str">
        <f>TRIM(TTrainingSource[[#This Row],[EMPloyee_ID2]])</f>
        <v>EMP10469</v>
      </c>
      <c r="C965" t="str">
        <f>IFERROR(VLOOKUP(TTrainingSource[[#This Row],[Employee_ID]],THrList[],3,FALSE),"")</f>
        <v>JONES</v>
      </c>
      <c r="D965" t="str">
        <f>IFERROR(VLOOKUP(TTrainingSource[[#This Row],[Employee_ID]],THrList[],4,FALSE),"")</f>
        <v>Julien</v>
      </c>
      <c r="E965" t="str">
        <f>IFERROR(VLOOKUP(TTrainingSource[[#This Row],[Employee_ID]],THrList[],10,FALSE),"")</f>
        <v>Sales</v>
      </c>
      <c r="F965" t="str">
        <f>TRIM(PROPER(TTrainingSource[[#This Row],[Training_Status2]]))</f>
        <v>Planned</v>
      </c>
      <c r="G965" t="s">
        <v>19</v>
      </c>
      <c r="H965" t="str">
        <f>TRIM(PROPER(TTrainingSource[[#This Row],[Training_Title2]]))</f>
        <v>Advanced Excel For Business</v>
      </c>
      <c r="I965" t="s">
        <v>52</v>
      </c>
      <c r="J965" s="1">
        <v>45845</v>
      </c>
      <c r="K965" t="s">
        <v>98</v>
      </c>
      <c r="L965" s="7">
        <v>16</v>
      </c>
      <c r="M965">
        <f>ROUND(TTrainingSource[[#This Row],[Satisfaction_Score2]],0)</f>
        <v>3</v>
      </c>
      <c r="N965">
        <v>3.3</v>
      </c>
    </row>
    <row r="966" spans="1:14" x14ac:dyDescent="0.3">
      <c r="A966" t="s">
        <v>594</v>
      </c>
      <c r="B966" t="str">
        <f>TRIM(TTrainingSource[[#This Row],[EMPloyee_ID2]])</f>
        <v>EMP10469</v>
      </c>
      <c r="C966" t="str">
        <f>IFERROR(VLOOKUP(TTrainingSource[[#This Row],[Employee_ID]],THrList[],3,FALSE),"")</f>
        <v>JONES</v>
      </c>
      <c r="D966" t="str">
        <f>IFERROR(VLOOKUP(TTrainingSource[[#This Row],[Employee_ID]],THrList[],4,FALSE),"")</f>
        <v>Julien</v>
      </c>
      <c r="E966" t="str">
        <f>IFERROR(VLOOKUP(TTrainingSource[[#This Row],[Employee_ID]],THrList[],10,FALSE),"")</f>
        <v>Sales</v>
      </c>
      <c r="F966" t="str">
        <f>TRIM(PROPER(TTrainingSource[[#This Row],[Training_Status2]]))</f>
        <v>Completed</v>
      </c>
      <c r="G966" t="s">
        <v>17</v>
      </c>
      <c r="H966" t="str">
        <f>TRIM(PROPER(TTrainingSource[[#This Row],[Training_Title2]]))</f>
        <v>Data Visualization Best Practices</v>
      </c>
      <c r="I966" t="s">
        <v>20</v>
      </c>
      <c r="J966" s="1">
        <v>44661</v>
      </c>
      <c r="K966" t="s">
        <v>44</v>
      </c>
      <c r="L966" s="7">
        <v>4</v>
      </c>
      <c r="M966">
        <f>ROUND(TTrainingSource[[#This Row],[Satisfaction_Score2]],0)</f>
        <v>5</v>
      </c>
      <c r="N966">
        <v>4.5999999999999996</v>
      </c>
    </row>
    <row r="967" spans="1:14" x14ac:dyDescent="0.3">
      <c r="A967" t="s">
        <v>594</v>
      </c>
      <c r="B967" t="str">
        <f>TRIM(TTrainingSource[[#This Row],[EMPloyee_ID2]])</f>
        <v>EMP10469</v>
      </c>
      <c r="C967" t="str">
        <f>IFERROR(VLOOKUP(TTrainingSource[[#This Row],[Employee_ID]],THrList[],3,FALSE),"")</f>
        <v>JONES</v>
      </c>
      <c r="D967" t="str">
        <f>IFERROR(VLOOKUP(TTrainingSource[[#This Row],[Employee_ID]],THrList[],4,FALSE),"")</f>
        <v>Julien</v>
      </c>
      <c r="E967" t="str">
        <f>IFERROR(VLOOKUP(TTrainingSource[[#This Row],[Employee_ID]],THrList[],10,FALSE),"")</f>
        <v>Sales</v>
      </c>
      <c r="F967" t="str">
        <f>TRIM(PROPER(TTrainingSource[[#This Row],[Training_Status2]]))</f>
        <v>Completed</v>
      </c>
      <c r="G967" t="s">
        <v>17</v>
      </c>
      <c r="H967" t="str">
        <f>TRIM(PROPER(TTrainingSource[[#This Row],[Training_Title2]]))</f>
        <v>Project Management Essentials</v>
      </c>
      <c r="I967" t="s">
        <v>14</v>
      </c>
      <c r="J967" s="1">
        <v>44759</v>
      </c>
      <c r="K967" t="s">
        <v>42</v>
      </c>
      <c r="L967" s="7">
        <v>8</v>
      </c>
      <c r="M967">
        <f>ROUND(TTrainingSource[[#This Row],[Satisfaction_Score2]],0)</f>
        <v>5</v>
      </c>
      <c r="N967">
        <v>4.9000000000000004</v>
      </c>
    </row>
    <row r="968" spans="1:14" x14ac:dyDescent="0.3">
      <c r="A968" t="s">
        <v>552</v>
      </c>
      <c r="B968" t="str">
        <f>TRIM(TTrainingSource[[#This Row],[EMPloyee_ID2]])</f>
        <v>EMP10470</v>
      </c>
      <c r="C968" t="str">
        <f>IFERROR(VLOOKUP(TTrainingSource[[#This Row],[Employee_ID]],THrList[],3,FALSE),"")</f>
        <v>NGUYEN</v>
      </c>
      <c r="D968" t="str">
        <f>IFERROR(VLOOKUP(TTrainingSource[[#This Row],[Employee_ID]],THrList[],4,FALSE),"")</f>
        <v>Henry</v>
      </c>
      <c r="E968" t="str">
        <f>IFERROR(VLOOKUP(TTrainingSource[[#This Row],[Employee_ID]],THrList[],10,FALSE),"")</f>
        <v>Operations</v>
      </c>
      <c r="F968" t="str">
        <f>TRIM(PROPER(TTrainingSource[[#This Row],[Training_Status2]]))</f>
        <v>Completed</v>
      </c>
      <c r="G968" t="s">
        <v>17</v>
      </c>
      <c r="H968" t="str">
        <f>TRIM(PROPER(TTrainingSource[[#This Row],[Training_Title2]]))</f>
        <v>Sql For Data Analytics</v>
      </c>
      <c r="I968" t="s">
        <v>26</v>
      </c>
      <c r="J968" s="1">
        <v>45128</v>
      </c>
      <c r="K968" t="s">
        <v>32</v>
      </c>
      <c r="L968" s="7">
        <v>16</v>
      </c>
      <c r="M968">
        <f>ROUND(TTrainingSource[[#This Row],[Satisfaction_Score2]],0)</f>
        <v>4</v>
      </c>
      <c r="N968">
        <v>3.5</v>
      </c>
    </row>
    <row r="969" spans="1:14" x14ac:dyDescent="0.3">
      <c r="A969" t="s">
        <v>552</v>
      </c>
      <c r="B969" t="str">
        <f>TRIM(TTrainingSource[[#This Row],[EMPloyee_ID2]])</f>
        <v>EMP10470</v>
      </c>
      <c r="C969" t="str">
        <f>IFERROR(VLOOKUP(TTrainingSource[[#This Row],[Employee_ID]],THrList[],3,FALSE),"")</f>
        <v>NGUYEN</v>
      </c>
      <c r="D969" t="str">
        <f>IFERROR(VLOOKUP(TTrainingSource[[#This Row],[Employee_ID]],THrList[],4,FALSE),"")</f>
        <v>Henry</v>
      </c>
      <c r="E969" t="str">
        <f>IFERROR(VLOOKUP(TTrainingSource[[#This Row],[Employee_ID]],THrList[],10,FALSE),"")</f>
        <v>Operations</v>
      </c>
      <c r="F969" t="str">
        <f>TRIM(PROPER(TTrainingSource[[#This Row],[Training_Status2]]))</f>
        <v>Completed</v>
      </c>
      <c r="G969" t="s">
        <v>69</v>
      </c>
      <c r="H969" t="str">
        <f>TRIM(PROPER(TTrainingSource[[#This Row],[Training_Title2]]))</f>
        <v>Power Bi Reporting</v>
      </c>
      <c r="I969" t="s">
        <v>24</v>
      </c>
      <c r="J969" s="1">
        <v>45178</v>
      </c>
      <c r="K969" t="s">
        <v>32</v>
      </c>
      <c r="L969" s="7">
        <v>20</v>
      </c>
      <c r="M969">
        <f>ROUND(TTrainingSource[[#This Row],[Satisfaction_Score2]],0)</f>
        <v>3</v>
      </c>
      <c r="N969">
        <v>2.6</v>
      </c>
    </row>
    <row r="970" spans="1:14" x14ac:dyDescent="0.3">
      <c r="A970" t="s">
        <v>576</v>
      </c>
      <c r="B970" t="str">
        <f>TRIM(TTrainingSource[[#This Row],[EMPloyee_ID2]])</f>
        <v>EMP10471</v>
      </c>
      <c r="C970" t="str">
        <f>IFERROR(VLOOKUP(TTrainingSource[[#This Row],[Employee_ID]],THrList[],3,FALSE),"")</f>
        <v>WILSON</v>
      </c>
      <c r="D970" t="str">
        <f>IFERROR(VLOOKUP(TTrainingSource[[#This Row],[Employee_ID]],THrList[],4,FALSE),"")</f>
        <v>Binta</v>
      </c>
      <c r="E970" t="str">
        <f>IFERROR(VLOOKUP(TTrainingSource[[#This Row],[Employee_ID]],THrList[],10,FALSE),"")</f>
        <v>Compliance</v>
      </c>
      <c r="F970" t="str">
        <f>TRIM(PROPER(TTrainingSource[[#This Row],[Training_Status2]]))</f>
        <v>Completed</v>
      </c>
      <c r="G970" t="s">
        <v>17</v>
      </c>
      <c r="H970" t="str">
        <f>TRIM(PROPER(TTrainingSource[[#This Row],[Training_Title2]]))</f>
        <v>Customer Data Analysis</v>
      </c>
      <c r="I970" t="s">
        <v>31</v>
      </c>
      <c r="J970" s="1">
        <v>44573</v>
      </c>
      <c r="K970" t="s">
        <v>32</v>
      </c>
      <c r="L970" s="7">
        <v>20</v>
      </c>
      <c r="M970">
        <f>ROUND(TTrainingSource[[#This Row],[Satisfaction_Score2]],0)</f>
        <v>4</v>
      </c>
      <c r="N970">
        <v>3.9</v>
      </c>
    </row>
    <row r="971" spans="1:14" x14ac:dyDescent="0.3">
      <c r="A971" t="s">
        <v>276</v>
      </c>
      <c r="B971" t="str">
        <f>TRIM(TTrainingSource[[#This Row],[EMPloyee_ID2]])</f>
        <v>EMP10472</v>
      </c>
      <c r="C971" t="str">
        <f>IFERROR(VLOOKUP(TTrainingSource[[#This Row],[Employee_ID]],THrList[],3,FALSE),"")</f>
        <v>MARTIN</v>
      </c>
      <c r="D971" t="str">
        <f>IFERROR(VLOOKUP(TTrainingSource[[#This Row],[Employee_ID]],THrList[],4,FALSE),"")</f>
        <v>Ngozi</v>
      </c>
      <c r="E971" t="str">
        <f>IFERROR(VLOOKUP(TTrainingSource[[#This Row],[Employee_ID]],THrList[],10,FALSE),"")</f>
        <v>Marketing</v>
      </c>
      <c r="F971" t="str">
        <f>TRIM(PROPER(TTrainingSource[[#This Row],[Training_Status2]]))</f>
        <v>In Progress</v>
      </c>
      <c r="G971" t="s">
        <v>8</v>
      </c>
      <c r="H971" t="str">
        <f>TRIM(PROPER(TTrainingSource[[#This Row],[Training_Title2]]))</f>
        <v>Sql For Data Analytics</v>
      </c>
      <c r="I971" t="s">
        <v>277</v>
      </c>
      <c r="J971" s="1">
        <v>45611</v>
      </c>
      <c r="K971" t="s">
        <v>42</v>
      </c>
      <c r="L971" s="7">
        <v>32</v>
      </c>
      <c r="M971">
        <f>ROUND(TTrainingSource[[#This Row],[Satisfaction_Score2]],0)</f>
        <v>3</v>
      </c>
      <c r="N971">
        <v>3.4</v>
      </c>
    </row>
    <row r="972" spans="1:14" x14ac:dyDescent="0.3">
      <c r="A972" t="s">
        <v>276</v>
      </c>
      <c r="B972" t="str">
        <f>TRIM(TTrainingSource[[#This Row],[EMPloyee_ID2]])</f>
        <v>EMP10472</v>
      </c>
      <c r="C972" t="str">
        <f>IFERROR(VLOOKUP(TTrainingSource[[#This Row],[Employee_ID]],THrList[],3,FALSE),"")</f>
        <v>MARTIN</v>
      </c>
      <c r="D972" t="str">
        <f>IFERROR(VLOOKUP(TTrainingSource[[#This Row],[Employee_ID]],THrList[],4,FALSE),"")</f>
        <v>Ngozi</v>
      </c>
      <c r="E972" t="str">
        <f>IFERROR(VLOOKUP(TTrainingSource[[#This Row],[Employee_ID]],THrList[],10,FALSE),"")</f>
        <v>Marketing</v>
      </c>
      <c r="F972" t="str">
        <f>TRIM(PROPER(TTrainingSource[[#This Row],[Training_Status2]]))</f>
        <v>In Progress</v>
      </c>
      <c r="G972" t="s">
        <v>8</v>
      </c>
      <c r="H972" t="str">
        <f>TRIM(PROPER(TTrainingSource[[#This Row],[Training_Title2]]))</f>
        <v>Advanced Excel For Business</v>
      </c>
      <c r="I972" t="s">
        <v>282</v>
      </c>
      <c r="J972" s="1">
        <v>45436</v>
      </c>
      <c r="K972" t="s">
        <v>44</v>
      </c>
      <c r="L972" s="7">
        <v>20</v>
      </c>
      <c r="M972">
        <f>ROUND(TTrainingSource[[#This Row],[Satisfaction_Score2]],0)</f>
        <v>3</v>
      </c>
      <c r="N972">
        <v>2.5</v>
      </c>
    </row>
    <row r="973" spans="1:14" x14ac:dyDescent="0.3">
      <c r="A973" t="s">
        <v>276</v>
      </c>
      <c r="B973" t="str">
        <f>TRIM(TTrainingSource[[#This Row],[EMPloyee_ID2]])</f>
        <v>EMP10472</v>
      </c>
      <c r="C973" t="str">
        <f>IFERROR(VLOOKUP(TTrainingSource[[#This Row],[Employee_ID]],THrList[],3,FALSE),"")</f>
        <v>MARTIN</v>
      </c>
      <c r="D973" t="str">
        <f>IFERROR(VLOOKUP(TTrainingSource[[#This Row],[Employee_ID]],THrList[],4,FALSE),"")</f>
        <v>Ngozi</v>
      </c>
      <c r="E973" t="str">
        <f>IFERROR(VLOOKUP(TTrainingSource[[#This Row],[Employee_ID]],THrList[],10,FALSE),"")</f>
        <v>Marketing</v>
      </c>
      <c r="F973" t="str">
        <f>TRIM(PROPER(TTrainingSource[[#This Row],[Training_Status2]]))</f>
        <v>Completed</v>
      </c>
      <c r="G973" t="s">
        <v>35</v>
      </c>
      <c r="H973" t="str">
        <f>TRIM(PROPER(TTrainingSource[[#This Row],[Training_Title2]]))</f>
        <v>Financial Modeling Basics</v>
      </c>
      <c r="I973" t="s">
        <v>38</v>
      </c>
      <c r="J973" s="1">
        <v>44658</v>
      </c>
      <c r="K973" t="s">
        <v>29</v>
      </c>
      <c r="L973" s="7">
        <v>6</v>
      </c>
      <c r="M973">
        <f>ROUND(TTrainingSource[[#This Row],[Satisfaction_Score2]],0)</f>
        <v>3</v>
      </c>
      <c r="N973">
        <v>3.3</v>
      </c>
    </row>
    <row r="974" spans="1:14" x14ac:dyDescent="0.3">
      <c r="A974" t="s">
        <v>609</v>
      </c>
      <c r="B974" t="str">
        <f>TRIM(TTrainingSource[[#This Row],[EMPloyee_ID2]])</f>
        <v>EMP10473</v>
      </c>
      <c r="C974" t="str">
        <f>IFERROR(VLOOKUP(TTrainingSource[[#This Row],[Employee_ID]],THrList[],3,FALSE),"")</f>
        <v>NGUYEN</v>
      </c>
      <c r="D974" t="str">
        <f>IFERROR(VLOOKUP(TTrainingSource[[#This Row],[Employee_ID]],THrList[],4,FALSE),"")</f>
        <v>Amina</v>
      </c>
      <c r="E974" t="str">
        <f>IFERROR(VLOOKUP(TTrainingSource[[#This Row],[Employee_ID]],THrList[],10,FALSE),"")</f>
        <v>IT</v>
      </c>
      <c r="F974" t="str">
        <f>TRIM(PROPER(TTrainingSource[[#This Row],[Training_Status2]]))</f>
        <v>Planned</v>
      </c>
      <c r="G974" t="s">
        <v>19</v>
      </c>
      <c r="H974" t="str">
        <f>TRIM(PROPER(TTrainingSource[[#This Row],[Training_Title2]]))</f>
        <v>Digital Marketing Strategy</v>
      </c>
      <c r="I974" t="s">
        <v>43</v>
      </c>
      <c r="J974" s="1">
        <v>44875</v>
      </c>
      <c r="K974" t="s">
        <v>71</v>
      </c>
      <c r="L974" s="7">
        <v>32</v>
      </c>
      <c r="M974">
        <f>ROUND(TTrainingSource[[#This Row],[Satisfaction_Score2]],0)</f>
        <v>4</v>
      </c>
      <c r="N974">
        <v>4.4000000000000004</v>
      </c>
    </row>
    <row r="975" spans="1:14" x14ac:dyDescent="0.3">
      <c r="A975" t="s">
        <v>609</v>
      </c>
      <c r="B975" t="str">
        <f>TRIM(TTrainingSource[[#This Row],[EMPloyee_ID2]])</f>
        <v>EMP10473</v>
      </c>
      <c r="C975" t="str">
        <f>IFERROR(VLOOKUP(TTrainingSource[[#This Row],[Employee_ID]],THrList[],3,FALSE),"")</f>
        <v>NGUYEN</v>
      </c>
      <c r="D975" t="str">
        <f>IFERROR(VLOOKUP(TTrainingSource[[#This Row],[Employee_ID]],THrList[],4,FALSE),"")</f>
        <v>Amina</v>
      </c>
      <c r="E975" t="str">
        <f>IFERROR(VLOOKUP(TTrainingSource[[#This Row],[Employee_ID]],THrList[],10,FALSE),"")</f>
        <v>IT</v>
      </c>
      <c r="F975" t="str">
        <f>TRIM(PROPER(TTrainingSource[[#This Row],[Training_Status2]]))</f>
        <v>In Progress</v>
      </c>
      <c r="G975" t="s">
        <v>8</v>
      </c>
      <c r="H975" t="str">
        <f>TRIM(PROPER(TTrainingSource[[#This Row],[Training_Title2]]))</f>
        <v>Financial Modeling Basics</v>
      </c>
      <c r="I975" t="s">
        <v>38</v>
      </c>
      <c r="J975" s="1">
        <v>45537</v>
      </c>
      <c r="K975" t="s">
        <v>29</v>
      </c>
      <c r="L975" s="7">
        <v>24</v>
      </c>
      <c r="M975">
        <f>ROUND(TTrainingSource[[#This Row],[Satisfaction_Score2]],0)</f>
        <v>3</v>
      </c>
      <c r="N975">
        <v>2.5</v>
      </c>
    </row>
    <row r="976" spans="1:14" x14ac:dyDescent="0.3">
      <c r="A976" t="s">
        <v>293</v>
      </c>
      <c r="B976" t="str">
        <f>TRIM(TTrainingSource[[#This Row],[EMPloyee_ID2]])</f>
        <v>EMP10475</v>
      </c>
      <c r="C976" t="str">
        <f>IFERROR(VLOOKUP(TTrainingSource[[#This Row],[Employee_ID]],THrList[],3,FALSE),"")</f>
        <v>JACKSON</v>
      </c>
      <c r="D976" t="str">
        <f>IFERROR(VLOOKUP(TTrainingSource[[#This Row],[Employee_ID]],THrList[],4,FALSE),"")</f>
        <v xml:space="preserve"> Abigail</v>
      </c>
      <c r="E976" t="str">
        <f>IFERROR(VLOOKUP(TTrainingSource[[#This Row],[Employee_ID]],THrList[],10,FALSE),"")</f>
        <v>Finance</v>
      </c>
      <c r="F976" t="str">
        <f>TRIM(PROPER(TTrainingSource[[#This Row],[Training_Status2]]))</f>
        <v>Completed</v>
      </c>
      <c r="G976" t="s">
        <v>17</v>
      </c>
      <c r="H976" t="str">
        <f>TRIM(PROPER(TTrainingSource[[#This Row],[Training_Title2]]))</f>
        <v>Customer Data Analysis</v>
      </c>
      <c r="I976" t="s">
        <v>31</v>
      </c>
      <c r="J976" s="1">
        <v>44595</v>
      </c>
      <c r="K976" t="s">
        <v>29</v>
      </c>
      <c r="L976" s="7">
        <v>40</v>
      </c>
      <c r="M976">
        <f>ROUND(TTrainingSource[[#This Row],[Satisfaction_Score2]],0)</f>
        <v>5</v>
      </c>
      <c r="N976">
        <v>4.5999999999999996</v>
      </c>
    </row>
    <row r="977" spans="1:14" x14ac:dyDescent="0.3">
      <c r="A977" t="s">
        <v>720</v>
      </c>
      <c r="B977" t="str">
        <f>TRIM(TTrainingSource[[#This Row],[EMPloyee_ID2]])</f>
        <v>EMP10477</v>
      </c>
      <c r="C977" t="str">
        <f>IFERROR(VLOOKUP(TTrainingSource[[#This Row],[Employee_ID]],THrList[],3,FALSE),"")</f>
        <v>MILLER</v>
      </c>
      <c r="D977" t="str">
        <f>IFERROR(VLOOKUP(TTrainingSource[[#This Row],[Employee_ID]],THrList[],4,FALSE),"")</f>
        <v>Layla</v>
      </c>
      <c r="E977" t="str">
        <f>IFERROR(VLOOKUP(TTrainingSource[[#This Row],[Employee_ID]],THrList[],10,FALSE),"")</f>
        <v>Customer Support</v>
      </c>
      <c r="F977" t="str">
        <f>TRIM(PROPER(TTrainingSource[[#This Row],[Training_Status2]]))</f>
        <v>Completed</v>
      </c>
      <c r="G977" t="s">
        <v>17</v>
      </c>
      <c r="H977" t="str">
        <f>TRIM(PROPER(TTrainingSource[[#This Row],[Training_Title2]]))</f>
        <v>Business Intelligence With Tableau</v>
      </c>
      <c r="I977" t="s">
        <v>22</v>
      </c>
      <c r="J977" s="1">
        <v>45274</v>
      </c>
      <c r="K977" t="s">
        <v>98</v>
      </c>
      <c r="L977" s="7">
        <v>4</v>
      </c>
      <c r="M977">
        <f>ROUND(TTrainingSource[[#This Row],[Satisfaction_Score2]],0)</f>
        <v>4</v>
      </c>
      <c r="N977">
        <v>3.6</v>
      </c>
    </row>
    <row r="978" spans="1:14" x14ac:dyDescent="0.3">
      <c r="A978" t="s">
        <v>720</v>
      </c>
      <c r="B978" t="str">
        <f>TRIM(TTrainingSource[[#This Row],[EMPloyee_ID2]])</f>
        <v>EMP10477</v>
      </c>
      <c r="C978" t="str">
        <f>IFERROR(VLOOKUP(TTrainingSource[[#This Row],[Employee_ID]],THrList[],3,FALSE),"")</f>
        <v>MILLER</v>
      </c>
      <c r="D978" t="str">
        <f>IFERROR(VLOOKUP(TTrainingSource[[#This Row],[Employee_ID]],THrList[],4,FALSE),"")</f>
        <v>Layla</v>
      </c>
      <c r="E978" t="str">
        <f>IFERROR(VLOOKUP(TTrainingSource[[#This Row],[Employee_ID]],THrList[],10,FALSE),"")</f>
        <v>Customer Support</v>
      </c>
      <c r="F978" t="str">
        <f>TRIM(PROPER(TTrainingSource[[#This Row],[Training_Status2]]))</f>
        <v>In Progress</v>
      </c>
      <c r="G978" t="s">
        <v>8</v>
      </c>
      <c r="H978" t="str">
        <f>TRIM(PROPER(TTrainingSource[[#This Row],[Training_Title2]]))</f>
        <v>Advanced Excel For Business</v>
      </c>
      <c r="I978" t="s">
        <v>52</v>
      </c>
      <c r="J978" s="1">
        <v>44990</v>
      </c>
      <c r="K978" t="s">
        <v>71</v>
      </c>
      <c r="L978" s="7">
        <v>12</v>
      </c>
      <c r="M978">
        <f>ROUND(TTrainingSource[[#This Row],[Satisfaction_Score2]],0)</f>
        <v>4</v>
      </c>
      <c r="N978">
        <v>3.5</v>
      </c>
    </row>
    <row r="979" spans="1:14" x14ac:dyDescent="0.3">
      <c r="A979" t="s">
        <v>190</v>
      </c>
      <c r="B979" t="str">
        <f>TRIM(TTrainingSource[[#This Row],[EMPloyee_ID2]])</f>
        <v>EMP10479</v>
      </c>
      <c r="C979" t="str">
        <f>IFERROR(VLOOKUP(TTrainingSource[[#This Row],[Employee_ID]],THrList[],3,FALSE),"")</f>
        <v>MOREAU</v>
      </c>
      <c r="D979" t="str">
        <f>IFERROR(VLOOKUP(TTrainingSource[[#This Row],[Employee_ID]],THrList[],4,FALSE),"")</f>
        <v>Nina</v>
      </c>
      <c r="E979" t="str">
        <f>IFERROR(VLOOKUP(TTrainingSource[[#This Row],[Employee_ID]],THrList[],10,FALSE),"")</f>
        <v>N/A</v>
      </c>
      <c r="F979" t="str">
        <f>TRIM(PROPER(TTrainingSource[[#This Row],[Training_Status2]]))</f>
        <v>Completed</v>
      </c>
      <c r="G979" t="s">
        <v>17</v>
      </c>
      <c r="H979" t="str">
        <f>TRIM(PROPER(TTrainingSource[[#This Row],[Training_Title2]]))</f>
        <v>Sql For Data Analytics</v>
      </c>
      <c r="I979" t="s">
        <v>26</v>
      </c>
      <c r="J979" s="1">
        <v>44902</v>
      </c>
      <c r="K979" t="s">
        <v>46</v>
      </c>
      <c r="L979" s="7">
        <v>12</v>
      </c>
      <c r="M979">
        <f>ROUND(TTrainingSource[[#This Row],[Satisfaction_Score2]],0)</f>
        <v>3</v>
      </c>
      <c r="N979">
        <v>3.2</v>
      </c>
    </row>
    <row r="980" spans="1:14" x14ac:dyDescent="0.3">
      <c r="A980" t="s">
        <v>190</v>
      </c>
      <c r="B980" t="str">
        <f>TRIM(TTrainingSource[[#This Row],[EMPloyee_ID2]])</f>
        <v>EMP10479</v>
      </c>
      <c r="C980" t="str">
        <f>IFERROR(VLOOKUP(TTrainingSource[[#This Row],[Employee_ID]],THrList[],3,FALSE),"")</f>
        <v>MOREAU</v>
      </c>
      <c r="D980" t="str">
        <f>IFERROR(VLOOKUP(TTrainingSource[[#This Row],[Employee_ID]],THrList[],4,FALSE),"")</f>
        <v>Nina</v>
      </c>
      <c r="E980" t="str">
        <f>IFERROR(VLOOKUP(TTrainingSource[[#This Row],[Employee_ID]],THrList[],10,FALSE),"")</f>
        <v>N/A</v>
      </c>
      <c r="F980" t="str">
        <f>TRIM(PROPER(TTrainingSource[[#This Row],[Training_Status2]]))</f>
        <v>In Progress</v>
      </c>
      <c r="G980" t="s">
        <v>8</v>
      </c>
      <c r="H980" t="str">
        <f>TRIM(PROPER(TTrainingSource[[#This Row],[Training_Title2]]))</f>
        <v>Business Intelligence With Tableau</v>
      </c>
      <c r="I980" t="s">
        <v>22</v>
      </c>
      <c r="J980" s="1">
        <v>44949</v>
      </c>
      <c r="K980" t="s">
        <v>46</v>
      </c>
      <c r="L980" s="7">
        <v>6</v>
      </c>
      <c r="M980">
        <f>ROUND(TTrainingSource[[#This Row],[Satisfaction_Score2]],0)</f>
        <v>3</v>
      </c>
      <c r="N980">
        <v>2.9</v>
      </c>
    </row>
    <row r="981" spans="1:14" x14ac:dyDescent="0.3">
      <c r="A981" t="s">
        <v>323</v>
      </c>
      <c r="B981" t="str">
        <f>TRIM(TTrainingSource[[#This Row],[EMPloyee_ID2]])</f>
        <v>EMP10481</v>
      </c>
      <c r="C981" t="str">
        <f>IFERROR(VLOOKUP(TTrainingSource[[#This Row],[Employee_ID]],THrList[],3,FALSE),"")</f>
        <v>KONE</v>
      </c>
      <c r="D981" t="str">
        <f>IFERROR(VLOOKUP(TTrainingSource[[#This Row],[Employee_ID]],THrList[],4,FALSE),"")</f>
        <v>Amelia</v>
      </c>
      <c r="E981" t="str">
        <f>IFERROR(VLOOKUP(TTrainingSource[[#This Row],[Employee_ID]],THrList[],10,FALSE),"")</f>
        <v>Sales</v>
      </c>
      <c r="F981" t="str">
        <f>TRIM(PROPER(TTrainingSource[[#This Row],[Training_Status2]]))</f>
        <v>Completed</v>
      </c>
      <c r="G981" t="s">
        <v>17</v>
      </c>
      <c r="H981" t="str">
        <f>TRIM(PROPER(TTrainingSource[[#This Row],[Training_Title2]]))</f>
        <v>Customer Data Analysis</v>
      </c>
      <c r="I981" t="s">
        <v>31</v>
      </c>
      <c r="J981" s="1">
        <v>45672</v>
      </c>
      <c r="K981" t="s">
        <v>44</v>
      </c>
      <c r="L981" s="7">
        <v>40</v>
      </c>
      <c r="M981">
        <f>ROUND(TTrainingSource[[#This Row],[Satisfaction_Score2]],0)</f>
        <v>5</v>
      </c>
      <c r="N981">
        <v>4.9000000000000004</v>
      </c>
    </row>
    <row r="982" spans="1:14" x14ac:dyDescent="0.3">
      <c r="A982" t="s">
        <v>185</v>
      </c>
      <c r="B982" t="str">
        <f>TRIM(TTrainingSource[[#This Row],[EMPloyee_ID2]])</f>
        <v>EMP10482</v>
      </c>
      <c r="C982" t="str">
        <f>IFERROR(VLOOKUP(TTrainingSource[[#This Row],[Employee_ID]],THrList[],3,FALSE),"")</f>
        <v>CAMARA</v>
      </c>
      <c r="D982" t="str">
        <f>IFERROR(VLOOKUP(TTrainingSource[[#This Row],[Employee_ID]],THrList[],4,FALSE),"")</f>
        <v>Noah</v>
      </c>
      <c r="E982" t="str">
        <f>IFERROR(VLOOKUP(TTrainingSource[[#This Row],[Employee_ID]],THrList[],10,FALSE),"")</f>
        <v>Marketing</v>
      </c>
      <c r="F982" t="str">
        <f>TRIM(PROPER(TTrainingSource[[#This Row],[Training_Status2]]))</f>
        <v>In Progress</v>
      </c>
      <c r="G982" t="s">
        <v>8</v>
      </c>
      <c r="H982" t="str">
        <f>TRIM(PROPER(TTrainingSource[[#This Row],[Training_Title2]]))</f>
        <v>Communication For Analysts</v>
      </c>
      <c r="I982" t="s">
        <v>28</v>
      </c>
      <c r="J982" s="1">
        <v>45612</v>
      </c>
      <c r="K982" t="s">
        <v>12</v>
      </c>
      <c r="L982" s="7">
        <v>40</v>
      </c>
      <c r="M982">
        <f>ROUND(TTrainingSource[[#This Row],[Satisfaction_Score2]],0)</f>
        <v>3</v>
      </c>
      <c r="N982">
        <v>3.4</v>
      </c>
    </row>
    <row r="983" spans="1:14" x14ac:dyDescent="0.3">
      <c r="A983" t="s">
        <v>185</v>
      </c>
      <c r="B983" t="str">
        <f>TRIM(TTrainingSource[[#This Row],[EMPloyee_ID2]])</f>
        <v>EMP10482</v>
      </c>
      <c r="C983" t="str">
        <f>IFERROR(VLOOKUP(TTrainingSource[[#This Row],[Employee_ID]],THrList[],3,FALSE),"")</f>
        <v>CAMARA</v>
      </c>
      <c r="D983" t="str">
        <f>IFERROR(VLOOKUP(TTrainingSource[[#This Row],[Employee_ID]],THrList[],4,FALSE),"")</f>
        <v>Noah</v>
      </c>
      <c r="E983" t="str">
        <f>IFERROR(VLOOKUP(TTrainingSource[[#This Row],[Employee_ID]],THrList[],10,FALSE),"")</f>
        <v>Marketing</v>
      </c>
      <c r="F983" t="str">
        <f>TRIM(PROPER(TTrainingSource[[#This Row],[Training_Status2]]))</f>
        <v>In Progress</v>
      </c>
      <c r="G983" t="s">
        <v>8</v>
      </c>
      <c r="H983" t="str">
        <f>TRIM(PROPER(TTrainingSource[[#This Row],[Training_Title2]]))</f>
        <v>Power Bi Reporting</v>
      </c>
      <c r="I983" t="s">
        <v>24</v>
      </c>
      <c r="J983" s="1">
        <v>44736</v>
      </c>
      <c r="K983" t="s">
        <v>46</v>
      </c>
      <c r="L983" s="7">
        <v>8</v>
      </c>
      <c r="M983">
        <f>ROUND(TTrainingSource[[#This Row],[Satisfaction_Score2]],0)</f>
        <v>5</v>
      </c>
      <c r="N983">
        <v>4.9000000000000004</v>
      </c>
    </row>
    <row r="984" spans="1:14" x14ac:dyDescent="0.3">
      <c r="A984" t="s">
        <v>201</v>
      </c>
      <c r="B984" t="str">
        <f>TRIM(TTrainingSource[[#This Row],[EMPloyee_ID2]])</f>
        <v>EMP10483</v>
      </c>
      <c r="C984" t="str">
        <f>IFERROR(VLOOKUP(TTrainingSource[[#This Row],[Employee_ID]],THrList[],3,FALSE),"")</f>
        <v>NGUYEN</v>
      </c>
      <c r="D984" t="str">
        <f>IFERROR(VLOOKUP(TTrainingSource[[#This Row],[Employee_ID]],THrList[],4,FALSE),"")</f>
        <v>Ngozi</v>
      </c>
      <c r="E984" t="str">
        <f>IFERROR(VLOOKUP(TTrainingSource[[#This Row],[Employee_ID]],THrList[],10,FALSE),"")</f>
        <v>Procurement</v>
      </c>
      <c r="F984" t="str">
        <f>TRIM(PROPER(TTrainingSource[[#This Row],[Training_Status2]]))</f>
        <v>Completed</v>
      </c>
      <c r="G984" t="s">
        <v>17</v>
      </c>
      <c r="H984" t="str">
        <f>TRIM(PROPER(TTrainingSource[[#This Row],[Training_Title2]]))</f>
        <v>Power Bi Reporting</v>
      </c>
      <c r="I984" t="s">
        <v>24</v>
      </c>
      <c r="J984" s="1">
        <v>45010</v>
      </c>
      <c r="K984" t="s">
        <v>39</v>
      </c>
      <c r="L984" s="7">
        <v>4</v>
      </c>
      <c r="M984">
        <f>ROUND(TTrainingSource[[#This Row],[Satisfaction_Score2]],0)</f>
        <v>5</v>
      </c>
      <c r="N984">
        <v>4.5999999999999996</v>
      </c>
    </row>
    <row r="985" spans="1:14" x14ac:dyDescent="0.3">
      <c r="A985" t="s">
        <v>663</v>
      </c>
      <c r="B985" t="str">
        <f>TRIM(TTrainingSource[[#This Row],[EMPloyee_ID2]])</f>
        <v>EMP10483</v>
      </c>
      <c r="C985" t="str">
        <f>IFERROR(VLOOKUP(TTrainingSource[[#This Row],[Employee_ID]],THrList[],3,FALSE),"")</f>
        <v>NGUYEN</v>
      </c>
      <c r="D985" t="str">
        <f>IFERROR(VLOOKUP(TTrainingSource[[#This Row],[Employee_ID]],THrList[],4,FALSE),"")</f>
        <v>Ngozi</v>
      </c>
      <c r="E985" t="str">
        <f>IFERROR(VLOOKUP(TTrainingSource[[#This Row],[Employee_ID]],THrList[],10,FALSE),"")</f>
        <v>Procurement</v>
      </c>
      <c r="F985" t="str">
        <f>TRIM(PROPER(TTrainingSource[[#This Row],[Training_Status2]]))</f>
        <v>Planned</v>
      </c>
      <c r="G985" t="s">
        <v>19</v>
      </c>
      <c r="H985" t="str">
        <f>TRIM(PROPER(TTrainingSource[[#This Row],[Training_Title2]]))</f>
        <v>Sql For Data Analytics</v>
      </c>
      <c r="I985" t="s">
        <v>26</v>
      </c>
      <c r="J985" s="1">
        <v>44874</v>
      </c>
      <c r="K985" t="s">
        <v>32</v>
      </c>
      <c r="L985" s="7">
        <v>40</v>
      </c>
      <c r="M985">
        <f>ROUND(TTrainingSource[[#This Row],[Satisfaction_Score2]],0)</f>
        <v>4</v>
      </c>
      <c r="N985">
        <v>4</v>
      </c>
    </row>
    <row r="986" spans="1:14" x14ac:dyDescent="0.3">
      <c r="A986" t="s">
        <v>201</v>
      </c>
      <c r="B986" t="str">
        <f>TRIM(TTrainingSource[[#This Row],[EMPloyee_ID2]])</f>
        <v>EMP10483</v>
      </c>
      <c r="C986" t="str">
        <f>IFERROR(VLOOKUP(TTrainingSource[[#This Row],[Employee_ID]],THrList[],3,FALSE),"")</f>
        <v>NGUYEN</v>
      </c>
      <c r="D986" t="str">
        <f>IFERROR(VLOOKUP(TTrainingSource[[#This Row],[Employee_ID]],THrList[],4,FALSE),"")</f>
        <v>Ngozi</v>
      </c>
      <c r="E986" t="str">
        <f>IFERROR(VLOOKUP(TTrainingSource[[#This Row],[Employee_ID]],THrList[],10,FALSE),"")</f>
        <v>Procurement</v>
      </c>
      <c r="F986" t="str">
        <f>TRIM(PROPER(TTrainingSource[[#This Row],[Training_Status2]]))</f>
        <v>Planned</v>
      </c>
      <c r="G986" t="s">
        <v>19</v>
      </c>
      <c r="H986" t="str">
        <f>TRIM(PROPER(TTrainingSource[[#This Row],[Training_Title2]]))</f>
        <v>Data Analysis Fundamentals</v>
      </c>
      <c r="I986" t="s">
        <v>9</v>
      </c>
      <c r="J986" s="1">
        <v>44595</v>
      </c>
      <c r="K986" t="s">
        <v>46</v>
      </c>
      <c r="L986" s="7">
        <v>24</v>
      </c>
      <c r="M986">
        <f>ROUND(TTrainingSource[[#This Row],[Satisfaction_Score2]],0)</f>
        <v>3</v>
      </c>
      <c r="N986">
        <v>2.6</v>
      </c>
    </row>
    <row r="987" spans="1:14" x14ac:dyDescent="0.3">
      <c r="A987" t="s">
        <v>388</v>
      </c>
      <c r="B987" t="str">
        <f>TRIM(TTrainingSource[[#This Row],[EMPloyee_ID2]])</f>
        <v>EMP10484</v>
      </c>
      <c r="C987" t="str">
        <f>IFERROR(VLOOKUP(TTrainingSource[[#This Row],[Employee_ID]],THrList[],3,FALSE),"")</f>
        <v>CHEN</v>
      </c>
      <c r="D987" t="str">
        <f>IFERROR(VLOOKUP(TTrainingSource[[#This Row],[Employee_ID]],THrList[],4,FALSE),"")</f>
        <v>Marie</v>
      </c>
      <c r="E987" t="str">
        <f>IFERROR(VLOOKUP(TTrainingSource[[#This Row],[Employee_ID]],THrList[],10,FALSE),"")</f>
        <v>Customer Support</v>
      </c>
      <c r="F987" t="str">
        <f>TRIM(PROPER(TTrainingSource[[#This Row],[Training_Status2]]))</f>
        <v>In Progress</v>
      </c>
      <c r="G987" t="s">
        <v>156</v>
      </c>
      <c r="H987" t="str">
        <f>TRIM(PROPER(TTrainingSource[[#This Row],[Training_Title2]]))</f>
        <v>Introduction To Python For Data</v>
      </c>
      <c r="I987" t="s">
        <v>62</v>
      </c>
      <c r="J987" s="1">
        <v>45741</v>
      </c>
      <c r="K987" t="s">
        <v>15</v>
      </c>
      <c r="L987" s="7">
        <v>16</v>
      </c>
      <c r="M987">
        <f>ROUND(TTrainingSource[[#This Row],[Satisfaction_Score2]],0)</f>
        <v>4</v>
      </c>
      <c r="N987">
        <v>4.0999999999999996</v>
      </c>
    </row>
    <row r="988" spans="1:14" x14ac:dyDescent="0.3">
      <c r="A988" t="s">
        <v>388</v>
      </c>
      <c r="B988" t="str">
        <f>TRIM(TTrainingSource[[#This Row],[EMPloyee_ID2]])</f>
        <v>EMP10484</v>
      </c>
      <c r="C988" t="str">
        <f>IFERROR(VLOOKUP(TTrainingSource[[#This Row],[Employee_ID]],THrList[],3,FALSE),"")</f>
        <v>CHEN</v>
      </c>
      <c r="D988" t="str">
        <f>IFERROR(VLOOKUP(TTrainingSource[[#This Row],[Employee_ID]],THrList[],4,FALSE),"")</f>
        <v>Marie</v>
      </c>
      <c r="E988" t="str">
        <f>IFERROR(VLOOKUP(TTrainingSource[[#This Row],[Employee_ID]],THrList[],10,FALSE),"")</f>
        <v>Customer Support</v>
      </c>
      <c r="F988" t="str">
        <f>TRIM(PROPER(TTrainingSource[[#This Row],[Training_Status2]]))</f>
        <v>Completed</v>
      </c>
      <c r="G988" t="s">
        <v>17</v>
      </c>
      <c r="H988" t="str">
        <f>TRIM(PROPER(TTrainingSource[[#This Row],[Training_Title2]]))</f>
        <v>Digital Marketing Strategy</v>
      </c>
      <c r="I988" t="s">
        <v>43</v>
      </c>
      <c r="J988" s="1">
        <v>44881</v>
      </c>
      <c r="K988" t="s">
        <v>1072</v>
      </c>
      <c r="L988" s="7">
        <v>6</v>
      </c>
      <c r="M988">
        <f>ROUND(TTrainingSource[[#This Row],[Satisfaction_Score2]],0)</f>
        <v>3</v>
      </c>
      <c r="N988">
        <v>3.2</v>
      </c>
    </row>
    <row r="989" spans="1:14" x14ac:dyDescent="0.3">
      <c r="A989" t="s">
        <v>388</v>
      </c>
      <c r="B989" t="str">
        <f>TRIM(TTrainingSource[[#This Row],[EMPloyee_ID2]])</f>
        <v>EMP10484</v>
      </c>
      <c r="C989" t="str">
        <f>IFERROR(VLOOKUP(TTrainingSource[[#This Row],[Employee_ID]],THrList[],3,FALSE),"")</f>
        <v>CHEN</v>
      </c>
      <c r="D989" t="str">
        <f>IFERROR(VLOOKUP(TTrainingSource[[#This Row],[Employee_ID]],THrList[],4,FALSE),"")</f>
        <v>Marie</v>
      </c>
      <c r="E989" t="str">
        <f>IFERROR(VLOOKUP(TTrainingSource[[#This Row],[Employee_ID]],THrList[],10,FALSE),"")</f>
        <v>Customer Support</v>
      </c>
      <c r="F989" t="str">
        <f>TRIM(PROPER(TTrainingSource[[#This Row],[Training_Status2]]))</f>
        <v>Completed</v>
      </c>
      <c r="G989" t="s">
        <v>17</v>
      </c>
      <c r="H989" t="str">
        <f>TRIM(PROPER(TTrainingSource[[#This Row],[Training_Title2]]))</f>
        <v>Financial Modeling Basics</v>
      </c>
      <c r="I989" t="s">
        <v>38</v>
      </c>
      <c r="J989" s="1">
        <v>45432</v>
      </c>
      <c r="K989" t="s">
        <v>98</v>
      </c>
      <c r="L989" s="7">
        <v>6</v>
      </c>
      <c r="M989">
        <f>ROUND(TTrainingSource[[#This Row],[Satisfaction_Score2]],0)</f>
        <v>4</v>
      </c>
      <c r="N989">
        <v>4.0999999999999996</v>
      </c>
    </row>
    <row r="990" spans="1:14" x14ac:dyDescent="0.3">
      <c r="A990" t="s">
        <v>388</v>
      </c>
      <c r="B990" t="str">
        <f>TRIM(TTrainingSource[[#This Row],[EMPloyee_ID2]])</f>
        <v>EMP10484</v>
      </c>
      <c r="C990" t="str">
        <f>IFERROR(VLOOKUP(TTrainingSource[[#This Row],[Employee_ID]],THrList[],3,FALSE),"")</f>
        <v>CHEN</v>
      </c>
      <c r="D990" t="str">
        <f>IFERROR(VLOOKUP(TTrainingSource[[#This Row],[Employee_ID]],THrList[],4,FALSE),"")</f>
        <v>Marie</v>
      </c>
      <c r="E990" t="str">
        <f>IFERROR(VLOOKUP(TTrainingSource[[#This Row],[Employee_ID]],THrList[],10,FALSE),"")</f>
        <v>Customer Support</v>
      </c>
      <c r="F990" t="str">
        <f>TRIM(PROPER(TTrainingSource[[#This Row],[Training_Status2]]))</f>
        <v>In Progress</v>
      </c>
      <c r="G990" t="s">
        <v>8</v>
      </c>
      <c r="H990" t="str">
        <f>TRIM(PROPER(TTrainingSource[[#This Row],[Training_Title2]]))</f>
        <v>Introduction To Python For Data</v>
      </c>
      <c r="I990" t="s">
        <v>62</v>
      </c>
      <c r="J990" s="1">
        <v>44868</v>
      </c>
      <c r="K990" t="s">
        <v>98</v>
      </c>
      <c r="L990" s="7">
        <v>16</v>
      </c>
      <c r="M990">
        <f>ROUND(TTrainingSource[[#This Row],[Satisfaction_Score2]],0)</f>
        <v>4</v>
      </c>
      <c r="N990">
        <v>3.6</v>
      </c>
    </row>
    <row r="991" spans="1:14" x14ac:dyDescent="0.3">
      <c r="A991" t="s">
        <v>40</v>
      </c>
      <c r="B991" t="str">
        <f>TRIM(TTrainingSource[[#This Row],[EMPloyee_ID2]])</f>
        <v>EMP10485</v>
      </c>
      <c r="C991" t="str">
        <f>IFERROR(VLOOKUP(TTrainingSource[[#This Row],[Employee_ID]],THrList[],3,FALSE),"")</f>
        <v>BROWN</v>
      </c>
      <c r="D991" t="str">
        <f>IFERROR(VLOOKUP(TTrainingSource[[#This Row],[Employee_ID]],THrList[],4,FALSE),"")</f>
        <v>Omar</v>
      </c>
      <c r="E991" t="str">
        <f>IFERROR(VLOOKUP(TTrainingSource[[#This Row],[Employee_ID]],THrList[],10,FALSE),"")</f>
        <v>Finance</v>
      </c>
      <c r="F991" t="str">
        <f>TRIM(PROPER(TTrainingSource[[#This Row],[Training_Status2]]))</f>
        <v>Completed</v>
      </c>
      <c r="G991" t="s">
        <v>17</v>
      </c>
      <c r="H991" t="str">
        <f>TRIM(PROPER(TTrainingSource[[#This Row],[Training_Title2]]))</f>
        <v>Financial Modeling Basics</v>
      </c>
      <c r="I991" t="s">
        <v>41</v>
      </c>
      <c r="J991" s="1">
        <v>45412</v>
      </c>
      <c r="K991" t="s">
        <v>42</v>
      </c>
      <c r="L991" s="7">
        <v>40</v>
      </c>
      <c r="M991">
        <f>ROUND(TTrainingSource[[#This Row],[Satisfaction_Score2]],0)</f>
        <v>4</v>
      </c>
      <c r="N991">
        <v>4.0999999999999996</v>
      </c>
    </row>
    <row r="992" spans="1:14" x14ac:dyDescent="0.3">
      <c r="A992" t="s">
        <v>40</v>
      </c>
      <c r="B992" t="str">
        <f>TRIM(TTrainingSource[[#This Row],[EMPloyee_ID2]])</f>
        <v>EMP10485</v>
      </c>
      <c r="C992" t="str">
        <f>IFERROR(VLOOKUP(TTrainingSource[[#This Row],[Employee_ID]],THrList[],3,FALSE),"")</f>
        <v>BROWN</v>
      </c>
      <c r="D992" t="str">
        <f>IFERROR(VLOOKUP(TTrainingSource[[#This Row],[Employee_ID]],THrList[],4,FALSE),"")</f>
        <v>Omar</v>
      </c>
      <c r="E992" t="str">
        <f>IFERROR(VLOOKUP(TTrainingSource[[#This Row],[Employee_ID]],THrList[],10,FALSE),"")</f>
        <v>Finance</v>
      </c>
      <c r="F992" t="str">
        <f>TRIM(PROPER(TTrainingSource[[#This Row],[Training_Status2]]))</f>
        <v>Completed</v>
      </c>
      <c r="G992" t="s">
        <v>17</v>
      </c>
      <c r="H992" t="str">
        <f>TRIM(PROPER(TTrainingSource[[#This Row],[Training_Title2]]))</f>
        <v>Communication For Analysts</v>
      </c>
      <c r="I992" t="s">
        <v>28</v>
      </c>
      <c r="J992" s="1">
        <v>45343</v>
      </c>
      <c r="K992" t="s">
        <v>42</v>
      </c>
      <c r="L992" s="7">
        <v>32</v>
      </c>
      <c r="M992">
        <f>ROUND(TTrainingSource[[#This Row],[Satisfaction_Score2]],0)</f>
        <v>4</v>
      </c>
      <c r="N992">
        <v>4.3</v>
      </c>
    </row>
    <row r="993" spans="1:14" x14ac:dyDescent="0.3">
      <c r="A993" t="s">
        <v>40</v>
      </c>
      <c r="B993" t="str">
        <f>TRIM(TTrainingSource[[#This Row],[EMPloyee_ID2]])</f>
        <v>EMP10485</v>
      </c>
      <c r="C993" t="str">
        <f>IFERROR(VLOOKUP(TTrainingSource[[#This Row],[Employee_ID]],THrList[],3,FALSE),"")</f>
        <v>BROWN</v>
      </c>
      <c r="D993" t="str">
        <f>IFERROR(VLOOKUP(TTrainingSource[[#This Row],[Employee_ID]],THrList[],4,FALSE),"")</f>
        <v>Omar</v>
      </c>
      <c r="E993" t="str">
        <f>IFERROR(VLOOKUP(TTrainingSource[[#This Row],[Employee_ID]],THrList[],10,FALSE),"")</f>
        <v>Finance</v>
      </c>
      <c r="F993" t="str">
        <f>TRIM(PROPER(TTrainingSource[[#This Row],[Training_Status2]]))</f>
        <v>Planned</v>
      </c>
      <c r="G993" t="s">
        <v>10</v>
      </c>
      <c r="H993" t="str">
        <f>TRIM(PROPER(TTrainingSource[[#This Row],[Training_Title2]]))</f>
        <v>Customer Data Analysis</v>
      </c>
      <c r="I993" t="s">
        <v>31</v>
      </c>
      <c r="J993" s="1">
        <v>45883</v>
      </c>
      <c r="K993" t="s">
        <v>12</v>
      </c>
      <c r="L993" s="7">
        <v>16</v>
      </c>
      <c r="M993">
        <f>ROUND(TTrainingSource[[#This Row],[Satisfaction_Score2]],0)</f>
        <v>4</v>
      </c>
      <c r="N993">
        <v>4.2</v>
      </c>
    </row>
    <row r="994" spans="1:14" x14ac:dyDescent="0.3">
      <c r="A994" t="s">
        <v>40</v>
      </c>
      <c r="B994" t="str">
        <f>TRIM(TTrainingSource[[#This Row],[EMPloyee_ID2]])</f>
        <v>EMP10485</v>
      </c>
      <c r="C994" t="str">
        <f>IFERROR(VLOOKUP(TTrainingSource[[#This Row],[Employee_ID]],THrList[],3,FALSE),"")</f>
        <v>BROWN</v>
      </c>
      <c r="D994" t="str">
        <f>IFERROR(VLOOKUP(TTrainingSource[[#This Row],[Employee_ID]],THrList[],4,FALSE),"")</f>
        <v>Omar</v>
      </c>
      <c r="E994" t="str">
        <f>IFERROR(VLOOKUP(TTrainingSource[[#This Row],[Employee_ID]],THrList[],10,FALSE),"")</f>
        <v>Finance</v>
      </c>
      <c r="F994" t="str">
        <f>TRIM(PROPER(TTrainingSource[[#This Row],[Training_Status2]]))</f>
        <v>Completed</v>
      </c>
      <c r="G994" t="s">
        <v>17</v>
      </c>
      <c r="H994" t="str">
        <f>TRIM(PROPER(TTrainingSource[[#This Row],[Training_Title2]]))</f>
        <v>Introduction To Python For Data</v>
      </c>
      <c r="I994" t="s">
        <v>62</v>
      </c>
      <c r="J994" s="1">
        <v>45090</v>
      </c>
      <c r="K994" t="s">
        <v>42</v>
      </c>
      <c r="L994" s="7">
        <v>20</v>
      </c>
      <c r="M994">
        <f>ROUND(TTrainingSource[[#This Row],[Satisfaction_Score2]],0)</f>
        <v>3</v>
      </c>
      <c r="N994">
        <v>2.8</v>
      </c>
    </row>
    <row r="995" spans="1:14" x14ac:dyDescent="0.3">
      <c r="A995" t="s">
        <v>209</v>
      </c>
      <c r="B995" t="str">
        <f>TRIM(TTrainingSource[[#This Row],[EMPloyee_ID2]])</f>
        <v>EMP10486</v>
      </c>
      <c r="C995" t="str">
        <f>IFERROR(VLOOKUP(TTrainingSource[[#This Row],[Employee_ID]],THrList[],3,FALSE),"")</f>
        <v>LAURENT</v>
      </c>
      <c r="D995" t="str">
        <f>IFERROR(VLOOKUP(TTrainingSource[[#This Row],[Employee_ID]],THrList[],4,FALSE),"")</f>
        <v>Isabella</v>
      </c>
      <c r="E995" t="str">
        <f>IFERROR(VLOOKUP(TTrainingSource[[#This Row],[Employee_ID]],THrList[],10,FALSE),"")</f>
        <v>Compliance</v>
      </c>
      <c r="F995" t="str">
        <f>TRIM(PROPER(TTrainingSource[[#This Row],[Training_Status2]]))</f>
        <v>Completed</v>
      </c>
      <c r="G995" t="s">
        <v>17</v>
      </c>
      <c r="H995" t="str">
        <f>TRIM(PROPER(TTrainingSource[[#This Row],[Training_Title2]]))</f>
        <v>Communication For Analysts</v>
      </c>
      <c r="I995" t="s">
        <v>28</v>
      </c>
      <c r="J995" s="1">
        <v>45324</v>
      </c>
      <c r="K995" t="s">
        <v>98</v>
      </c>
      <c r="L995" s="7">
        <v>0</v>
      </c>
      <c r="M995">
        <f>ROUND(TTrainingSource[[#This Row],[Satisfaction_Score2]],0)</f>
        <v>3</v>
      </c>
      <c r="N995">
        <v>2.9</v>
      </c>
    </row>
    <row r="996" spans="1:14" x14ac:dyDescent="0.3">
      <c r="A996" t="s">
        <v>209</v>
      </c>
      <c r="B996" t="str">
        <f>TRIM(TTrainingSource[[#This Row],[EMPloyee_ID2]])</f>
        <v>EMP10486</v>
      </c>
      <c r="C996" t="str">
        <f>IFERROR(VLOOKUP(TTrainingSource[[#This Row],[Employee_ID]],THrList[],3,FALSE),"")</f>
        <v>LAURENT</v>
      </c>
      <c r="D996" t="str">
        <f>IFERROR(VLOOKUP(TTrainingSource[[#This Row],[Employee_ID]],THrList[],4,FALSE),"")</f>
        <v>Isabella</v>
      </c>
      <c r="E996" t="str">
        <f>IFERROR(VLOOKUP(TTrainingSource[[#This Row],[Employee_ID]],THrList[],10,FALSE),"")</f>
        <v>Compliance</v>
      </c>
      <c r="F996" t="str">
        <f>TRIM(PROPER(TTrainingSource[[#This Row],[Training_Status2]]))</f>
        <v>Completed</v>
      </c>
      <c r="G996" t="s">
        <v>17</v>
      </c>
      <c r="H996" t="str">
        <f>TRIM(PROPER(TTrainingSource[[#This Row],[Training_Title2]]))</f>
        <v>Financial Modeling Basics</v>
      </c>
      <c r="I996" t="s">
        <v>38</v>
      </c>
      <c r="J996" s="1">
        <v>45663</v>
      </c>
      <c r="K996" t="s">
        <v>46</v>
      </c>
      <c r="L996" s="7">
        <v>20</v>
      </c>
      <c r="M996">
        <f>ROUND(TTrainingSource[[#This Row],[Satisfaction_Score2]],0)</f>
        <v>4</v>
      </c>
      <c r="N996">
        <v>3.7</v>
      </c>
    </row>
    <row r="997" spans="1:14" x14ac:dyDescent="0.3">
      <c r="A997" t="s">
        <v>209</v>
      </c>
      <c r="B997" t="str">
        <f>TRIM(TTrainingSource[[#This Row],[EMPloyee_ID2]])</f>
        <v>EMP10486</v>
      </c>
      <c r="C997" t="str">
        <f>IFERROR(VLOOKUP(TTrainingSource[[#This Row],[Employee_ID]],THrList[],3,FALSE),"")</f>
        <v>LAURENT</v>
      </c>
      <c r="D997" t="str">
        <f>IFERROR(VLOOKUP(TTrainingSource[[#This Row],[Employee_ID]],THrList[],4,FALSE),"")</f>
        <v>Isabella</v>
      </c>
      <c r="E997" t="str">
        <f>IFERROR(VLOOKUP(TTrainingSource[[#This Row],[Employee_ID]],THrList[],10,FALSE),"")</f>
        <v>Compliance</v>
      </c>
      <c r="F997" t="str">
        <f>TRIM(PROPER(TTrainingSource[[#This Row],[Training_Status2]]))</f>
        <v>In Progress</v>
      </c>
      <c r="G997" t="s">
        <v>8</v>
      </c>
      <c r="H997" t="str">
        <f>TRIM(PROPER(TTrainingSource[[#This Row],[Training_Title2]]))</f>
        <v>Digital Marketing Strategy</v>
      </c>
      <c r="I997" t="s">
        <v>43</v>
      </c>
      <c r="J997" s="1">
        <v>45259</v>
      </c>
      <c r="K997" t="s">
        <v>98</v>
      </c>
      <c r="L997" s="7">
        <v>6</v>
      </c>
      <c r="M997">
        <f>ROUND(TTrainingSource[[#This Row],[Satisfaction_Score2]],0)</f>
        <v>5</v>
      </c>
      <c r="N997">
        <v>5</v>
      </c>
    </row>
    <row r="998" spans="1:14" x14ac:dyDescent="0.3">
      <c r="A998" t="s">
        <v>415</v>
      </c>
      <c r="B998" t="str">
        <f>TRIM(TTrainingSource[[#This Row],[EMPloyee_ID2]])</f>
        <v>EMP10487</v>
      </c>
      <c r="C998" t="str">
        <f>IFERROR(VLOOKUP(TTrainingSource[[#This Row],[Employee_ID]],THrList[],3,FALSE),"")</f>
        <v>BALDE</v>
      </c>
      <c r="D998" t="str">
        <f>IFERROR(VLOOKUP(TTrainingSource[[#This Row],[Employee_ID]],THrList[],4,FALSE),"")</f>
        <v>Lucas</v>
      </c>
      <c r="E998" t="str">
        <f>IFERROR(VLOOKUP(TTrainingSource[[#This Row],[Employee_ID]],THrList[],10,FALSE),"")</f>
        <v xml:space="preserve">Operations </v>
      </c>
      <c r="F998" t="str">
        <f>TRIM(PROPER(TTrainingSource[[#This Row],[Training_Status2]]))</f>
        <v>Completed</v>
      </c>
      <c r="G998" t="s">
        <v>17</v>
      </c>
      <c r="H998" t="str">
        <f>TRIM(PROPER(TTrainingSource[[#This Row],[Training_Title2]]))</f>
        <v>Financial Modeling Basics</v>
      </c>
      <c r="I998" t="s">
        <v>94</v>
      </c>
      <c r="J998" s="1">
        <v>45031</v>
      </c>
      <c r="K998" t="s">
        <v>39</v>
      </c>
      <c r="L998" s="7">
        <v>24</v>
      </c>
      <c r="M998">
        <f>ROUND(TTrainingSource[[#This Row],[Satisfaction_Score2]],0)</f>
        <v>3</v>
      </c>
      <c r="N998">
        <v>3.4</v>
      </c>
    </row>
    <row r="999" spans="1:14" x14ac:dyDescent="0.3">
      <c r="A999" t="s">
        <v>415</v>
      </c>
      <c r="B999" t="str">
        <f>TRIM(TTrainingSource[[#This Row],[EMPloyee_ID2]])</f>
        <v>EMP10487</v>
      </c>
      <c r="C999" t="str">
        <f>IFERROR(VLOOKUP(TTrainingSource[[#This Row],[Employee_ID]],THrList[],3,FALSE),"")</f>
        <v>BALDE</v>
      </c>
      <c r="D999" t="str">
        <f>IFERROR(VLOOKUP(TTrainingSource[[#This Row],[Employee_ID]],THrList[],4,FALSE),"")</f>
        <v>Lucas</v>
      </c>
      <c r="E999" t="str">
        <f>IFERROR(VLOOKUP(TTrainingSource[[#This Row],[Employee_ID]],THrList[],10,FALSE),"")</f>
        <v xml:space="preserve">Operations </v>
      </c>
      <c r="F999" t="str">
        <f>TRIM(PROPER(TTrainingSource[[#This Row],[Training_Status2]]))</f>
        <v>In Progress</v>
      </c>
      <c r="G999" t="s">
        <v>8</v>
      </c>
      <c r="H999" t="str">
        <f>TRIM(PROPER(TTrainingSource[[#This Row],[Training_Title2]]))</f>
        <v>Business Intelligence With Tableau</v>
      </c>
      <c r="I999" t="s">
        <v>22</v>
      </c>
      <c r="J999" s="1">
        <v>45086</v>
      </c>
      <c r="K999" t="s">
        <v>44</v>
      </c>
      <c r="L999" s="7">
        <v>12</v>
      </c>
      <c r="M999">
        <f>ROUND(TTrainingSource[[#This Row],[Satisfaction_Score2]],0)</f>
        <v>4</v>
      </c>
      <c r="N999">
        <v>3.6</v>
      </c>
    </row>
    <row r="1000" spans="1:14" x14ac:dyDescent="0.3">
      <c r="A1000" t="s">
        <v>701</v>
      </c>
      <c r="B1000" t="str">
        <f>TRIM(TTrainingSource[[#This Row],[EMPloyee_ID2]])</f>
        <v>EMP10487</v>
      </c>
      <c r="C1000" t="str">
        <f>IFERROR(VLOOKUP(TTrainingSource[[#This Row],[Employee_ID]],THrList[],3,FALSE),"")</f>
        <v>BALDE</v>
      </c>
      <c r="D1000" t="str">
        <f>IFERROR(VLOOKUP(TTrainingSource[[#This Row],[Employee_ID]],THrList[],4,FALSE),"")</f>
        <v>Lucas</v>
      </c>
      <c r="E1000" t="str">
        <f>IFERROR(VLOOKUP(TTrainingSource[[#This Row],[Employee_ID]],THrList[],10,FALSE),"")</f>
        <v xml:space="preserve">Operations </v>
      </c>
      <c r="F1000" t="str">
        <f>TRIM(PROPER(TTrainingSource[[#This Row],[Training_Status2]]))</f>
        <v>In Progress</v>
      </c>
      <c r="G1000" t="s">
        <v>67</v>
      </c>
      <c r="H1000" t="str">
        <f>TRIM(PROPER(TTrainingSource[[#This Row],[Training_Title2]]))</f>
        <v>Introduction To Python For Data</v>
      </c>
      <c r="I1000" t="s">
        <v>62</v>
      </c>
      <c r="J1000" s="1">
        <v>45960</v>
      </c>
      <c r="K1000" t="s">
        <v>42</v>
      </c>
      <c r="L1000" s="7">
        <v>4</v>
      </c>
      <c r="M1000">
        <f>ROUND(TTrainingSource[[#This Row],[Satisfaction_Score2]],0)</f>
        <v>4</v>
      </c>
      <c r="N1000">
        <v>3.7</v>
      </c>
    </row>
    <row r="1001" spans="1:14" x14ac:dyDescent="0.3">
      <c r="A1001" t="s">
        <v>415</v>
      </c>
      <c r="B1001" t="str">
        <f>TRIM(TTrainingSource[[#This Row],[EMPloyee_ID2]])</f>
        <v>EMP10487</v>
      </c>
      <c r="C1001" t="str">
        <f>IFERROR(VLOOKUP(TTrainingSource[[#This Row],[Employee_ID]],THrList[],3,FALSE),"")</f>
        <v>BALDE</v>
      </c>
      <c r="D1001" t="str">
        <f>IFERROR(VLOOKUP(TTrainingSource[[#This Row],[Employee_ID]],THrList[],4,FALSE),"")</f>
        <v>Lucas</v>
      </c>
      <c r="E1001" t="str">
        <f>IFERROR(VLOOKUP(TTrainingSource[[#This Row],[Employee_ID]],THrList[],10,FALSE),"")</f>
        <v xml:space="preserve">Operations </v>
      </c>
      <c r="F1001" t="str">
        <f>TRIM(PROPER(TTrainingSource[[#This Row],[Training_Status2]]))</f>
        <v>Completed</v>
      </c>
      <c r="G1001" t="s">
        <v>17</v>
      </c>
      <c r="H1001" t="str">
        <f>TRIM(PROPER(TTrainingSource[[#This Row],[Training_Title2]]))</f>
        <v>Business Intelligence With Tableau</v>
      </c>
      <c r="I1001" t="s">
        <v>22</v>
      </c>
      <c r="J1001" s="1">
        <v>45209</v>
      </c>
      <c r="K1001" t="s">
        <v>39</v>
      </c>
      <c r="L1001" s="7">
        <v>32</v>
      </c>
      <c r="M1001">
        <f>ROUND(TTrainingSource[[#This Row],[Satisfaction_Score2]],0)</f>
        <v>4</v>
      </c>
      <c r="N1001">
        <v>4.0999999999999996</v>
      </c>
    </row>
    <row r="1002" spans="1:14" x14ac:dyDescent="0.3">
      <c r="A1002" t="s">
        <v>415</v>
      </c>
      <c r="B1002" t="str">
        <f>TRIM(TTrainingSource[[#This Row],[EMPloyee_ID2]])</f>
        <v>EMP10487</v>
      </c>
      <c r="C1002" t="str">
        <f>IFERROR(VLOOKUP(TTrainingSource[[#This Row],[Employee_ID]],THrList[],3,FALSE),"")</f>
        <v>BALDE</v>
      </c>
      <c r="D1002" t="str">
        <f>IFERROR(VLOOKUP(TTrainingSource[[#This Row],[Employee_ID]],THrList[],4,FALSE),"")</f>
        <v>Lucas</v>
      </c>
      <c r="E1002" t="str">
        <f>IFERROR(VLOOKUP(TTrainingSource[[#This Row],[Employee_ID]],THrList[],10,FALSE),"")</f>
        <v xml:space="preserve">Operations </v>
      </c>
      <c r="F1002" t="str">
        <f>TRIM(PROPER(TTrainingSource[[#This Row],[Training_Status2]]))</f>
        <v>Completed</v>
      </c>
      <c r="G1002" t="s">
        <v>17</v>
      </c>
      <c r="H1002" t="str">
        <f>TRIM(PROPER(TTrainingSource[[#This Row],[Training_Title2]]))</f>
        <v>Data Visualization Best Practices</v>
      </c>
      <c r="I1002" t="s">
        <v>20</v>
      </c>
      <c r="J1002" s="1">
        <v>44582</v>
      </c>
      <c r="K1002" t="s">
        <v>39</v>
      </c>
      <c r="L1002" s="7">
        <v>24</v>
      </c>
      <c r="M1002">
        <f>ROUND(TTrainingSource[[#This Row],[Satisfaction_Score2]],0)</f>
        <v>5</v>
      </c>
      <c r="N1002">
        <v>4.8</v>
      </c>
    </row>
    <row r="1003" spans="1:14" x14ac:dyDescent="0.3">
      <c r="A1003" t="s">
        <v>464</v>
      </c>
      <c r="B1003" t="str">
        <f>TRIM(TTrainingSource[[#This Row],[EMPloyee_ID2]])</f>
        <v>EMP10488</v>
      </c>
      <c r="C1003" t="str">
        <f>IFERROR(VLOOKUP(TTrainingSource[[#This Row],[Employee_ID]],THrList[],3,FALSE),"")</f>
        <v>ROUSSEAU</v>
      </c>
      <c r="D1003" t="str">
        <f>IFERROR(VLOOKUP(TTrainingSource[[#This Row],[Employee_ID]],THrList[],4,FALSE),"")</f>
        <v>Camille</v>
      </c>
      <c r="E1003" t="str">
        <f>IFERROR(VLOOKUP(TTrainingSource[[#This Row],[Employee_ID]],THrList[],10,FALSE),"")</f>
        <v>Operations</v>
      </c>
      <c r="F1003" t="str">
        <f>TRIM(PROPER(TTrainingSource[[#This Row],[Training_Status2]]))</f>
        <v>Completed</v>
      </c>
      <c r="G1003" t="s">
        <v>69</v>
      </c>
      <c r="H1003" t="str">
        <f>TRIM(PROPER(TTrainingSource[[#This Row],[Training_Title2]]))</f>
        <v>Project Management Essentials</v>
      </c>
      <c r="I1003" t="s">
        <v>14</v>
      </c>
      <c r="J1003" s="1">
        <v>45831</v>
      </c>
      <c r="K1003" t="s">
        <v>44</v>
      </c>
      <c r="L1003" s="7">
        <v>6</v>
      </c>
      <c r="M1003">
        <f>ROUND(TTrainingSource[[#This Row],[Satisfaction_Score2]],0)</f>
        <v>3</v>
      </c>
      <c r="N1003">
        <v>2.9</v>
      </c>
    </row>
    <row r="1004" spans="1:14" x14ac:dyDescent="0.3">
      <c r="A1004" t="s">
        <v>464</v>
      </c>
      <c r="B1004" t="str">
        <f>TRIM(TTrainingSource[[#This Row],[EMPloyee_ID2]])</f>
        <v>EMP10488</v>
      </c>
      <c r="C1004" t="str">
        <f>IFERROR(VLOOKUP(TTrainingSource[[#This Row],[Employee_ID]],THrList[],3,FALSE),"")</f>
        <v>ROUSSEAU</v>
      </c>
      <c r="D1004" t="str">
        <f>IFERROR(VLOOKUP(TTrainingSource[[#This Row],[Employee_ID]],THrList[],4,FALSE),"")</f>
        <v>Camille</v>
      </c>
      <c r="E1004" t="str">
        <f>IFERROR(VLOOKUP(TTrainingSource[[#This Row],[Employee_ID]],THrList[],10,FALSE),"")</f>
        <v>Operations</v>
      </c>
      <c r="F1004" t="str">
        <f>TRIM(PROPER(TTrainingSource[[#This Row],[Training_Status2]]))</f>
        <v>In Progress</v>
      </c>
      <c r="G1004" t="s">
        <v>8</v>
      </c>
      <c r="H1004" t="str">
        <f>TRIM(PROPER(TTrainingSource[[#This Row],[Training_Title2]]))</f>
        <v>Communication For Analysts</v>
      </c>
      <c r="I1004" t="s">
        <v>28</v>
      </c>
      <c r="J1004" s="1">
        <v>45633</v>
      </c>
      <c r="K1004" t="s">
        <v>71</v>
      </c>
      <c r="L1004" s="7">
        <v>32</v>
      </c>
      <c r="M1004">
        <f>ROUND(TTrainingSource[[#This Row],[Satisfaction_Score2]],0)</f>
        <v>3</v>
      </c>
      <c r="N1004">
        <v>2.5</v>
      </c>
    </row>
    <row r="1005" spans="1:14" x14ac:dyDescent="0.3">
      <c r="A1005" t="s">
        <v>288</v>
      </c>
      <c r="B1005" t="str">
        <f>TRIM(TTrainingSource[[#This Row],[EMPloyee_ID2]])</f>
        <v>EMP10489</v>
      </c>
      <c r="C1005" t="str">
        <f>IFERROR(VLOOKUP(TTrainingSource[[#This Row],[Employee_ID]],THrList[],3,FALSE),"")</f>
        <v>DIALLO</v>
      </c>
      <c r="D1005" t="str">
        <f>IFERROR(VLOOKUP(TTrainingSource[[#This Row],[Employee_ID]],THrList[],4,FALSE),"")</f>
        <v>Chinedu</v>
      </c>
      <c r="E1005" t="str">
        <f>IFERROR(VLOOKUP(TTrainingSource[[#This Row],[Employee_ID]],THrList[],10,FALSE),"")</f>
        <v>N/A</v>
      </c>
      <c r="F1005" t="str">
        <f>TRIM(PROPER(TTrainingSource[[#This Row],[Training_Status2]]))</f>
        <v>In Progress</v>
      </c>
      <c r="G1005" t="s">
        <v>8</v>
      </c>
      <c r="H1005" t="str">
        <f>TRIM(PROPER(TTrainingSource[[#This Row],[Training_Title2]]))</f>
        <v>Advanced Excel For Business</v>
      </c>
      <c r="I1005" t="s">
        <v>52</v>
      </c>
      <c r="J1005" s="1">
        <v>45214</v>
      </c>
      <c r="K1005" t="s">
        <v>42</v>
      </c>
      <c r="L1005" s="7">
        <v>24</v>
      </c>
      <c r="M1005">
        <f>ROUND(TTrainingSource[[#This Row],[Satisfaction_Score2]],0)</f>
        <v>4</v>
      </c>
      <c r="N1005">
        <v>3.9</v>
      </c>
    </row>
    <row r="1006" spans="1:14" x14ac:dyDescent="0.3">
      <c r="A1006" t="s">
        <v>318</v>
      </c>
      <c r="B1006" t="str">
        <f>TRIM(TTrainingSource[[#This Row],[EMPloyee_ID2]])</f>
        <v>EMP10489</v>
      </c>
      <c r="C1006" t="str">
        <f>IFERROR(VLOOKUP(TTrainingSource[[#This Row],[Employee_ID]],THrList[],3,FALSE),"")</f>
        <v>DIALLO</v>
      </c>
      <c r="D1006" t="str">
        <f>IFERROR(VLOOKUP(TTrainingSource[[#This Row],[Employee_ID]],THrList[],4,FALSE),"")</f>
        <v>Chinedu</v>
      </c>
      <c r="E1006" t="str">
        <f>IFERROR(VLOOKUP(TTrainingSource[[#This Row],[Employee_ID]],THrList[],10,FALSE),"")</f>
        <v>N/A</v>
      </c>
      <c r="F1006" t="str">
        <f>TRIM(PROPER(TTrainingSource[[#This Row],[Training_Status2]]))</f>
        <v>Completed</v>
      </c>
      <c r="G1006" t="s">
        <v>17</v>
      </c>
      <c r="H1006" t="str">
        <f>TRIM(PROPER(TTrainingSource[[#This Row],[Training_Title2]]))</f>
        <v>Communication For Analysts</v>
      </c>
      <c r="I1006" t="s">
        <v>153</v>
      </c>
      <c r="J1006" s="1">
        <v>44770</v>
      </c>
      <c r="K1006" t="s">
        <v>32</v>
      </c>
      <c r="L1006" s="7">
        <v>24</v>
      </c>
      <c r="M1006">
        <f>ROUND(TTrainingSource[[#This Row],[Satisfaction_Score2]],0)</f>
        <v>5</v>
      </c>
      <c r="N1006">
        <v>4.5999999999999996</v>
      </c>
    </row>
    <row r="1007" spans="1:14" x14ac:dyDescent="0.3">
      <c r="A1007" t="s">
        <v>318</v>
      </c>
      <c r="B1007" t="str">
        <f>TRIM(TTrainingSource[[#This Row],[EMPloyee_ID2]])</f>
        <v>EMP10489</v>
      </c>
      <c r="C1007" t="str">
        <f>IFERROR(VLOOKUP(TTrainingSource[[#This Row],[Employee_ID]],THrList[],3,FALSE),"")</f>
        <v>DIALLO</v>
      </c>
      <c r="D1007" t="str">
        <f>IFERROR(VLOOKUP(TTrainingSource[[#This Row],[Employee_ID]],THrList[],4,FALSE),"")</f>
        <v>Chinedu</v>
      </c>
      <c r="E1007" t="str">
        <f>IFERROR(VLOOKUP(TTrainingSource[[#This Row],[Employee_ID]],THrList[],10,FALSE),"")</f>
        <v>N/A</v>
      </c>
      <c r="F1007" t="str">
        <f>TRIM(PROPER(TTrainingSource[[#This Row],[Training_Status2]]))</f>
        <v>Completed</v>
      </c>
      <c r="G1007" t="s">
        <v>17</v>
      </c>
      <c r="H1007" t="str">
        <f>TRIM(PROPER(TTrainingSource[[#This Row],[Training_Title2]]))</f>
        <v>Power Bi Reporting</v>
      </c>
      <c r="I1007" t="s">
        <v>24</v>
      </c>
      <c r="J1007" s="1">
        <v>45452</v>
      </c>
      <c r="K1007" t="s">
        <v>44</v>
      </c>
      <c r="L1007" s="7">
        <v>12</v>
      </c>
      <c r="M1007">
        <f>ROUND(TTrainingSource[[#This Row],[Satisfaction_Score2]],0)</f>
        <v>3</v>
      </c>
      <c r="N1007">
        <v>2.8</v>
      </c>
    </row>
    <row r="1008" spans="1:14" x14ac:dyDescent="0.3">
      <c r="A1008" t="s">
        <v>318</v>
      </c>
      <c r="B1008" t="str">
        <f>TRIM(TTrainingSource[[#This Row],[EMPloyee_ID2]])</f>
        <v>EMP10489</v>
      </c>
      <c r="C1008" t="str">
        <f>IFERROR(VLOOKUP(TTrainingSource[[#This Row],[Employee_ID]],THrList[],3,FALSE),"")</f>
        <v>DIALLO</v>
      </c>
      <c r="D1008" t="str">
        <f>IFERROR(VLOOKUP(TTrainingSource[[#This Row],[Employee_ID]],THrList[],4,FALSE),"")</f>
        <v>Chinedu</v>
      </c>
      <c r="E1008" t="str">
        <f>IFERROR(VLOOKUP(TTrainingSource[[#This Row],[Employee_ID]],THrList[],10,FALSE),"")</f>
        <v>N/A</v>
      </c>
      <c r="F1008" t="str">
        <f>TRIM(PROPER(TTrainingSource[[#This Row],[Training_Status2]]))</f>
        <v>Completed</v>
      </c>
      <c r="G1008" t="s">
        <v>17</v>
      </c>
      <c r="H1008" t="str">
        <f>TRIM(PROPER(TTrainingSource[[#This Row],[Training_Title2]]))</f>
        <v>Data Visualization Best Practices</v>
      </c>
      <c r="I1008" t="s">
        <v>151</v>
      </c>
      <c r="J1008" s="1">
        <v>44861</v>
      </c>
      <c r="K1008" t="s">
        <v>42</v>
      </c>
      <c r="L1008" s="7">
        <v>8</v>
      </c>
      <c r="M1008">
        <f>ROUND(TTrainingSource[[#This Row],[Satisfaction_Score2]],0)</f>
        <v>3</v>
      </c>
      <c r="N1008">
        <v>2.5</v>
      </c>
    </row>
    <row r="1009" spans="1:14" x14ac:dyDescent="0.3">
      <c r="A1009" t="s">
        <v>318</v>
      </c>
      <c r="B1009" t="str">
        <f>TRIM(TTrainingSource[[#This Row],[EMPloyee_ID2]])</f>
        <v>EMP10489</v>
      </c>
      <c r="C1009" t="str">
        <f>IFERROR(VLOOKUP(TTrainingSource[[#This Row],[Employee_ID]],THrList[],3,FALSE),"")</f>
        <v>DIALLO</v>
      </c>
      <c r="D1009" t="str">
        <f>IFERROR(VLOOKUP(TTrainingSource[[#This Row],[Employee_ID]],THrList[],4,FALSE),"")</f>
        <v>Chinedu</v>
      </c>
      <c r="E1009" t="str">
        <f>IFERROR(VLOOKUP(TTrainingSource[[#This Row],[Employee_ID]],THrList[],10,FALSE),"")</f>
        <v>N/A</v>
      </c>
      <c r="F1009" t="str">
        <f>TRIM(PROPER(TTrainingSource[[#This Row],[Training_Status2]]))</f>
        <v>Completed</v>
      </c>
      <c r="G1009" t="s">
        <v>17</v>
      </c>
      <c r="H1009" t="str">
        <f>TRIM(PROPER(TTrainingSource[[#This Row],[Training_Title2]]))</f>
        <v>Project Management Essentials</v>
      </c>
      <c r="I1009" t="s">
        <v>14</v>
      </c>
      <c r="J1009" s="1">
        <v>44578</v>
      </c>
      <c r="K1009" t="s">
        <v>42</v>
      </c>
      <c r="L1009" s="7">
        <v>6</v>
      </c>
      <c r="M1009">
        <f>ROUND(TTrainingSource[[#This Row],[Satisfaction_Score2]],0)</f>
        <v>5</v>
      </c>
      <c r="N1009">
        <v>4.9000000000000004</v>
      </c>
    </row>
    <row r="1010" spans="1:14" x14ac:dyDescent="0.3">
      <c r="A1010" t="s">
        <v>170</v>
      </c>
      <c r="B1010" t="str">
        <f>TRIM(TTrainingSource[[#This Row],[EMPloyee_ID2]])</f>
        <v>EMP10490</v>
      </c>
      <c r="C1010" t="str">
        <f>IFERROR(VLOOKUP(TTrainingSource[[#This Row],[Employee_ID]],THrList[],3,FALSE),"")</f>
        <v>GIRARD</v>
      </c>
      <c r="D1010" t="str">
        <f>IFERROR(VLOOKUP(TTrainingSource[[#This Row],[Employee_ID]],THrList[],4,FALSE),"")</f>
        <v>Yaw</v>
      </c>
      <c r="E1010" t="str">
        <f>IFERROR(VLOOKUP(TTrainingSource[[#This Row],[Employee_ID]],THrList[],10,FALSE),"")</f>
        <v>Operations</v>
      </c>
      <c r="F1010" t="str">
        <f>TRIM(PROPER(TTrainingSource[[#This Row],[Training_Status2]]))</f>
        <v>Completed</v>
      </c>
      <c r="G1010" t="s">
        <v>17</v>
      </c>
      <c r="H1010" t="str">
        <f>TRIM(PROPER(TTrainingSource[[#This Row],[Training_Title2]]))</f>
        <v>Financial Modeling Basics</v>
      </c>
      <c r="I1010" t="s">
        <v>38</v>
      </c>
      <c r="J1010" s="1">
        <v>44906</v>
      </c>
      <c r="K1010" t="s">
        <v>39</v>
      </c>
      <c r="L1010" s="7">
        <v>16</v>
      </c>
      <c r="M1010">
        <f>ROUND(TTrainingSource[[#This Row],[Satisfaction_Score2]],0)</f>
        <v>3</v>
      </c>
      <c r="N1010">
        <v>3.3</v>
      </c>
    </row>
    <row r="1011" spans="1:14" x14ac:dyDescent="0.3">
      <c r="A1011" t="s">
        <v>763</v>
      </c>
      <c r="B1011" t="str">
        <f>TRIM(TTrainingSource[[#This Row],[EMPloyee_ID2]])</f>
        <v>EMP10490</v>
      </c>
      <c r="C1011" t="str">
        <f>IFERROR(VLOOKUP(TTrainingSource[[#This Row],[Employee_ID]],THrList[],3,FALSE),"")</f>
        <v>GIRARD</v>
      </c>
      <c r="D1011" t="str">
        <f>IFERROR(VLOOKUP(TTrainingSource[[#This Row],[Employee_ID]],THrList[],4,FALSE),"")</f>
        <v>Yaw</v>
      </c>
      <c r="E1011" t="str">
        <f>IFERROR(VLOOKUP(TTrainingSource[[#This Row],[Employee_ID]],THrList[],10,FALSE),"")</f>
        <v>Operations</v>
      </c>
      <c r="F1011" t="str">
        <f>TRIM(PROPER(TTrainingSource[[#This Row],[Training_Status2]]))</f>
        <v>In Progress</v>
      </c>
      <c r="G1011" t="s">
        <v>8</v>
      </c>
      <c r="H1011" t="str">
        <f>TRIM(PROPER(TTrainingSource[[#This Row],[Training_Title2]]))</f>
        <v>Project Management Essentials</v>
      </c>
      <c r="I1011" t="s">
        <v>182</v>
      </c>
      <c r="J1011" s="1">
        <v>45931</v>
      </c>
      <c r="K1011" t="s">
        <v>44</v>
      </c>
      <c r="L1011" s="7">
        <v>16</v>
      </c>
      <c r="M1011">
        <f>ROUND(TTrainingSource[[#This Row],[Satisfaction_Score2]],0)</f>
        <v>4</v>
      </c>
      <c r="N1011">
        <v>3.5</v>
      </c>
    </row>
    <row r="1012" spans="1:14" x14ac:dyDescent="0.3">
      <c r="A1012" t="s">
        <v>612</v>
      </c>
      <c r="B1012" t="str">
        <f>TRIM(TTrainingSource[[#This Row],[EMPloyee_ID2]])</f>
        <v>EMP10491</v>
      </c>
      <c r="C1012" t="str">
        <f>IFERROR(VLOOKUP(TTrainingSource[[#This Row],[Employee_ID]],THrList[],3,FALSE),"")</f>
        <v>JOHNSON</v>
      </c>
      <c r="D1012" t="str">
        <f>IFERROR(VLOOKUP(TTrainingSource[[#This Row],[Employee_ID]],THrList[],4,FALSE),"")</f>
        <v>Ethan</v>
      </c>
      <c r="E1012" t="str">
        <f>IFERROR(VLOOKUP(TTrainingSource[[#This Row],[Employee_ID]],THrList[],10,FALSE),"")</f>
        <v>Compliance</v>
      </c>
      <c r="F1012" t="str">
        <f>TRIM(PROPER(TTrainingSource[[#This Row],[Training_Status2]]))</f>
        <v>Planned</v>
      </c>
      <c r="G1012" t="s">
        <v>19</v>
      </c>
      <c r="H1012" t="str">
        <f>TRIM(PROPER(TTrainingSource[[#This Row],[Training_Title2]]))</f>
        <v>Digital Marketing Strategy</v>
      </c>
      <c r="I1012" t="s">
        <v>43</v>
      </c>
      <c r="J1012" s="1">
        <v>45674</v>
      </c>
      <c r="K1012" t="s">
        <v>12</v>
      </c>
      <c r="L1012" s="7">
        <v>0</v>
      </c>
      <c r="M1012">
        <f>ROUND(TTrainingSource[[#This Row],[Satisfaction_Score2]],0)</f>
        <v>3</v>
      </c>
      <c r="N1012">
        <v>2.7</v>
      </c>
    </row>
    <row r="1013" spans="1:14" x14ac:dyDescent="0.3">
      <c r="A1013" t="s">
        <v>292</v>
      </c>
      <c r="B1013" t="str">
        <f>TRIM(TTrainingSource[[#This Row],[EMPloyee_ID2]])</f>
        <v>EMP10492</v>
      </c>
      <c r="C1013" t="str">
        <f>IFERROR(VLOOKUP(TTrainingSource[[#This Row],[Employee_ID]],THrList[],3,FALSE),"")</f>
        <v>MENSAH</v>
      </c>
      <c r="D1013" t="str">
        <f>IFERROR(VLOOKUP(TTrainingSource[[#This Row],[Employee_ID]],THrList[],4,FALSE),"")</f>
        <v>Liam</v>
      </c>
      <c r="E1013" t="str">
        <f>IFERROR(VLOOKUP(TTrainingSource[[#This Row],[Employee_ID]],THrList[],10,FALSE),"")</f>
        <v>Procurement</v>
      </c>
      <c r="F1013" t="str">
        <f>TRIM(PROPER(TTrainingSource[[#This Row],[Training_Status2]]))</f>
        <v>In Progress</v>
      </c>
      <c r="G1013" t="s">
        <v>8</v>
      </c>
      <c r="H1013" t="str">
        <f>TRIM(PROPER(TTrainingSource[[#This Row],[Training_Title2]]))</f>
        <v>Digital Marketing Strategy</v>
      </c>
      <c r="I1013" t="s">
        <v>43</v>
      </c>
      <c r="J1013" s="1">
        <v>44740</v>
      </c>
      <c r="K1013" t="s">
        <v>39</v>
      </c>
      <c r="L1013" s="7">
        <v>4</v>
      </c>
      <c r="M1013">
        <f>ROUND(TTrainingSource[[#This Row],[Satisfaction_Score2]],0)</f>
        <v>4</v>
      </c>
      <c r="N1013">
        <v>4.0999999999999996</v>
      </c>
    </row>
    <row r="1014" spans="1:14" x14ac:dyDescent="0.3">
      <c r="A1014" t="s">
        <v>216</v>
      </c>
      <c r="B1014" t="str">
        <f>TRIM(TTrainingSource[[#This Row],[EMPloyee_ID2]])</f>
        <v>EMP10493</v>
      </c>
      <c r="C1014" t="str">
        <f>IFERROR(VLOOKUP(TTrainingSource[[#This Row],[Employee_ID]],THrList[],3,FALSE),"")</f>
        <v>FOURNIER</v>
      </c>
      <c r="D1014" t="str">
        <f>IFERROR(VLOOKUP(TTrainingSource[[#This Row],[Employee_ID]],THrList[],4,FALSE),"")</f>
        <v>Liam</v>
      </c>
      <c r="E1014" t="str">
        <f>IFERROR(VLOOKUP(TTrainingSource[[#This Row],[Employee_ID]],THrList[],10,FALSE),"")</f>
        <v>IT</v>
      </c>
      <c r="F1014" t="str">
        <f>TRIM(PROPER(TTrainingSource[[#This Row],[Training_Status2]]))</f>
        <v>In Progress</v>
      </c>
      <c r="G1014" t="s">
        <v>8</v>
      </c>
      <c r="H1014" t="str">
        <f>TRIM(PROPER(TTrainingSource[[#This Row],[Training_Title2]]))</f>
        <v>Digital Marketing Strategy</v>
      </c>
      <c r="I1014" t="s">
        <v>43</v>
      </c>
      <c r="J1014" s="1">
        <v>45622</v>
      </c>
      <c r="K1014" t="s">
        <v>1072</v>
      </c>
      <c r="L1014" s="7">
        <v>12</v>
      </c>
      <c r="M1014">
        <f>ROUND(TTrainingSource[[#This Row],[Satisfaction_Score2]],0)</f>
        <v>4</v>
      </c>
      <c r="N1014">
        <v>4</v>
      </c>
    </row>
    <row r="1015" spans="1:14" x14ac:dyDescent="0.3">
      <c r="A1015" t="s">
        <v>216</v>
      </c>
      <c r="B1015" t="str">
        <f>TRIM(TTrainingSource[[#This Row],[EMPloyee_ID2]])</f>
        <v>EMP10493</v>
      </c>
      <c r="C1015" t="str">
        <f>IFERROR(VLOOKUP(TTrainingSource[[#This Row],[Employee_ID]],THrList[],3,FALSE),"")</f>
        <v>FOURNIER</v>
      </c>
      <c r="D1015" t="str">
        <f>IFERROR(VLOOKUP(TTrainingSource[[#This Row],[Employee_ID]],THrList[],4,FALSE),"")</f>
        <v>Liam</v>
      </c>
      <c r="E1015" t="str">
        <f>IFERROR(VLOOKUP(TTrainingSource[[#This Row],[Employee_ID]],THrList[],10,FALSE),"")</f>
        <v>IT</v>
      </c>
      <c r="F1015" t="str">
        <f>TRIM(PROPER(TTrainingSource[[#This Row],[Training_Status2]]))</f>
        <v>Completed</v>
      </c>
      <c r="G1015" t="s">
        <v>17</v>
      </c>
      <c r="H1015" t="str">
        <f>TRIM(PROPER(TTrainingSource[[#This Row],[Training_Title2]]))</f>
        <v>Communication For Analysts</v>
      </c>
      <c r="I1015" t="s">
        <v>28</v>
      </c>
      <c r="J1015" s="1">
        <v>45038</v>
      </c>
      <c r="K1015" t="s">
        <v>29</v>
      </c>
      <c r="L1015" s="7">
        <v>12</v>
      </c>
      <c r="M1015">
        <f>ROUND(TTrainingSource[[#This Row],[Satisfaction_Score2]],0)</f>
        <v>4</v>
      </c>
      <c r="N1015">
        <v>3.9</v>
      </c>
    </row>
    <row r="1016" spans="1:14" x14ac:dyDescent="0.3">
      <c r="A1016" t="s">
        <v>641</v>
      </c>
      <c r="B1016" t="str">
        <f>TRIM(TTrainingSource[[#This Row],[EMPloyee_ID2]])</f>
        <v>EMP10494</v>
      </c>
      <c r="C1016" t="str">
        <f>IFERROR(VLOOKUP(TTrainingSource[[#This Row],[Employee_ID]],THrList[],3,FALSE),"")</f>
        <v>LEFEVRE</v>
      </c>
      <c r="D1016" t="str">
        <f>IFERROR(VLOOKUP(TTrainingSource[[#This Row],[Employee_ID]],THrList[],4,FALSE),"")</f>
        <v>Ada</v>
      </c>
      <c r="E1016" t="str">
        <f>IFERROR(VLOOKUP(TTrainingSource[[#This Row],[Employee_ID]],THrList[],10,FALSE),"")</f>
        <v>Customer Support</v>
      </c>
      <c r="F1016" t="str">
        <f>TRIM(PROPER(TTrainingSource[[#This Row],[Training_Status2]]))</f>
        <v>In Progress</v>
      </c>
      <c r="G1016" t="s">
        <v>156</v>
      </c>
      <c r="H1016" t="str">
        <f>TRIM(PROPER(TTrainingSource[[#This Row],[Training_Title2]]))</f>
        <v>Data Analysis Fundamentals</v>
      </c>
      <c r="I1016" t="s">
        <v>461</v>
      </c>
      <c r="J1016" s="1">
        <v>45274</v>
      </c>
      <c r="K1016" t="s">
        <v>15</v>
      </c>
      <c r="L1016" s="7">
        <v>32</v>
      </c>
      <c r="M1016">
        <f>ROUND(TTrainingSource[[#This Row],[Satisfaction_Score2]],0)</f>
        <v>5</v>
      </c>
      <c r="N1016">
        <v>4.5999999999999996</v>
      </c>
    </row>
    <row r="1017" spans="1:14" x14ac:dyDescent="0.3">
      <c r="A1017" t="s">
        <v>589</v>
      </c>
      <c r="B1017" t="str">
        <f>TRIM(TTrainingSource[[#This Row],[EMPloyee_ID2]])</f>
        <v>EMP10496</v>
      </c>
      <c r="C1017" t="str">
        <f>IFERROR(VLOOKUP(TTrainingSource[[#This Row],[Employee_ID]],THrList[],3,FALSE),"")</f>
        <v>TAYLOR</v>
      </c>
      <c r="D1017" t="str">
        <f>IFERROR(VLOOKUP(TTrainingSource[[#This Row],[Employee_ID]],THrList[],4,FALSE),"")</f>
        <v>Binta</v>
      </c>
      <c r="E1017" t="str">
        <f>IFERROR(VLOOKUP(TTrainingSource[[#This Row],[Employee_ID]],THrList[],10,FALSE),"")</f>
        <v>Sales</v>
      </c>
      <c r="F1017" t="str">
        <f>TRIM(PROPER(TTrainingSource[[#This Row],[Training_Status2]]))</f>
        <v>Completed</v>
      </c>
      <c r="G1017" t="s">
        <v>17</v>
      </c>
      <c r="H1017" t="str">
        <f>TRIM(PROPER(TTrainingSource[[#This Row],[Training_Title2]]))</f>
        <v>Communication For Analysts</v>
      </c>
      <c r="I1017" t="s">
        <v>119</v>
      </c>
      <c r="J1017" s="1">
        <v>45052</v>
      </c>
      <c r="K1017" t="s">
        <v>44</v>
      </c>
      <c r="L1017" s="7">
        <v>24</v>
      </c>
      <c r="M1017">
        <f>ROUND(TTrainingSource[[#This Row],[Satisfaction_Score2]],0)</f>
        <v>4</v>
      </c>
      <c r="N1017">
        <v>4</v>
      </c>
    </row>
    <row r="1018" spans="1:14" x14ac:dyDescent="0.3">
      <c r="A1018" t="s">
        <v>743</v>
      </c>
      <c r="B1018" t="str">
        <f>TRIM(TTrainingSource[[#This Row],[EMPloyee_ID2]])</f>
        <v>EMP10497</v>
      </c>
      <c r="C1018" t="str">
        <f>IFERROR(VLOOKUP(TTrainingSource[[#This Row],[Employee_ID]],THrList[],3,FALSE),"")</f>
        <v>IBRAHIM</v>
      </c>
      <c r="D1018" t="str">
        <f>IFERROR(VLOOKUP(TTrainingSource[[#This Row],[Employee_ID]],THrList[],4,FALSE),"")</f>
        <v>Hassan</v>
      </c>
      <c r="E1018" t="str">
        <f>IFERROR(VLOOKUP(TTrainingSource[[#This Row],[Employee_ID]],THrList[],10,FALSE),"")</f>
        <v>Sales</v>
      </c>
      <c r="F1018" t="str">
        <f>TRIM(PROPER(TTrainingSource[[#This Row],[Training_Status2]]))</f>
        <v>In Progress</v>
      </c>
      <c r="G1018" t="s">
        <v>8</v>
      </c>
      <c r="H1018" t="str">
        <f>TRIM(PROPER(TTrainingSource[[#This Row],[Training_Title2]]))</f>
        <v>Customer Data Analysis</v>
      </c>
      <c r="I1018" t="s">
        <v>31</v>
      </c>
      <c r="J1018" s="1">
        <v>44843</v>
      </c>
      <c r="K1018" t="s">
        <v>32</v>
      </c>
      <c r="L1018" s="7">
        <v>6</v>
      </c>
      <c r="M1018">
        <f>ROUND(TTrainingSource[[#This Row],[Satisfaction_Score2]],0)</f>
        <v>4</v>
      </c>
      <c r="N1018">
        <v>4.2</v>
      </c>
    </row>
    <row r="1019" spans="1:14" x14ac:dyDescent="0.3">
      <c r="A1019" t="s">
        <v>141</v>
      </c>
      <c r="B1019" t="str">
        <f>TRIM(TTrainingSource[[#This Row],[EMPloyee_ID2]])</f>
        <v>EMP10498</v>
      </c>
      <c r="C1019" t="str">
        <f>IFERROR(VLOOKUP(TTrainingSource[[#This Row],[Employee_ID]],THrList[],3,FALSE),"")</f>
        <v>DAVIS</v>
      </c>
      <c r="D1019" t="str">
        <f>IFERROR(VLOOKUP(TTrainingSource[[#This Row],[Employee_ID]],THrList[],4,FALSE),"")</f>
        <v>Yusuf</v>
      </c>
      <c r="E1019" t="str">
        <f>IFERROR(VLOOKUP(TTrainingSource[[#This Row],[Employee_ID]],THrList[],10,FALSE),"")</f>
        <v>Marketing</v>
      </c>
      <c r="F1019" t="str">
        <f>TRIM(PROPER(TTrainingSource[[#This Row],[Training_Status2]]))</f>
        <v>Completed</v>
      </c>
      <c r="G1019" t="s">
        <v>17</v>
      </c>
      <c r="H1019" t="str">
        <f>TRIM(PROPER(TTrainingSource[[#This Row],[Training_Title2]]))</f>
        <v>Digital Marketing Strategy</v>
      </c>
      <c r="I1019" t="s">
        <v>43</v>
      </c>
      <c r="J1019" s="1">
        <v>45640</v>
      </c>
      <c r="K1019" t="s">
        <v>42</v>
      </c>
      <c r="L1019" s="7">
        <v>24</v>
      </c>
      <c r="M1019">
        <f>ROUND(TTrainingSource[[#This Row],[Satisfaction_Score2]],0)</f>
        <v>4</v>
      </c>
      <c r="N1019">
        <v>4.0999999999999996</v>
      </c>
    </row>
    <row r="1020" spans="1:14" x14ac:dyDescent="0.3">
      <c r="A1020" t="s">
        <v>188</v>
      </c>
      <c r="B1020" t="str">
        <f>TRIM(TTrainingSource[[#This Row],[EMPloyee_ID2]])</f>
        <v>EMP10499</v>
      </c>
      <c r="C1020" t="str">
        <f>IFERROR(VLOOKUP(TTrainingSource[[#This Row],[Employee_ID]],THrList[],3,FALSE),"")</f>
        <v>LAURENT</v>
      </c>
      <c r="D1020" t="str">
        <f>IFERROR(VLOOKUP(TTrainingSource[[#This Row],[Employee_ID]],THrList[],4,FALSE),"")</f>
        <v>Noah</v>
      </c>
      <c r="E1020" t="str">
        <f>IFERROR(VLOOKUP(TTrainingSource[[#This Row],[Employee_ID]],THrList[],10,FALSE),"")</f>
        <v>Compliance</v>
      </c>
      <c r="F1020" t="str">
        <f>TRIM(PROPER(TTrainingSource[[#This Row],[Training_Status2]]))</f>
        <v>Completed</v>
      </c>
      <c r="G1020" t="s">
        <v>17</v>
      </c>
      <c r="H1020" t="str">
        <f>TRIM(PROPER(TTrainingSource[[#This Row],[Training_Title2]]))</f>
        <v>Customer Data Analysis</v>
      </c>
      <c r="I1020" t="s">
        <v>31</v>
      </c>
      <c r="J1020" s="1">
        <v>45189</v>
      </c>
      <c r="K1020" t="s">
        <v>32</v>
      </c>
      <c r="L1020" s="7">
        <v>32</v>
      </c>
      <c r="M1020">
        <f>ROUND(TTrainingSource[[#This Row],[Satisfaction_Score2]],0)</f>
        <v>5</v>
      </c>
      <c r="N1020">
        <v>4.8</v>
      </c>
    </row>
    <row r="1021" spans="1:14" x14ac:dyDescent="0.3">
      <c r="A1021" t="s">
        <v>409</v>
      </c>
      <c r="B1021" t="str">
        <f>TRIM(TTrainingSource[[#This Row],[EMPloyee_ID2]])</f>
        <v>EMP10499</v>
      </c>
      <c r="C1021" t="str">
        <f>IFERROR(VLOOKUP(TTrainingSource[[#This Row],[Employee_ID]],THrList[],3,FALSE),"")</f>
        <v>LAURENT</v>
      </c>
      <c r="D1021" t="str">
        <f>IFERROR(VLOOKUP(TTrainingSource[[#This Row],[Employee_ID]],THrList[],4,FALSE),"")</f>
        <v>Noah</v>
      </c>
      <c r="E1021" t="str">
        <f>IFERROR(VLOOKUP(TTrainingSource[[#This Row],[Employee_ID]],THrList[],10,FALSE),"")</f>
        <v>Compliance</v>
      </c>
      <c r="F1021" t="str">
        <f>TRIM(PROPER(TTrainingSource[[#This Row],[Training_Status2]]))</f>
        <v>In Progress</v>
      </c>
      <c r="G1021" t="s">
        <v>8</v>
      </c>
      <c r="H1021" t="str">
        <f>TRIM(PROPER(TTrainingSource[[#This Row],[Training_Title2]]))</f>
        <v>Customer Data Analysis</v>
      </c>
      <c r="I1021" t="s">
        <v>31</v>
      </c>
      <c r="J1021" s="1">
        <v>44976</v>
      </c>
      <c r="K1021" t="s">
        <v>32</v>
      </c>
      <c r="L1021" s="7">
        <v>0</v>
      </c>
      <c r="M1021">
        <f>ROUND(TTrainingSource[[#This Row],[Satisfaction_Score2]],0)</f>
        <v>5</v>
      </c>
      <c r="N1021">
        <v>4.5999999999999996</v>
      </c>
    </row>
    <row r="1022" spans="1:14" x14ac:dyDescent="0.3">
      <c r="A1022" t="s">
        <v>188</v>
      </c>
      <c r="B1022" t="str">
        <f>TRIM(TTrainingSource[[#This Row],[EMPloyee_ID2]])</f>
        <v>EMP10499</v>
      </c>
      <c r="C1022" t="str">
        <f>IFERROR(VLOOKUP(TTrainingSource[[#This Row],[Employee_ID]],THrList[],3,FALSE),"")</f>
        <v>LAURENT</v>
      </c>
      <c r="D1022" t="str">
        <f>IFERROR(VLOOKUP(TTrainingSource[[#This Row],[Employee_ID]],THrList[],4,FALSE),"")</f>
        <v>Noah</v>
      </c>
      <c r="E1022" t="str">
        <f>IFERROR(VLOOKUP(TTrainingSource[[#This Row],[Employee_ID]],THrList[],10,FALSE),"")</f>
        <v>Compliance</v>
      </c>
      <c r="F1022" t="str">
        <f>TRIM(PROPER(TTrainingSource[[#This Row],[Training_Status2]]))</f>
        <v>In Progress</v>
      </c>
      <c r="G1022" t="s">
        <v>8</v>
      </c>
      <c r="H1022" t="str">
        <f>TRIM(PROPER(TTrainingSource[[#This Row],[Training_Title2]]))</f>
        <v>Project Management Essentials</v>
      </c>
      <c r="I1022" t="s">
        <v>14</v>
      </c>
      <c r="J1022" s="1">
        <v>45288</v>
      </c>
      <c r="K1022" t="s">
        <v>39</v>
      </c>
      <c r="L1022" s="7">
        <v>12</v>
      </c>
      <c r="M1022">
        <f>ROUND(TTrainingSource[[#This Row],[Satisfaction_Score2]],0)</f>
        <v>5</v>
      </c>
      <c r="N1022">
        <v>4.9000000000000004</v>
      </c>
    </row>
    <row r="1023" spans="1:14" x14ac:dyDescent="0.3">
      <c r="A1023" t="s">
        <v>45</v>
      </c>
      <c r="B1023" t="str">
        <f>TRIM(TTrainingSource[[#This Row],[EMPloyee_ID2]])</f>
        <v>EMP10501</v>
      </c>
      <c r="C1023" t="str">
        <f>IFERROR(VLOOKUP(TTrainingSource[[#This Row],[Employee_ID]],THrList[],3,FALSE),"")</f>
        <v>BROWN</v>
      </c>
      <c r="D1023" t="str">
        <f>IFERROR(VLOOKUP(TTrainingSource[[#This Row],[Employee_ID]],THrList[],4,FALSE),"")</f>
        <v>Sophie</v>
      </c>
      <c r="E1023" t="str">
        <f>IFERROR(VLOOKUP(TTrainingSource[[#This Row],[Employee_ID]],THrList[],10,FALSE),"")</f>
        <v>Customer Support</v>
      </c>
      <c r="F1023" t="str">
        <f>TRIM(PROPER(TTrainingSource[[#This Row],[Training_Status2]]))</f>
        <v>In Progress</v>
      </c>
      <c r="G1023" t="s">
        <v>8</v>
      </c>
      <c r="H1023" t="str">
        <f>TRIM(PROPER(TTrainingSource[[#This Row],[Training_Title2]]))</f>
        <v>Digital Marketing Strategy</v>
      </c>
      <c r="I1023" t="s">
        <v>43</v>
      </c>
      <c r="J1023" s="1">
        <v>44855</v>
      </c>
      <c r="K1023" t="s">
        <v>46</v>
      </c>
      <c r="L1023" s="7">
        <v>20</v>
      </c>
      <c r="M1023">
        <f>ROUND(TTrainingSource[[#This Row],[Satisfaction_Score2]],0)</f>
        <v>3</v>
      </c>
      <c r="N1023">
        <v>3.2</v>
      </c>
    </row>
    <row r="1024" spans="1:14" x14ac:dyDescent="0.3">
      <c r="A1024" t="s">
        <v>45</v>
      </c>
      <c r="B1024" t="str">
        <f>TRIM(TTrainingSource[[#This Row],[EMPloyee_ID2]])</f>
        <v>EMP10501</v>
      </c>
      <c r="C1024" t="str">
        <f>IFERROR(VLOOKUP(TTrainingSource[[#This Row],[Employee_ID]],THrList[],3,FALSE),"")</f>
        <v>BROWN</v>
      </c>
      <c r="D1024" t="str">
        <f>IFERROR(VLOOKUP(TTrainingSource[[#This Row],[Employee_ID]],THrList[],4,FALSE),"")</f>
        <v>Sophie</v>
      </c>
      <c r="E1024" t="str">
        <f>IFERROR(VLOOKUP(TTrainingSource[[#This Row],[Employee_ID]],THrList[],10,FALSE),"")</f>
        <v>Customer Support</v>
      </c>
      <c r="F1024" t="str">
        <f>TRIM(PROPER(TTrainingSource[[#This Row],[Training_Status2]]))</f>
        <v>Completed</v>
      </c>
      <c r="G1024" t="s">
        <v>17</v>
      </c>
      <c r="H1024" t="str">
        <f>TRIM(PROPER(TTrainingSource[[#This Row],[Training_Title2]]))</f>
        <v>Financial Modeling Basics</v>
      </c>
      <c r="I1024" t="s">
        <v>94</v>
      </c>
      <c r="J1024" s="1">
        <v>45729</v>
      </c>
      <c r="K1024" t="s">
        <v>98</v>
      </c>
      <c r="L1024" s="7">
        <v>8</v>
      </c>
      <c r="M1024">
        <f>ROUND(TTrainingSource[[#This Row],[Satisfaction_Score2]],0)</f>
        <v>5</v>
      </c>
      <c r="N1024">
        <v>4.5999999999999996</v>
      </c>
    </row>
    <row r="1025" spans="1:14" x14ac:dyDescent="0.3">
      <c r="A1025" t="s">
        <v>45</v>
      </c>
      <c r="B1025" t="str">
        <f>TRIM(TTrainingSource[[#This Row],[EMPloyee_ID2]])</f>
        <v>EMP10501</v>
      </c>
      <c r="C1025" t="str">
        <f>IFERROR(VLOOKUP(TTrainingSource[[#This Row],[Employee_ID]],THrList[],3,FALSE),"")</f>
        <v>BROWN</v>
      </c>
      <c r="D1025" t="str">
        <f>IFERROR(VLOOKUP(TTrainingSource[[#This Row],[Employee_ID]],THrList[],4,FALSE),"")</f>
        <v>Sophie</v>
      </c>
      <c r="E1025" t="str">
        <f>IFERROR(VLOOKUP(TTrainingSource[[#This Row],[Employee_ID]],THrList[],10,FALSE),"")</f>
        <v>Customer Support</v>
      </c>
      <c r="F1025" t="str">
        <f>TRIM(PROPER(TTrainingSource[[#This Row],[Training_Status2]]))</f>
        <v>Completed</v>
      </c>
      <c r="G1025" t="s">
        <v>17</v>
      </c>
      <c r="H1025" t="str">
        <f>TRIM(PROPER(TTrainingSource[[#This Row],[Training_Title2]]))</f>
        <v>Advanced Excel For Business</v>
      </c>
      <c r="I1025" t="s">
        <v>52</v>
      </c>
      <c r="J1025" s="1">
        <v>45240</v>
      </c>
      <c r="K1025" t="s">
        <v>39</v>
      </c>
      <c r="L1025" s="7">
        <v>4</v>
      </c>
      <c r="M1025">
        <f>ROUND(TTrainingSource[[#This Row],[Satisfaction_Score2]],0)</f>
        <v>3</v>
      </c>
      <c r="N1025">
        <v>2.5</v>
      </c>
    </row>
    <row r="1026" spans="1:14" x14ac:dyDescent="0.3">
      <c r="A1026" t="s">
        <v>45</v>
      </c>
      <c r="B1026" t="str">
        <f>TRIM(TTrainingSource[[#This Row],[EMPloyee_ID2]])</f>
        <v>EMP10501</v>
      </c>
      <c r="C1026" t="str">
        <f>IFERROR(VLOOKUP(TTrainingSource[[#This Row],[Employee_ID]],THrList[],3,FALSE),"")</f>
        <v>BROWN</v>
      </c>
      <c r="D1026" t="str">
        <f>IFERROR(VLOOKUP(TTrainingSource[[#This Row],[Employee_ID]],THrList[],4,FALSE),"")</f>
        <v>Sophie</v>
      </c>
      <c r="E1026" t="str">
        <f>IFERROR(VLOOKUP(TTrainingSource[[#This Row],[Employee_ID]],THrList[],10,FALSE),"")</f>
        <v>Customer Support</v>
      </c>
      <c r="F1026" t="str">
        <f>TRIM(PROPER(TTrainingSource[[#This Row],[Training_Status2]]))</f>
        <v>Planned</v>
      </c>
      <c r="G1026" t="s">
        <v>19</v>
      </c>
      <c r="H1026" t="str">
        <f>TRIM(PROPER(TTrainingSource[[#This Row],[Training_Title2]]))</f>
        <v>Introduction To Python For Data</v>
      </c>
      <c r="I1026" t="s">
        <v>62</v>
      </c>
      <c r="J1026" s="1">
        <v>45373</v>
      </c>
      <c r="K1026" t="s">
        <v>42</v>
      </c>
      <c r="L1026" s="7">
        <v>8</v>
      </c>
      <c r="M1026">
        <f>ROUND(TTrainingSource[[#This Row],[Satisfaction_Score2]],0)</f>
        <v>5</v>
      </c>
      <c r="N1026">
        <v>4.5</v>
      </c>
    </row>
    <row r="1027" spans="1:14" x14ac:dyDescent="0.3">
      <c r="A1027" t="s">
        <v>45</v>
      </c>
      <c r="B1027" t="str">
        <f>TRIM(TTrainingSource[[#This Row],[EMPloyee_ID2]])</f>
        <v>EMP10501</v>
      </c>
      <c r="C1027" t="str">
        <f>IFERROR(VLOOKUP(TTrainingSource[[#This Row],[Employee_ID]],THrList[],3,FALSE),"")</f>
        <v>BROWN</v>
      </c>
      <c r="D1027" t="str">
        <f>IFERROR(VLOOKUP(TTrainingSource[[#This Row],[Employee_ID]],THrList[],4,FALSE),"")</f>
        <v>Sophie</v>
      </c>
      <c r="E1027" t="str">
        <f>IFERROR(VLOOKUP(TTrainingSource[[#This Row],[Employee_ID]],THrList[],10,FALSE),"")</f>
        <v>Customer Support</v>
      </c>
      <c r="F1027" t="str">
        <f>TRIM(PROPER(TTrainingSource[[#This Row],[Training_Status2]]))</f>
        <v>Planned</v>
      </c>
      <c r="G1027" t="s">
        <v>19</v>
      </c>
      <c r="H1027" t="str">
        <f>TRIM(PROPER(TTrainingSource[[#This Row],[Training_Title2]]))</f>
        <v>Digital Marketing Strategy</v>
      </c>
      <c r="I1027" t="s">
        <v>43</v>
      </c>
      <c r="J1027" s="1">
        <v>45090</v>
      </c>
      <c r="K1027" t="s">
        <v>42</v>
      </c>
      <c r="L1027" s="7">
        <v>6</v>
      </c>
      <c r="M1027">
        <f>ROUND(TTrainingSource[[#This Row],[Satisfaction_Score2]],0)</f>
        <v>4</v>
      </c>
      <c r="N1027">
        <v>3.7</v>
      </c>
    </row>
    <row r="1028" spans="1:14" x14ac:dyDescent="0.3">
      <c r="A1028" t="s">
        <v>584</v>
      </c>
      <c r="B1028" t="str">
        <f>TRIM(TTrainingSource[[#This Row],[EMPloyee_ID2]])</f>
        <v>EMP10502</v>
      </c>
      <c r="C1028" t="str">
        <f>IFERROR(VLOOKUP(TTrainingSource[[#This Row],[Employee_ID]],THrList[],3,FALSE),"")</f>
        <v>GARCIA</v>
      </c>
      <c r="D1028" t="str">
        <f>IFERROR(VLOOKUP(TTrainingSource[[#This Row],[Employee_ID]],THrList[],4,FALSE),"")</f>
        <v>Olivia</v>
      </c>
      <c r="E1028" t="str">
        <f>IFERROR(VLOOKUP(TTrainingSource[[#This Row],[Employee_ID]],THrList[],10,FALSE),"")</f>
        <v>Human Resources</v>
      </c>
      <c r="F1028" t="str">
        <f>TRIM(PROPER(TTrainingSource[[#This Row],[Training_Status2]]))</f>
        <v>Planned</v>
      </c>
      <c r="G1028" t="s">
        <v>19</v>
      </c>
      <c r="H1028" t="str">
        <f>TRIM(PROPER(TTrainingSource[[#This Row],[Training_Title2]]))</f>
        <v>Digital Marketing Strategy</v>
      </c>
      <c r="I1028" t="s">
        <v>43</v>
      </c>
      <c r="J1028" s="1">
        <v>45268</v>
      </c>
      <c r="K1028" t="s">
        <v>44</v>
      </c>
      <c r="L1028" s="7">
        <v>12</v>
      </c>
      <c r="M1028">
        <f>ROUND(TTrainingSource[[#This Row],[Satisfaction_Score2]],0)</f>
        <v>4</v>
      </c>
      <c r="N1028">
        <v>3.9</v>
      </c>
    </row>
    <row r="1029" spans="1:14" x14ac:dyDescent="0.3">
      <c r="A1029" t="s">
        <v>584</v>
      </c>
      <c r="B1029" t="str">
        <f>TRIM(TTrainingSource[[#This Row],[EMPloyee_ID2]])</f>
        <v>EMP10502</v>
      </c>
      <c r="C1029" t="str">
        <f>IFERROR(VLOOKUP(TTrainingSource[[#This Row],[Employee_ID]],THrList[],3,FALSE),"")</f>
        <v>GARCIA</v>
      </c>
      <c r="D1029" t="str">
        <f>IFERROR(VLOOKUP(TTrainingSource[[#This Row],[Employee_ID]],THrList[],4,FALSE),"")</f>
        <v>Olivia</v>
      </c>
      <c r="E1029" t="str">
        <f>IFERROR(VLOOKUP(TTrainingSource[[#This Row],[Employee_ID]],THrList[],10,FALSE),"")</f>
        <v>Human Resources</v>
      </c>
      <c r="F1029" t="str">
        <f>TRIM(PROPER(TTrainingSource[[#This Row],[Training_Status2]]))</f>
        <v>Planned</v>
      </c>
      <c r="G1029" t="s">
        <v>19</v>
      </c>
      <c r="H1029" t="str">
        <f>TRIM(PROPER(TTrainingSource[[#This Row],[Training_Title2]]))</f>
        <v>Project Management Essentials</v>
      </c>
      <c r="I1029" t="s">
        <v>14</v>
      </c>
      <c r="J1029" s="1">
        <v>44857</v>
      </c>
      <c r="K1029" t="s">
        <v>12</v>
      </c>
      <c r="L1029" s="7">
        <v>32</v>
      </c>
      <c r="M1029">
        <f>ROUND(TTrainingSource[[#This Row],[Satisfaction_Score2]],0)</f>
        <v>3</v>
      </c>
      <c r="N1029">
        <v>3.2</v>
      </c>
    </row>
    <row r="1030" spans="1:14" x14ac:dyDescent="0.3">
      <c r="A1030" t="s">
        <v>207</v>
      </c>
      <c r="B1030" t="str">
        <f>TRIM(TTrainingSource[[#This Row],[EMPloyee_ID2]])</f>
        <v>EMP10503</v>
      </c>
      <c r="C1030" t="str">
        <f>IFERROR(VLOOKUP(TTrainingSource[[#This Row],[Employee_ID]],THrList[],3,FALSE),"")</f>
        <v>ABDULLAH</v>
      </c>
      <c r="D1030" t="str">
        <f>IFERROR(VLOOKUP(TTrainingSource[[#This Row],[Employee_ID]],THrList[],4,FALSE),"")</f>
        <v>Benjamin</v>
      </c>
      <c r="E1030" t="str">
        <f>IFERROR(VLOOKUP(TTrainingSource[[#This Row],[Employee_ID]],THrList[],10,FALSE),"")</f>
        <v>Compliance</v>
      </c>
      <c r="F1030" t="str">
        <f>TRIM(PROPER(TTrainingSource[[#This Row],[Training_Status2]]))</f>
        <v>Completed</v>
      </c>
      <c r="G1030" t="s">
        <v>17</v>
      </c>
      <c r="H1030" t="str">
        <f>TRIM(PROPER(TTrainingSource[[#This Row],[Training_Title2]]))</f>
        <v>Financial Modeling Basics</v>
      </c>
      <c r="I1030" t="s">
        <v>38</v>
      </c>
      <c r="J1030" s="1">
        <v>44821</v>
      </c>
      <c r="K1030" t="s">
        <v>29</v>
      </c>
      <c r="L1030" s="7">
        <v>24</v>
      </c>
      <c r="M1030">
        <f>ROUND(TTrainingSource[[#This Row],[Satisfaction_Score2]],0)</f>
        <v>3</v>
      </c>
      <c r="N1030">
        <v>2.7</v>
      </c>
    </row>
    <row r="1031" spans="1:14" x14ac:dyDescent="0.3">
      <c r="A1031" t="s">
        <v>605</v>
      </c>
      <c r="B1031" t="str">
        <f>TRIM(TTrainingSource[[#This Row],[EMPloyee_ID2]])</f>
        <v>EMP10503</v>
      </c>
      <c r="C1031" t="str">
        <f>IFERROR(VLOOKUP(TTrainingSource[[#This Row],[Employee_ID]],THrList[],3,FALSE),"")</f>
        <v>ABDULLAH</v>
      </c>
      <c r="D1031" t="str">
        <f>IFERROR(VLOOKUP(TTrainingSource[[#This Row],[Employee_ID]],THrList[],4,FALSE),"")</f>
        <v>Benjamin</v>
      </c>
      <c r="E1031" t="str">
        <f>IFERROR(VLOOKUP(TTrainingSource[[#This Row],[Employee_ID]],THrList[],10,FALSE),"")</f>
        <v>Compliance</v>
      </c>
      <c r="F1031" t="str">
        <f>TRIM(PROPER(TTrainingSource[[#This Row],[Training_Status2]]))</f>
        <v>Completed</v>
      </c>
      <c r="G1031" t="s">
        <v>17</v>
      </c>
      <c r="H1031" t="str">
        <f>TRIM(PROPER(TTrainingSource[[#This Row],[Training_Title2]]))</f>
        <v>Financial Modeling Basics</v>
      </c>
      <c r="I1031" t="s">
        <v>38</v>
      </c>
      <c r="J1031" s="1">
        <v>44922</v>
      </c>
      <c r="K1031" t="s">
        <v>42</v>
      </c>
      <c r="L1031" s="7">
        <v>6</v>
      </c>
      <c r="M1031">
        <f>ROUND(TTrainingSource[[#This Row],[Satisfaction_Score2]],0)</f>
        <v>3</v>
      </c>
      <c r="N1031">
        <v>3.2</v>
      </c>
    </row>
    <row r="1032" spans="1:14" x14ac:dyDescent="0.3">
      <c r="A1032" t="s">
        <v>485</v>
      </c>
      <c r="B1032" t="str">
        <f>TRIM(TTrainingSource[[#This Row],[EMPloyee_ID2]])</f>
        <v>EMP10504</v>
      </c>
      <c r="C1032" t="str">
        <f>IFERROR(VLOOKUP(TTrainingSource[[#This Row],[Employee_ID]],THrList[],3,FALSE),"")</f>
        <v>DUBOIS</v>
      </c>
      <c r="D1032" t="str">
        <f>IFERROR(VLOOKUP(TTrainingSource[[#This Row],[Employee_ID]],THrList[],4,FALSE),"")</f>
        <v>Yusuf</v>
      </c>
      <c r="E1032" t="str">
        <f>IFERROR(VLOOKUP(TTrainingSource[[#This Row],[Employee_ID]],THrList[],10,FALSE),"")</f>
        <v>Compliance</v>
      </c>
      <c r="F1032" t="str">
        <f>TRIM(PROPER(TTrainingSource[[#This Row],[Training_Status2]]))</f>
        <v>In Progress</v>
      </c>
      <c r="G1032" t="s">
        <v>8</v>
      </c>
      <c r="H1032" t="str">
        <f>TRIM(PROPER(TTrainingSource[[#This Row],[Training_Title2]]))</f>
        <v>Sql For Data Analytics</v>
      </c>
      <c r="I1032" t="s">
        <v>26</v>
      </c>
      <c r="J1032" s="1">
        <v>44783</v>
      </c>
      <c r="K1032" t="s">
        <v>29</v>
      </c>
      <c r="L1032" s="7">
        <v>16</v>
      </c>
      <c r="M1032">
        <f>ROUND(TTrainingSource[[#This Row],[Satisfaction_Score2]],0)</f>
        <v>3</v>
      </c>
      <c r="N1032">
        <v>2.7</v>
      </c>
    </row>
    <row r="1033" spans="1:14" x14ac:dyDescent="0.3">
      <c r="A1033" t="s">
        <v>673</v>
      </c>
      <c r="B1033" t="str">
        <f>TRIM(TTrainingSource[[#This Row],[EMPloyee_ID2]])</f>
        <v>EMP10505</v>
      </c>
      <c r="C1033" t="str">
        <f>IFERROR(VLOOKUP(TTrainingSource[[#This Row],[Employee_ID]],THrList[],3,FALSE),"")</f>
        <v>DUBOIS</v>
      </c>
      <c r="D1033" t="str">
        <f>IFERROR(VLOOKUP(TTrainingSource[[#This Row],[Employee_ID]],THrList[],4,FALSE),"")</f>
        <v>Evelyn</v>
      </c>
      <c r="E1033" t="str">
        <f>IFERROR(VLOOKUP(TTrainingSource[[#This Row],[Employee_ID]],THrList[],10,FALSE),"")</f>
        <v>IT</v>
      </c>
      <c r="F1033" t="str">
        <f>TRIM(PROPER(TTrainingSource[[#This Row],[Training_Status2]]))</f>
        <v>Planned</v>
      </c>
      <c r="G1033" t="s">
        <v>19</v>
      </c>
      <c r="H1033" t="str">
        <f>TRIM(PROPER(TTrainingSource[[#This Row],[Training_Title2]]))</f>
        <v>Financial Modeling Basics</v>
      </c>
      <c r="I1033" t="s">
        <v>38</v>
      </c>
      <c r="J1033" s="1">
        <v>44672</v>
      </c>
      <c r="K1033" t="s">
        <v>44</v>
      </c>
      <c r="L1033" s="7">
        <v>6</v>
      </c>
      <c r="M1033">
        <f>ROUND(TTrainingSource[[#This Row],[Satisfaction_Score2]],0)</f>
        <v>3</v>
      </c>
      <c r="N1033">
        <v>3.3</v>
      </c>
    </row>
    <row r="1034" spans="1:14" x14ac:dyDescent="0.3">
      <c r="A1034" t="s">
        <v>673</v>
      </c>
      <c r="B1034" t="str">
        <f>TRIM(TTrainingSource[[#This Row],[EMPloyee_ID2]])</f>
        <v>EMP10505</v>
      </c>
      <c r="C1034" t="str">
        <f>IFERROR(VLOOKUP(TTrainingSource[[#This Row],[Employee_ID]],THrList[],3,FALSE),"")</f>
        <v>DUBOIS</v>
      </c>
      <c r="D1034" t="str">
        <f>IFERROR(VLOOKUP(TTrainingSource[[#This Row],[Employee_ID]],THrList[],4,FALSE),"")</f>
        <v>Evelyn</v>
      </c>
      <c r="E1034" t="str">
        <f>IFERROR(VLOOKUP(TTrainingSource[[#This Row],[Employee_ID]],THrList[],10,FALSE),"")</f>
        <v>IT</v>
      </c>
      <c r="F1034" t="str">
        <f>TRIM(PROPER(TTrainingSource[[#This Row],[Training_Status2]]))</f>
        <v>Planned</v>
      </c>
      <c r="G1034" t="s">
        <v>19</v>
      </c>
      <c r="H1034" t="str">
        <f>TRIM(PROPER(TTrainingSource[[#This Row],[Training_Title2]]))</f>
        <v>Introduction To Python For Data</v>
      </c>
      <c r="I1034" t="s">
        <v>62</v>
      </c>
      <c r="J1034" s="1">
        <v>44789</v>
      </c>
      <c r="K1034" t="s">
        <v>46</v>
      </c>
      <c r="L1034" s="7">
        <v>20</v>
      </c>
      <c r="M1034">
        <f>ROUND(TTrainingSource[[#This Row],[Satisfaction_Score2]],0)</f>
        <v>3</v>
      </c>
      <c r="N1034">
        <v>3.3</v>
      </c>
    </row>
    <row r="1035" spans="1:14" x14ac:dyDescent="0.3">
      <c r="A1035" t="s">
        <v>673</v>
      </c>
      <c r="B1035" t="str">
        <f>TRIM(TTrainingSource[[#This Row],[EMPloyee_ID2]])</f>
        <v>EMP10505</v>
      </c>
      <c r="C1035" t="str">
        <f>IFERROR(VLOOKUP(TTrainingSource[[#This Row],[Employee_ID]],THrList[],3,FALSE),"")</f>
        <v>DUBOIS</v>
      </c>
      <c r="D1035" t="str">
        <f>IFERROR(VLOOKUP(TTrainingSource[[#This Row],[Employee_ID]],THrList[],4,FALSE),"")</f>
        <v>Evelyn</v>
      </c>
      <c r="E1035" t="str">
        <f>IFERROR(VLOOKUP(TTrainingSource[[#This Row],[Employee_ID]],THrList[],10,FALSE),"")</f>
        <v>IT</v>
      </c>
      <c r="F1035" t="str">
        <f>TRIM(PROPER(TTrainingSource[[#This Row],[Training_Status2]]))</f>
        <v>In Progress</v>
      </c>
      <c r="G1035" t="s">
        <v>8</v>
      </c>
      <c r="H1035" t="str">
        <f>TRIM(PROPER(TTrainingSource[[#This Row],[Training_Title2]]))</f>
        <v>Sql For Data Analytics</v>
      </c>
      <c r="I1035" t="s">
        <v>26</v>
      </c>
      <c r="J1035" s="1">
        <v>44907</v>
      </c>
      <c r="K1035" t="s">
        <v>29</v>
      </c>
      <c r="L1035" s="7">
        <v>12</v>
      </c>
      <c r="M1035">
        <f>ROUND(TTrainingSource[[#This Row],[Satisfaction_Score2]],0)</f>
        <v>3</v>
      </c>
      <c r="N1035">
        <v>3.2</v>
      </c>
    </row>
    <row r="1036" spans="1:14" x14ac:dyDescent="0.3">
      <c r="A1036" t="s">
        <v>640</v>
      </c>
      <c r="B1036" t="str">
        <f>TRIM(TTrainingSource[[#This Row],[EMPloyee_ID2]])</f>
        <v>EMP10506</v>
      </c>
      <c r="C1036" t="str">
        <f>IFERROR(VLOOKUP(TTrainingSource[[#This Row],[Employee_ID]],THrList[],3,FALSE),"")</f>
        <v>MENSAH</v>
      </c>
      <c r="D1036" t="str">
        <f>IFERROR(VLOOKUP(TTrainingSource[[#This Row],[Employee_ID]],THrList[],4,FALSE),"")</f>
        <v>Paul</v>
      </c>
      <c r="E1036" t="str">
        <f>IFERROR(VLOOKUP(TTrainingSource[[#This Row],[Employee_ID]],THrList[],10,FALSE),"")</f>
        <v>Human Resources</v>
      </c>
      <c r="F1036" t="str">
        <f>TRIM(PROPER(TTrainingSource[[#This Row],[Training_Status2]]))</f>
        <v>In Progress</v>
      </c>
      <c r="G1036" t="s">
        <v>8</v>
      </c>
      <c r="H1036" t="str">
        <f>TRIM(PROPER(TTrainingSource[[#This Row],[Training_Title2]]))</f>
        <v>Project Management Essentials</v>
      </c>
      <c r="I1036" t="s">
        <v>14</v>
      </c>
      <c r="J1036" s="1">
        <v>44573</v>
      </c>
      <c r="K1036" t="s">
        <v>1072</v>
      </c>
      <c r="L1036" s="7">
        <v>4</v>
      </c>
      <c r="M1036">
        <f>ROUND(TTrainingSource[[#This Row],[Satisfaction_Score2]],0)</f>
        <v>5</v>
      </c>
      <c r="N1036">
        <v>4.7</v>
      </c>
    </row>
    <row r="1037" spans="1:14" x14ac:dyDescent="0.3">
      <c r="A1037" t="s">
        <v>640</v>
      </c>
      <c r="B1037" t="str">
        <f>TRIM(TTrainingSource[[#This Row],[EMPloyee_ID2]])</f>
        <v>EMP10506</v>
      </c>
      <c r="C1037" t="str">
        <f>IFERROR(VLOOKUP(TTrainingSource[[#This Row],[Employee_ID]],THrList[],3,FALSE),"")</f>
        <v>MENSAH</v>
      </c>
      <c r="D1037" t="str">
        <f>IFERROR(VLOOKUP(TTrainingSource[[#This Row],[Employee_ID]],THrList[],4,FALSE),"")</f>
        <v>Paul</v>
      </c>
      <c r="E1037" t="str">
        <f>IFERROR(VLOOKUP(TTrainingSource[[#This Row],[Employee_ID]],THrList[],10,FALSE),"")</f>
        <v>Human Resources</v>
      </c>
      <c r="F1037" t="str">
        <f>TRIM(PROPER(TTrainingSource[[#This Row],[Training_Status2]]))</f>
        <v>Completed</v>
      </c>
      <c r="G1037" t="s">
        <v>17</v>
      </c>
      <c r="H1037" t="str">
        <f>TRIM(PROPER(TTrainingSource[[#This Row],[Training_Title2]]))</f>
        <v>Introduction To Python For Data</v>
      </c>
      <c r="I1037" t="s">
        <v>62</v>
      </c>
      <c r="J1037" s="1">
        <v>45711</v>
      </c>
      <c r="K1037" t="s">
        <v>42</v>
      </c>
      <c r="L1037" s="7">
        <v>20</v>
      </c>
      <c r="M1037">
        <f>ROUND(TTrainingSource[[#This Row],[Satisfaction_Score2]],0)</f>
        <v>4</v>
      </c>
      <c r="N1037">
        <v>4.4000000000000004</v>
      </c>
    </row>
    <row r="1038" spans="1:14" x14ac:dyDescent="0.3">
      <c r="A1038" t="s">
        <v>640</v>
      </c>
      <c r="B1038" t="str">
        <f>TRIM(TTrainingSource[[#This Row],[EMPloyee_ID2]])</f>
        <v>EMP10506</v>
      </c>
      <c r="C1038" t="str">
        <f>IFERROR(VLOOKUP(TTrainingSource[[#This Row],[Employee_ID]],THrList[],3,FALSE),"")</f>
        <v>MENSAH</v>
      </c>
      <c r="D1038" t="str">
        <f>IFERROR(VLOOKUP(TTrainingSource[[#This Row],[Employee_ID]],THrList[],4,FALSE),"")</f>
        <v>Paul</v>
      </c>
      <c r="E1038" t="str">
        <f>IFERROR(VLOOKUP(TTrainingSource[[#This Row],[Employee_ID]],THrList[],10,FALSE),"")</f>
        <v>Human Resources</v>
      </c>
      <c r="F1038" t="str">
        <f>TRIM(PROPER(TTrainingSource[[#This Row],[Training_Status2]]))</f>
        <v>Completed</v>
      </c>
      <c r="G1038" t="s">
        <v>17</v>
      </c>
      <c r="H1038" t="str">
        <f>TRIM(PROPER(TTrainingSource[[#This Row],[Training_Title2]]))</f>
        <v>Communication For Analysts</v>
      </c>
      <c r="I1038" t="s">
        <v>28</v>
      </c>
      <c r="J1038" s="1">
        <v>45833</v>
      </c>
      <c r="K1038" t="s">
        <v>98</v>
      </c>
      <c r="L1038" s="7">
        <v>12</v>
      </c>
      <c r="M1038">
        <f>ROUND(TTrainingSource[[#This Row],[Satisfaction_Score2]],0)</f>
        <v>3</v>
      </c>
      <c r="N1038">
        <v>3</v>
      </c>
    </row>
    <row r="1039" spans="1:14" x14ac:dyDescent="0.3">
      <c r="A1039" t="s">
        <v>734</v>
      </c>
      <c r="B1039" t="str">
        <f>TRIM(TTrainingSource[[#This Row],[EMPloyee_ID2]])</f>
        <v>EMP10507</v>
      </c>
      <c r="C1039" t="str">
        <f>IFERROR(VLOOKUP(TTrainingSource[[#This Row],[Employee_ID]],THrList[],3,FALSE),"")</f>
        <v>WILLIAMS</v>
      </c>
      <c r="D1039" t="str">
        <f>IFERROR(VLOOKUP(TTrainingSource[[#This Row],[Employee_ID]],THrList[],4,FALSE),"")</f>
        <v>Mariama</v>
      </c>
      <c r="E1039" t="str">
        <f>IFERROR(VLOOKUP(TTrainingSource[[#This Row],[Employee_ID]],THrList[],10,FALSE),"")</f>
        <v>Operations</v>
      </c>
      <c r="F1039" t="str">
        <f>TRIM(PROPER(TTrainingSource[[#This Row],[Training_Status2]]))</f>
        <v>Completed</v>
      </c>
      <c r="G1039" t="s">
        <v>17</v>
      </c>
      <c r="H1039" t="str">
        <f>TRIM(PROPER(TTrainingSource[[#This Row],[Training_Title2]]))</f>
        <v>Advanced Excel For Business</v>
      </c>
      <c r="I1039" t="s">
        <v>52</v>
      </c>
      <c r="J1039" s="1">
        <v>44625</v>
      </c>
      <c r="K1039" t="s">
        <v>46</v>
      </c>
      <c r="L1039" s="7">
        <v>40</v>
      </c>
      <c r="M1039">
        <f>ROUND(TTrainingSource[[#This Row],[Satisfaction_Score2]],0)</f>
        <v>5</v>
      </c>
      <c r="N1039">
        <v>4.5999999999999996</v>
      </c>
    </row>
    <row r="1040" spans="1:14" x14ac:dyDescent="0.3">
      <c r="A1040" t="s">
        <v>734</v>
      </c>
      <c r="B1040" t="str">
        <f>TRIM(TTrainingSource[[#This Row],[EMPloyee_ID2]])</f>
        <v>EMP10507</v>
      </c>
      <c r="C1040" t="str">
        <f>IFERROR(VLOOKUP(TTrainingSource[[#This Row],[Employee_ID]],THrList[],3,FALSE),"")</f>
        <v>WILLIAMS</v>
      </c>
      <c r="D1040" t="str">
        <f>IFERROR(VLOOKUP(TTrainingSource[[#This Row],[Employee_ID]],THrList[],4,FALSE),"")</f>
        <v>Mariama</v>
      </c>
      <c r="E1040" t="str">
        <f>IFERROR(VLOOKUP(TTrainingSource[[#This Row],[Employee_ID]],THrList[],10,FALSE),"")</f>
        <v>Operations</v>
      </c>
      <c r="F1040" t="str">
        <f>TRIM(PROPER(TTrainingSource[[#This Row],[Training_Status2]]))</f>
        <v>Planned</v>
      </c>
      <c r="G1040" t="s">
        <v>19</v>
      </c>
      <c r="H1040" t="str">
        <f>TRIM(PROPER(TTrainingSource[[#This Row],[Training_Title2]]))</f>
        <v>Digital Marketing Strategy</v>
      </c>
      <c r="I1040" t="s">
        <v>284</v>
      </c>
      <c r="J1040" s="1">
        <v>44851</v>
      </c>
      <c r="K1040" t="s">
        <v>42</v>
      </c>
      <c r="L1040" s="7">
        <v>40</v>
      </c>
      <c r="M1040">
        <f>ROUND(TTrainingSource[[#This Row],[Satisfaction_Score2]],0)</f>
        <v>3</v>
      </c>
      <c r="N1040">
        <v>2.8</v>
      </c>
    </row>
    <row r="1041" spans="1:14" x14ac:dyDescent="0.3">
      <c r="A1041" t="s">
        <v>78</v>
      </c>
      <c r="B1041" t="str">
        <f>TRIM(TTrainingSource[[#This Row],[EMPloyee_ID2]])</f>
        <v>EMP10509</v>
      </c>
      <c r="C1041" t="str">
        <f>IFERROR(VLOOKUP(TTrainingSource[[#This Row],[Employee_ID]],THrList[],3,FALSE),"")</f>
        <v>GONZALEZ</v>
      </c>
      <c r="D1041" t="str">
        <f>IFERROR(VLOOKUP(TTrainingSource[[#This Row],[Employee_ID]],THrList[],4,FALSE),"")</f>
        <v>Kwame</v>
      </c>
      <c r="E1041" t="str">
        <f>IFERROR(VLOOKUP(TTrainingSource[[#This Row],[Employee_ID]],THrList[],10,FALSE),"")</f>
        <v>Finance</v>
      </c>
      <c r="F1041" t="str">
        <f>TRIM(PROPER(TTrainingSource[[#This Row],[Training_Status2]]))</f>
        <v>In Progress</v>
      </c>
      <c r="G1041" t="s">
        <v>8</v>
      </c>
      <c r="H1041" t="str">
        <f>TRIM(PROPER(TTrainingSource[[#This Row],[Training_Title2]]))</f>
        <v>Digital Marketing Strategy</v>
      </c>
      <c r="I1041" t="s">
        <v>79</v>
      </c>
      <c r="J1041" s="1">
        <v>45551</v>
      </c>
      <c r="K1041" t="s">
        <v>44</v>
      </c>
      <c r="L1041" s="7">
        <v>8</v>
      </c>
      <c r="M1041">
        <f>ROUND(TTrainingSource[[#This Row],[Satisfaction_Score2]],0)</f>
        <v>5</v>
      </c>
      <c r="N1041">
        <v>4.8</v>
      </c>
    </row>
    <row r="1042" spans="1:14" x14ac:dyDescent="0.3">
      <c r="A1042" t="s">
        <v>78</v>
      </c>
      <c r="B1042" t="str">
        <f>TRIM(TTrainingSource[[#This Row],[EMPloyee_ID2]])</f>
        <v>EMP10509</v>
      </c>
      <c r="C1042" t="str">
        <f>IFERROR(VLOOKUP(TTrainingSource[[#This Row],[Employee_ID]],THrList[],3,FALSE),"")</f>
        <v>GONZALEZ</v>
      </c>
      <c r="D1042" t="str">
        <f>IFERROR(VLOOKUP(TTrainingSource[[#This Row],[Employee_ID]],THrList[],4,FALSE),"")</f>
        <v>Kwame</v>
      </c>
      <c r="E1042" t="str">
        <f>IFERROR(VLOOKUP(TTrainingSource[[#This Row],[Employee_ID]],THrList[],10,FALSE),"")</f>
        <v>Finance</v>
      </c>
      <c r="F1042" t="str">
        <f>TRIM(PROPER(TTrainingSource[[#This Row],[Training_Status2]]))</f>
        <v>Completed</v>
      </c>
      <c r="G1042" t="s">
        <v>17</v>
      </c>
      <c r="H1042" t="str">
        <f>TRIM(PROPER(TTrainingSource[[#This Row],[Training_Title2]]))</f>
        <v>Data Visualization Best Practices</v>
      </c>
      <c r="I1042" t="s">
        <v>20</v>
      </c>
      <c r="J1042" s="1">
        <v>45530</v>
      </c>
      <c r="K1042" t="s">
        <v>44</v>
      </c>
      <c r="L1042" s="7">
        <v>40</v>
      </c>
      <c r="M1042">
        <f>ROUND(TTrainingSource[[#This Row],[Satisfaction_Score2]],0)</f>
        <v>5</v>
      </c>
      <c r="N1042">
        <v>4.8</v>
      </c>
    </row>
    <row r="1043" spans="1:14" x14ac:dyDescent="0.3">
      <c r="A1043" t="s">
        <v>531</v>
      </c>
      <c r="B1043" t="str">
        <f>TRIM(TTrainingSource[[#This Row],[EMPloyee_ID2]])</f>
        <v>EMP10510</v>
      </c>
      <c r="C1043" t="str">
        <f>IFERROR(VLOOKUP(TTrainingSource[[#This Row],[Employee_ID]],THrList[],3,FALSE),"")</f>
        <v>MILLER</v>
      </c>
      <c r="D1043" t="str">
        <f>IFERROR(VLOOKUP(TTrainingSource[[#This Row],[Employee_ID]],THrList[],4,FALSE),"")</f>
        <v>Isabella</v>
      </c>
      <c r="E1043" t="str">
        <f>IFERROR(VLOOKUP(TTrainingSource[[#This Row],[Employee_ID]],THrList[],10,FALSE),"")</f>
        <v>N/A</v>
      </c>
      <c r="F1043" t="str">
        <f>TRIM(PROPER(TTrainingSource[[#This Row],[Training_Status2]]))</f>
        <v>In Progress</v>
      </c>
      <c r="G1043" t="s">
        <v>8</v>
      </c>
      <c r="H1043" t="str">
        <f>TRIM(PROPER(TTrainingSource[[#This Row],[Training_Title2]]))</f>
        <v>Data Visualization Best Practices</v>
      </c>
      <c r="I1043" t="s">
        <v>532</v>
      </c>
      <c r="J1043" s="1">
        <v>45359</v>
      </c>
      <c r="K1043" t="s">
        <v>32</v>
      </c>
      <c r="L1043" s="7">
        <v>16</v>
      </c>
      <c r="M1043">
        <f>ROUND(TTrainingSource[[#This Row],[Satisfaction_Score2]],0)</f>
        <v>4</v>
      </c>
      <c r="N1043">
        <v>3.5</v>
      </c>
    </row>
    <row r="1044" spans="1:14" x14ac:dyDescent="0.3">
      <c r="A1044" t="s">
        <v>80</v>
      </c>
      <c r="B1044" t="str">
        <f>TRIM(TTrainingSource[[#This Row],[EMPloyee_ID2]])</f>
        <v>EMP10511</v>
      </c>
      <c r="C1044" t="str">
        <f>IFERROR(VLOOKUP(TTrainingSource[[#This Row],[Employee_ID]],THrList[],3,FALSE),"")</f>
        <v>MILLER</v>
      </c>
      <c r="D1044" t="str">
        <f>IFERROR(VLOOKUP(TTrainingSource[[#This Row],[Employee_ID]],THrList[],4,FALSE),"")</f>
        <v>Lucas</v>
      </c>
      <c r="E1044" t="str">
        <f>IFERROR(VLOOKUP(TTrainingSource[[#This Row],[Employee_ID]],THrList[],10,FALSE),"")</f>
        <v>Marketing</v>
      </c>
      <c r="F1044" t="str">
        <f>TRIM(PROPER(TTrainingSource[[#This Row],[Training_Status2]]))</f>
        <v>Completed</v>
      </c>
      <c r="G1044" t="s">
        <v>17</v>
      </c>
      <c r="H1044" t="str">
        <f>TRIM(PROPER(TTrainingSource[[#This Row],[Training_Title2]]))</f>
        <v>Data Visualization Best Practices</v>
      </c>
      <c r="I1044" t="s">
        <v>20</v>
      </c>
      <c r="J1044" s="1">
        <v>44886</v>
      </c>
      <c r="K1044" t="s">
        <v>42</v>
      </c>
      <c r="L1044" s="7">
        <v>8</v>
      </c>
      <c r="M1044">
        <f>ROUND(TTrainingSource[[#This Row],[Satisfaction_Score2]],0)</f>
        <v>4</v>
      </c>
      <c r="N1044">
        <v>4</v>
      </c>
    </row>
    <row r="1045" spans="1:14" x14ac:dyDescent="0.3">
      <c r="A1045" t="s">
        <v>375</v>
      </c>
      <c r="B1045" t="str">
        <f>TRIM(TTrainingSource[[#This Row],[EMPloyee_ID2]])</f>
        <v>EMP10511</v>
      </c>
      <c r="C1045" t="str">
        <f>IFERROR(VLOOKUP(TTrainingSource[[#This Row],[Employee_ID]],THrList[],3,FALSE),"")</f>
        <v>MILLER</v>
      </c>
      <c r="D1045" t="str">
        <f>IFERROR(VLOOKUP(TTrainingSource[[#This Row],[Employee_ID]],THrList[],4,FALSE),"")</f>
        <v>Lucas</v>
      </c>
      <c r="E1045" t="str">
        <f>IFERROR(VLOOKUP(TTrainingSource[[#This Row],[Employee_ID]],THrList[],10,FALSE),"")</f>
        <v>Marketing</v>
      </c>
      <c r="F1045" t="str">
        <f>TRIM(PROPER(TTrainingSource[[#This Row],[Training_Status2]]))</f>
        <v>Planned</v>
      </c>
      <c r="G1045" t="s">
        <v>19</v>
      </c>
      <c r="H1045" t="str">
        <f>TRIM(PROPER(TTrainingSource[[#This Row],[Training_Title2]]))</f>
        <v>Power Bi Reporting</v>
      </c>
      <c r="I1045" t="s">
        <v>24</v>
      </c>
      <c r="J1045" s="1">
        <v>45692</v>
      </c>
      <c r="K1045" t="s">
        <v>46</v>
      </c>
      <c r="L1045" s="7">
        <v>32</v>
      </c>
      <c r="M1045">
        <f>ROUND(TTrainingSource[[#This Row],[Satisfaction_Score2]],0)</f>
        <v>3</v>
      </c>
      <c r="N1045">
        <v>3.3</v>
      </c>
    </row>
    <row r="1046" spans="1:14" x14ac:dyDescent="0.3">
      <c r="A1046" t="s">
        <v>259</v>
      </c>
      <c r="B1046" t="str">
        <f>TRIM(TTrainingSource[[#This Row],[EMPloyee_ID2]])</f>
        <v>EMP10512</v>
      </c>
      <c r="C1046" t="str">
        <f>IFERROR(VLOOKUP(TTrainingSource[[#This Row],[Employee_ID]],THrList[],3,FALSE),"")</f>
        <v>KOUASSI</v>
      </c>
      <c r="D1046" t="str">
        <f>IFERROR(VLOOKUP(TTrainingSource[[#This Row],[Employee_ID]],THrList[],4,FALSE),"")</f>
        <v>Ngozi</v>
      </c>
      <c r="E1046" t="str">
        <f>IFERROR(VLOOKUP(TTrainingSource[[#This Row],[Employee_ID]],THrList[],10,FALSE),"")</f>
        <v>Marketing</v>
      </c>
      <c r="F1046" t="str">
        <f>TRIM(PROPER(TTrainingSource[[#This Row],[Training_Status2]]))</f>
        <v>In Progress</v>
      </c>
      <c r="G1046" t="s">
        <v>8</v>
      </c>
      <c r="H1046" t="str">
        <f>TRIM(PROPER(TTrainingSource[[#This Row],[Training_Title2]]))</f>
        <v>Digital Marketing Strategy</v>
      </c>
      <c r="I1046" t="s">
        <v>43</v>
      </c>
      <c r="J1046" s="1">
        <v>45738</v>
      </c>
      <c r="K1046" t="s">
        <v>98</v>
      </c>
      <c r="L1046" s="7">
        <v>12</v>
      </c>
      <c r="M1046">
        <f>ROUND(TTrainingSource[[#This Row],[Satisfaction_Score2]],0)</f>
        <v>4</v>
      </c>
      <c r="N1046">
        <v>4.2</v>
      </c>
    </row>
    <row r="1047" spans="1:14" x14ac:dyDescent="0.3">
      <c r="A1047" t="s">
        <v>259</v>
      </c>
      <c r="B1047" t="str">
        <f>TRIM(TTrainingSource[[#This Row],[EMPloyee_ID2]])</f>
        <v>EMP10512</v>
      </c>
      <c r="C1047" t="str">
        <f>IFERROR(VLOOKUP(TTrainingSource[[#This Row],[Employee_ID]],THrList[],3,FALSE),"")</f>
        <v>KOUASSI</v>
      </c>
      <c r="D1047" t="str">
        <f>IFERROR(VLOOKUP(TTrainingSource[[#This Row],[Employee_ID]],THrList[],4,FALSE),"")</f>
        <v>Ngozi</v>
      </c>
      <c r="E1047" t="str">
        <f>IFERROR(VLOOKUP(TTrainingSource[[#This Row],[Employee_ID]],THrList[],10,FALSE),"")</f>
        <v>Marketing</v>
      </c>
      <c r="F1047" t="str">
        <f>TRIM(PROPER(TTrainingSource[[#This Row],[Training_Status2]]))</f>
        <v>Planned</v>
      </c>
      <c r="G1047" t="s">
        <v>19</v>
      </c>
      <c r="H1047" t="str">
        <f>TRIM(PROPER(TTrainingSource[[#This Row],[Training_Title2]]))</f>
        <v>Sql For Data Analytics</v>
      </c>
      <c r="I1047" t="s">
        <v>26</v>
      </c>
      <c r="J1047" s="1">
        <v>44587</v>
      </c>
      <c r="K1047" t="s">
        <v>98</v>
      </c>
      <c r="L1047" s="7">
        <v>40</v>
      </c>
      <c r="M1047">
        <f>ROUND(TTrainingSource[[#This Row],[Satisfaction_Score2]],0)</f>
        <v>4</v>
      </c>
      <c r="N1047">
        <v>3.6</v>
      </c>
    </row>
    <row r="1048" spans="1:14" x14ac:dyDescent="0.3">
      <c r="A1048" t="s">
        <v>239</v>
      </c>
      <c r="B1048" t="str">
        <f>TRIM(TTrainingSource[[#This Row],[EMPloyee_ID2]])</f>
        <v>EMP10513</v>
      </c>
      <c r="C1048" t="str">
        <f>IFERROR(VLOOKUP(TTrainingSource[[#This Row],[Employee_ID]],THrList[],3,FALSE),"")</f>
        <v>MENSAH</v>
      </c>
      <c r="D1048" t="str">
        <f>IFERROR(VLOOKUP(TTrainingSource[[#This Row],[Employee_ID]],THrList[],4,FALSE),"")</f>
        <v>James</v>
      </c>
      <c r="E1048" t="str">
        <f>IFERROR(VLOOKUP(TTrainingSource[[#This Row],[Employee_ID]],THrList[],10,FALSE),"")</f>
        <v>Operations</v>
      </c>
      <c r="F1048" t="str">
        <f>TRIM(PROPER(TTrainingSource[[#This Row],[Training_Status2]]))</f>
        <v>In Progress</v>
      </c>
      <c r="G1048" t="s">
        <v>8</v>
      </c>
      <c r="H1048" t="str">
        <f>TRIM(PROPER(TTrainingSource[[#This Row],[Training_Title2]]))</f>
        <v>Sql For Data Analytics</v>
      </c>
      <c r="I1048" t="s">
        <v>240</v>
      </c>
      <c r="J1048" s="1">
        <v>44618</v>
      </c>
      <c r="K1048" t="s">
        <v>71</v>
      </c>
      <c r="L1048" s="7">
        <v>20</v>
      </c>
      <c r="M1048">
        <f>ROUND(TTrainingSource[[#This Row],[Satisfaction_Score2]],0)</f>
        <v>5</v>
      </c>
      <c r="N1048">
        <v>4.5</v>
      </c>
    </row>
    <row r="1049" spans="1:14" x14ac:dyDescent="0.3">
      <c r="A1049" t="s">
        <v>239</v>
      </c>
      <c r="B1049" t="str">
        <f>TRIM(TTrainingSource[[#This Row],[EMPloyee_ID2]])</f>
        <v>EMP10513</v>
      </c>
      <c r="C1049" t="str">
        <f>IFERROR(VLOOKUP(TTrainingSource[[#This Row],[Employee_ID]],THrList[],3,FALSE),"")</f>
        <v>MENSAH</v>
      </c>
      <c r="D1049" t="str">
        <f>IFERROR(VLOOKUP(TTrainingSource[[#This Row],[Employee_ID]],THrList[],4,FALSE),"")</f>
        <v>James</v>
      </c>
      <c r="E1049" t="str">
        <f>IFERROR(VLOOKUP(TTrainingSource[[#This Row],[Employee_ID]],THrList[],10,FALSE),"")</f>
        <v>Operations</v>
      </c>
      <c r="F1049" t="str">
        <f>TRIM(PROPER(TTrainingSource[[#This Row],[Training_Status2]]))</f>
        <v>In Progress</v>
      </c>
      <c r="G1049" t="s">
        <v>8</v>
      </c>
      <c r="H1049" t="str">
        <f>TRIM(PROPER(TTrainingSource[[#This Row],[Training_Title2]]))</f>
        <v>Data Analysis Fundamentals</v>
      </c>
      <c r="I1049" t="s">
        <v>9</v>
      </c>
      <c r="J1049" s="1">
        <v>44809</v>
      </c>
      <c r="K1049" t="s">
        <v>39</v>
      </c>
      <c r="L1049" s="7">
        <v>16</v>
      </c>
      <c r="M1049">
        <f>ROUND(TTrainingSource[[#This Row],[Satisfaction_Score2]],0)</f>
        <v>4</v>
      </c>
      <c r="N1049">
        <v>3.8</v>
      </c>
    </row>
    <row r="1050" spans="1:14" x14ac:dyDescent="0.3">
      <c r="A1050" t="s">
        <v>754</v>
      </c>
      <c r="B1050" t="str">
        <f>TRIM(TTrainingSource[[#This Row],[EMPloyee_ID2]])</f>
        <v>EMP10515</v>
      </c>
      <c r="C1050" t="str">
        <f>IFERROR(VLOOKUP(TTrainingSource[[#This Row],[Employee_ID]],THrList[],3,FALSE),"")</f>
        <v>RODRIGUEZ</v>
      </c>
      <c r="D1050" t="str">
        <f>IFERROR(VLOOKUP(TTrainingSource[[#This Row],[Employee_ID]],THrList[],4,FALSE),"")</f>
        <v>Claire</v>
      </c>
      <c r="E1050" t="str">
        <f>IFERROR(VLOOKUP(TTrainingSource[[#This Row],[Employee_ID]],THrList[],10,FALSE),"")</f>
        <v>Marketing</v>
      </c>
      <c r="F1050" t="str">
        <f>TRIM(PROPER(TTrainingSource[[#This Row],[Training_Status2]]))</f>
        <v>Planned</v>
      </c>
      <c r="G1050" t="s">
        <v>19</v>
      </c>
      <c r="H1050" t="str">
        <f>TRIM(PROPER(TTrainingSource[[#This Row],[Training_Title2]]))</f>
        <v>Project Management Essentials</v>
      </c>
      <c r="I1050" t="s">
        <v>14</v>
      </c>
      <c r="J1050" s="1">
        <v>45072</v>
      </c>
      <c r="K1050" t="s">
        <v>132</v>
      </c>
      <c r="L1050" s="7">
        <v>32</v>
      </c>
      <c r="M1050">
        <f>ROUND(TTrainingSource[[#This Row],[Satisfaction_Score2]],0)</f>
        <v>4</v>
      </c>
      <c r="N1050">
        <v>3.7</v>
      </c>
    </row>
    <row r="1051" spans="1:14" x14ac:dyDescent="0.3">
      <c r="A1051" t="s">
        <v>754</v>
      </c>
      <c r="B1051" t="str">
        <f>TRIM(TTrainingSource[[#This Row],[EMPloyee_ID2]])</f>
        <v>EMP10515</v>
      </c>
      <c r="C1051" t="str">
        <f>IFERROR(VLOOKUP(TTrainingSource[[#This Row],[Employee_ID]],THrList[],3,FALSE),"")</f>
        <v>RODRIGUEZ</v>
      </c>
      <c r="D1051" t="str">
        <f>IFERROR(VLOOKUP(TTrainingSource[[#This Row],[Employee_ID]],THrList[],4,FALSE),"")</f>
        <v>Claire</v>
      </c>
      <c r="E1051" t="str">
        <f>IFERROR(VLOOKUP(TTrainingSource[[#This Row],[Employee_ID]],THrList[],10,FALSE),"")</f>
        <v>Marketing</v>
      </c>
      <c r="F1051" t="str">
        <f>TRIM(PROPER(TTrainingSource[[#This Row],[Training_Status2]]))</f>
        <v>Completed</v>
      </c>
      <c r="G1051" t="s">
        <v>17</v>
      </c>
      <c r="H1051" t="str">
        <f>TRIM(PROPER(TTrainingSource[[#This Row],[Training_Title2]]))</f>
        <v>Project Management Essentials</v>
      </c>
      <c r="I1051" t="s">
        <v>14</v>
      </c>
      <c r="J1051" s="1">
        <v>44757</v>
      </c>
      <c r="K1051" t="s">
        <v>132</v>
      </c>
      <c r="L1051" s="7">
        <v>16</v>
      </c>
      <c r="M1051">
        <f>ROUND(TTrainingSource[[#This Row],[Satisfaction_Score2]],0)</f>
        <v>4</v>
      </c>
      <c r="N1051">
        <v>3.6</v>
      </c>
    </row>
    <row r="1052" spans="1:14" x14ac:dyDescent="0.3">
      <c r="A1052" t="s">
        <v>754</v>
      </c>
      <c r="B1052" t="str">
        <f>TRIM(TTrainingSource[[#This Row],[EMPloyee_ID2]])</f>
        <v>EMP10515</v>
      </c>
      <c r="C1052" t="str">
        <f>IFERROR(VLOOKUP(TTrainingSource[[#This Row],[Employee_ID]],THrList[],3,FALSE),"")</f>
        <v>RODRIGUEZ</v>
      </c>
      <c r="D1052" t="str">
        <f>IFERROR(VLOOKUP(TTrainingSource[[#This Row],[Employee_ID]],THrList[],4,FALSE),"")</f>
        <v>Claire</v>
      </c>
      <c r="E1052" t="str">
        <f>IFERROR(VLOOKUP(TTrainingSource[[#This Row],[Employee_ID]],THrList[],10,FALSE),"")</f>
        <v>Marketing</v>
      </c>
      <c r="F1052" t="str">
        <f>TRIM(PROPER(TTrainingSource[[#This Row],[Training_Status2]]))</f>
        <v>In Progress</v>
      </c>
      <c r="G1052" t="s">
        <v>8</v>
      </c>
      <c r="H1052" t="str">
        <f>TRIM(PROPER(TTrainingSource[[#This Row],[Training_Title2]]))</f>
        <v>Project Management Essentials</v>
      </c>
      <c r="I1052" t="s">
        <v>14</v>
      </c>
      <c r="J1052" s="1">
        <v>44828</v>
      </c>
      <c r="K1052" t="s">
        <v>39</v>
      </c>
      <c r="L1052" s="7">
        <v>8</v>
      </c>
      <c r="M1052">
        <f>ROUND(TTrainingSource[[#This Row],[Satisfaction_Score2]],0)</f>
        <v>3</v>
      </c>
      <c r="N1052">
        <v>3.1</v>
      </c>
    </row>
    <row r="1053" spans="1:14" x14ac:dyDescent="0.3">
      <c r="A1053" t="s">
        <v>116</v>
      </c>
      <c r="B1053" t="str">
        <f>TRIM(TTrainingSource[[#This Row],[EMPloyee_ID2]])</f>
        <v>EMP10516</v>
      </c>
      <c r="C1053" t="str">
        <f>IFERROR(VLOOKUP(TTrainingSource[[#This Row],[Employee_ID]],THrList[],3,FALSE),"")</f>
        <v>WILSON</v>
      </c>
      <c r="D1053" t="str">
        <f>IFERROR(VLOOKUP(TTrainingSource[[#This Row],[Employee_ID]],THrList[],4,FALSE),"")</f>
        <v>Sophie</v>
      </c>
      <c r="E1053" t="str">
        <f>IFERROR(VLOOKUP(TTrainingSource[[#This Row],[Employee_ID]],THrList[],10,FALSE),"")</f>
        <v>Human Resources</v>
      </c>
      <c r="F1053" t="str">
        <f>TRIM(PROPER(TTrainingSource[[#This Row],[Training_Status2]]))</f>
        <v>Completed</v>
      </c>
      <c r="G1053" t="s">
        <v>17</v>
      </c>
      <c r="H1053" t="str">
        <f>TRIM(PROPER(TTrainingSource[[#This Row],[Training_Title2]]))</f>
        <v>Financial Modeling Basics</v>
      </c>
      <c r="I1053" t="s">
        <v>38</v>
      </c>
      <c r="J1053" s="1">
        <v>45904</v>
      </c>
      <c r="K1053" t="s">
        <v>44</v>
      </c>
      <c r="L1053" s="7">
        <v>32</v>
      </c>
      <c r="M1053">
        <f>ROUND(TTrainingSource[[#This Row],[Satisfaction_Score2]],0)</f>
        <v>4</v>
      </c>
      <c r="N1053">
        <v>4.3</v>
      </c>
    </row>
    <row r="1054" spans="1:14" x14ac:dyDescent="0.3">
      <c r="A1054" t="s">
        <v>116</v>
      </c>
      <c r="B1054" t="str">
        <f>TRIM(TTrainingSource[[#This Row],[EMPloyee_ID2]])</f>
        <v>EMP10516</v>
      </c>
      <c r="C1054" t="str">
        <f>IFERROR(VLOOKUP(TTrainingSource[[#This Row],[Employee_ID]],THrList[],3,FALSE),"")</f>
        <v>WILSON</v>
      </c>
      <c r="D1054" t="str">
        <f>IFERROR(VLOOKUP(TTrainingSource[[#This Row],[Employee_ID]],THrList[],4,FALSE),"")</f>
        <v>Sophie</v>
      </c>
      <c r="E1054" t="str">
        <f>IFERROR(VLOOKUP(TTrainingSource[[#This Row],[Employee_ID]],THrList[],10,FALSE),"")</f>
        <v>Human Resources</v>
      </c>
      <c r="F1054" t="str">
        <f>TRIM(PROPER(TTrainingSource[[#This Row],[Training_Status2]]))</f>
        <v>Completed</v>
      </c>
      <c r="G1054" t="s">
        <v>17</v>
      </c>
      <c r="H1054" t="str">
        <f>TRIM(PROPER(TTrainingSource[[#This Row],[Training_Title2]]))</f>
        <v>Advanced Excel For Business</v>
      </c>
      <c r="I1054" t="s">
        <v>346</v>
      </c>
      <c r="J1054" s="1">
        <v>44604</v>
      </c>
      <c r="K1054" t="s">
        <v>32</v>
      </c>
      <c r="L1054" s="7">
        <v>8</v>
      </c>
      <c r="M1054">
        <f>ROUND(TTrainingSource[[#This Row],[Satisfaction_Score2]],0)</f>
        <v>4</v>
      </c>
      <c r="N1054">
        <v>4</v>
      </c>
    </row>
    <row r="1055" spans="1:14" x14ac:dyDescent="0.3">
      <c r="A1055" t="s">
        <v>1025</v>
      </c>
      <c r="B1055" t="str">
        <f>TRIM(TTrainingSource[[#This Row],[EMPloyee_ID2]])</f>
        <v>EMP10517</v>
      </c>
      <c r="C1055" t="str">
        <f>IFERROR(VLOOKUP(TTrainingSource[[#This Row],[Employee_ID]],THrList[],3,FALSE),"")</f>
        <v>BALDE</v>
      </c>
      <c r="D1055" t="str">
        <f>IFERROR(VLOOKUP(TTrainingSource[[#This Row],[Employee_ID]],THrList[],4,FALSE),"")</f>
        <v>Nadia</v>
      </c>
      <c r="E1055" t="str">
        <f>IFERROR(VLOOKUP(TTrainingSource[[#This Row],[Employee_ID]],THrList[],10,FALSE),"")</f>
        <v>Finance</v>
      </c>
      <c r="F1055" t="str">
        <f>TRIM(PROPER(TTrainingSource[[#This Row],[Training_Status2]]))</f>
        <v>Planned</v>
      </c>
      <c r="G1055" t="s">
        <v>19</v>
      </c>
      <c r="H1055" t="str">
        <f>TRIM(PROPER(TTrainingSource[[#This Row],[Training_Title2]]))</f>
        <v>Communication For Analysts</v>
      </c>
      <c r="I1055" t="s">
        <v>28</v>
      </c>
      <c r="J1055" s="1">
        <v>45082</v>
      </c>
      <c r="K1055" t="s">
        <v>46</v>
      </c>
      <c r="L1055" s="7">
        <v>32</v>
      </c>
      <c r="M1055">
        <f>ROUND(TTrainingSource[[#This Row],[Satisfaction_Score2]],0)</f>
        <v>4</v>
      </c>
      <c r="N1055">
        <v>4.0999999999999996</v>
      </c>
    </row>
    <row r="1056" spans="1:14" x14ac:dyDescent="0.3">
      <c r="A1056" t="s">
        <v>405</v>
      </c>
      <c r="B1056" t="str">
        <f>TRIM(TTrainingSource[[#This Row],[EMPloyee_ID2]])</f>
        <v>EMP10517</v>
      </c>
      <c r="C1056" t="str">
        <f>IFERROR(VLOOKUP(TTrainingSource[[#This Row],[Employee_ID]],THrList[],3,FALSE),"")</f>
        <v>BALDE</v>
      </c>
      <c r="D1056" t="str">
        <f>IFERROR(VLOOKUP(TTrainingSource[[#This Row],[Employee_ID]],THrList[],4,FALSE),"")</f>
        <v>Nadia</v>
      </c>
      <c r="E1056" t="str">
        <f>IFERROR(VLOOKUP(TTrainingSource[[#This Row],[Employee_ID]],THrList[],10,FALSE),"")</f>
        <v>Finance</v>
      </c>
      <c r="F1056" t="str">
        <f>TRIM(PROPER(TTrainingSource[[#This Row],[Training_Status2]]))</f>
        <v>In Progress</v>
      </c>
      <c r="G1056" t="s">
        <v>8</v>
      </c>
      <c r="H1056" t="str">
        <f>TRIM(PROPER(TTrainingSource[[#This Row],[Training_Title2]]))</f>
        <v>Data Analysis Fundamentals</v>
      </c>
      <c r="I1056" t="s">
        <v>9</v>
      </c>
      <c r="J1056" s="1">
        <v>45298</v>
      </c>
      <c r="K1056" t="s">
        <v>44</v>
      </c>
      <c r="L1056" s="7">
        <v>16</v>
      </c>
      <c r="M1056">
        <f>ROUND(TTrainingSource[[#This Row],[Satisfaction_Score2]],0)</f>
        <v>4</v>
      </c>
      <c r="N1056">
        <v>3.5</v>
      </c>
    </row>
    <row r="1057" spans="1:14" x14ac:dyDescent="0.3">
      <c r="A1057" t="s">
        <v>262</v>
      </c>
      <c r="B1057" t="str">
        <f>TRIM(TTrainingSource[[#This Row],[EMPloyee_ID2]])</f>
        <v>EMP10518</v>
      </c>
      <c r="C1057" t="str">
        <f>IFERROR(VLOOKUP(TTrainingSource[[#This Row],[Employee_ID]],THrList[],3,FALSE),"")</f>
        <v>ALI</v>
      </c>
      <c r="D1057" t="str">
        <f>IFERROR(VLOOKUP(TTrainingSource[[#This Row],[Employee_ID]],THrList[],4,FALSE),"")</f>
        <v>Ngozi</v>
      </c>
      <c r="E1057" t="str">
        <f>IFERROR(VLOOKUP(TTrainingSource[[#This Row],[Employee_ID]],THrList[],10,FALSE),"")</f>
        <v>Marketing</v>
      </c>
      <c r="F1057" t="str">
        <f>TRIM(PROPER(TTrainingSource[[#This Row],[Training_Status2]]))</f>
        <v>Planned</v>
      </c>
      <c r="G1057" t="s">
        <v>19</v>
      </c>
      <c r="H1057" t="str">
        <f>TRIM(PROPER(TTrainingSource[[#This Row],[Training_Title2]]))</f>
        <v>Power Bi Reporting</v>
      </c>
      <c r="I1057" t="s">
        <v>24</v>
      </c>
      <c r="J1057" s="1">
        <v>44597</v>
      </c>
      <c r="K1057" t="s">
        <v>132</v>
      </c>
      <c r="L1057" s="7">
        <v>12</v>
      </c>
      <c r="M1057">
        <f>ROUND(TTrainingSource[[#This Row],[Satisfaction_Score2]],0)</f>
        <v>3</v>
      </c>
      <c r="N1057">
        <v>3.3</v>
      </c>
    </row>
    <row r="1058" spans="1:14" x14ac:dyDescent="0.3">
      <c r="A1058" t="s">
        <v>262</v>
      </c>
      <c r="B1058" t="str">
        <f>TRIM(TTrainingSource[[#This Row],[EMPloyee_ID2]])</f>
        <v>EMP10518</v>
      </c>
      <c r="C1058" t="str">
        <f>IFERROR(VLOOKUP(TTrainingSource[[#This Row],[Employee_ID]],THrList[],3,FALSE),"")</f>
        <v>ALI</v>
      </c>
      <c r="D1058" t="str">
        <f>IFERROR(VLOOKUP(TTrainingSource[[#This Row],[Employee_ID]],THrList[],4,FALSE),"")</f>
        <v>Ngozi</v>
      </c>
      <c r="E1058" t="str">
        <f>IFERROR(VLOOKUP(TTrainingSource[[#This Row],[Employee_ID]],THrList[],10,FALSE),"")</f>
        <v>Marketing</v>
      </c>
      <c r="F1058" t="str">
        <f>TRIM(PROPER(TTrainingSource[[#This Row],[Training_Status2]]))</f>
        <v>In Progress</v>
      </c>
      <c r="G1058" t="s">
        <v>8</v>
      </c>
      <c r="H1058" t="str">
        <f>TRIM(PROPER(TTrainingSource[[#This Row],[Training_Title2]]))</f>
        <v>Communication For Analysts</v>
      </c>
      <c r="I1058" t="s">
        <v>28</v>
      </c>
      <c r="J1058" s="1">
        <v>45237</v>
      </c>
      <c r="K1058" t="s">
        <v>44</v>
      </c>
      <c r="L1058" s="7">
        <v>8</v>
      </c>
      <c r="M1058">
        <f>ROUND(TTrainingSource[[#This Row],[Satisfaction_Score2]],0)</f>
        <v>3</v>
      </c>
      <c r="N1058">
        <v>3.1</v>
      </c>
    </row>
    <row r="1059" spans="1:14" x14ac:dyDescent="0.3">
      <c r="A1059" t="s">
        <v>262</v>
      </c>
      <c r="B1059" t="str">
        <f>TRIM(TTrainingSource[[#This Row],[EMPloyee_ID2]])</f>
        <v>EMP10518</v>
      </c>
      <c r="C1059" t="str">
        <f>IFERROR(VLOOKUP(TTrainingSource[[#This Row],[Employee_ID]],THrList[],3,FALSE),"")</f>
        <v>ALI</v>
      </c>
      <c r="D1059" t="str">
        <f>IFERROR(VLOOKUP(TTrainingSource[[#This Row],[Employee_ID]],THrList[],4,FALSE),"")</f>
        <v>Ngozi</v>
      </c>
      <c r="E1059" t="str">
        <f>IFERROR(VLOOKUP(TTrainingSource[[#This Row],[Employee_ID]],THrList[],10,FALSE),"")</f>
        <v>Marketing</v>
      </c>
      <c r="F1059" t="str">
        <f>TRIM(PROPER(TTrainingSource[[#This Row],[Training_Status2]]))</f>
        <v>Completed</v>
      </c>
      <c r="G1059" t="s">
        <v>35</v>
      </c>
      <c r="H1059" t="str">
        <f>TRIM(PROPER(TTrainingSource[[#This Row],[Training_Title2]]))</f>
        <v>Business Intelligence With Tableau</v>
      </c>
      <c r="I1059" t="s">
        <v>22</v>
      </c>
      <c r="J1059" s="1">
        <v>44584</v>
      </c>
      <c r="K1059" t="s">
        <v>42</v>
      </c>
      <c r="L1059" s="7">
        <v>4</v>
      </c>
      <c r="M1059">
        <f>ROUND(TTrainingSource[[#This Row],[Satisfaction_Score2]],0)</f>
        <v>3</v>
      </c>
      <c r="N1059">
        <v>2.6</v>
      </c>
    </row>
    <row r="1060" spans="1:14" x14ac:dyDescent="0.3">
      <c r="A1060" t="s">
        <v>262</v>
      </c>
      <c r="B1060" t="str">
        <f>TRIM(TTrainingSource[[#This Row],[EMPloyee_ID2]])</f>
        <v>EMP10518</v>
      </c>
      <c r="C1060" t="str">
        <f>IFERROR(VLOOKUP(TTrainingSource[[#This Row],[Employee_ID]],THrList[],3,FALSE),"")</f>
        <v>ALI</v>
      </c>
      <c r="D1060" t="str">
        <f>IFERROR(VLOOKUP(TTrainingSource[[#This Row],[Employee_ID]],THrList[],4,FALSE),"")</f>
        <v>Ngozi</v>
      </c>
      <c r="E1060" t="str">
        <f>IFERROR(VLOOKUP(TTrainingSource[[#This Row],[Employee_ID]],THrList[],10,FALSE),"")</f>
        <v>Marketing</v>
      </c>
      <c r="F1060" t="str">
        <f>TRIM(PROPER(TTrainingSource[[#This Row],[Training_Status2]]))</f>
        <v>Completed</v>
      </c>
      <c r="G1060" t="s">
        <v>17</v>
      </c>
      <c r="H1060" t="str">
        <f>TRIM(PROPER(TTrainingSource[[#This Row],[Training_Title2]]))</f>
        <v>Data Visualization Best Practices</v>
      </c>
      <c r="I1060" t="s">
        <v>20</v>
      </c>
      <c r="J1060" s="1">
        <v>44729</v>
      </c>
      <c r="K1060" t="s">
        <v>39</v>
      </c>
      <c r="L1060" s="7">
        <v>24</v>
      </c>
      <c r="M1060">
        <f>ROUND(TTrainingSource[[#This Row],[Satisfaction_Score2]],0)</f>
        <v>4</v>
      </c>
      <c r="N1060">
        <v>3.7</v>
      </c>
    </row>
    <row r="1061" spans="1:14" x14ac:dyDescent="0.3">
      <c r="A1061" t="s">
        <v>575</v>
      </c>
      <c r="B1061" t="str">
        <f>TRIM(TTrainingSource[[#This Row],[EMPloyee_ID2]])</f>
        <v>EMP10519</v>
      </c>
      <c r="C1061" t="str">
        <f>IFERROR(VLOOKUP(TTrainingSource[[#This Row],[Employee_ID]],THrList[],3,FALSE),"")</f>
        <v>DIALLO</v>
      </c>
      <c r="D1061" t="str">
        <f>IFERROR(VLOOKUP(TTrainingSource[[#This Row],[Employee_ID]],THrList[],4,FALSE),"")</f>
        <v>Hassan</v>
      </c>
      <c r="E1061" t="str">
        <f>IFERROR(VLOOKUP(TTrainingSource[[#This Row],[Employee_ID]],THrList[],10,FALSE),"")</f>
        <v>Procurement</v>
      </c>
      <c r="F1061" t="str">
        <f>TRIM(PROPER(TTrainingSource[[#This Row],[Training_Status2]]))</f>
        <v>In Progress</v>
      </c>
      <c r="G1061" t="s">
        <v>8</v>
      </c>
      <c r="H1061" t="str">
        <f>TRIM(PROPER(TTrainingSource[[#This Row],[Training_Title2]]))</f>
        <v>Sql For Data Analytics</v>
      </c>
      <c r="I1061" t="s">
        <v>26</v>
      </c>
      <c r="J1061" s="1">
        <v>45070</v>
      </c>
      <c r="K1061" t="s">
        <v>39</v>
      </c>
      <c r="L1061" s="7">
        <v>16</v>
      </c>
      <c r="M1061">
        <f>ROUND(TTrainingSource[[#This Row],[Satisfaction_Score2]],0)</f>
        <v>5</v>
      </c>
      <c r="N1061">
        <v>4.5999999999999996</v>
      </c>
    </row>
    <row r="1062" spans="1:14" x14ac:dyDescent="0.3">
      <c r="A1062" t="s">
        <v>568</v>
      </c>
      <c r="B1062" t="str">
        <f>TRIM(TTrainingSource[[#This Row],[EMPloyee_ID2]])</f>
        <v>EMP10521</v>
      </c>
      <c r="C1062" t="str">
        <f>IFERROR(VLOOKUP(TTrainingSource[[#This Row],[Employee_ID]],THrList[],3,FALSE),"")</f>
        <v>CAMARA</v>
      </c>
      <c r="D1062" t="str">
        <f>IFERROR(VLOOKUP(TTrainingSource[[#This Row],[Employee_ID]],THrList[],4,FALSE),"")</f>
        <v>Evelyn</v>
      </c>
      <c r="E1062" t="str">
        <f>IFERROR(VLOOKUP(TTrainingSource[[#This Row],[Employee_ID]],THrList[],10,FALSE),"")</f>
        <v>Finance</v>
      </c>
      <c r="F1062" t="str">
        <f>TRIM(PROPER(TTrainingSource[[#This Row],[Training_Status2]]))</f>
        <v>Completed</v>
      </c>
      <c r="G1062" t="s">
        <v>17</v>
      </c>
      <c r="H1062" t="str">
        <f>TRIM(PROPER(TTrainingSource[[#This Row],[Training_Title2]]))</f>
        <v>Business Intelligence With Tableau</v>
      </c>
      <c r="I1062" t="s">
        <v>517</v>
      </c>
      <c r="J1062" s="1">
        <v>44815</v>
      </c>
      <c r="K1062" t="s">
        <v>42</v>
      </c>
      <c r="L1062" s="7">
        <v>12</v>
      </c>
      <c r="M1062">
        <f>ROUND(TTrainingSource[[#This Row],[Satisfaction_Score2]],0)</f>
        <v>4</v>
      </c>
      <c r="N1062">
        <v>3.9</v>
      </c>
    </row>
    <row r="1063" spans="1:14" x14ac:dyDescent="0.3">
      <c r="A1063" t="s">
        <v>568</v>
      </c>
      <c r="B1063" t="str">
        <f>TRIM(TTrainingSource[[#This Row],[EMPloyee_ID2]])</f>
        <v>EMP10521</v>
      </c>
      <c r="C1063" t="str">
        <f>IFERROR(VLOOKUP(TTrainingSource[[#This Row],[Employee_ID]],THrList[],3,FALSE),"")</f>
        <v>CAMARA</v>
      </c>
      <c r="D1063" t="str">
        <f>IFERROR(VLOOKUP(TTrainingSource[[#This Row],[Employee_ID]],THrList[],4,FALSE),"")</f>
        <v>Evelyn</v>
      </c>
      <c r="E1063" t="str">
        <f>IFERROR(VLOOKUP(TTrainingSource[[#This Row],[Employee_ID]],THrList[],10,FALSE),"")</f>
        <v>Finance</v>
      </c>
      <c r="F1063" t="str">
        <f>TRIM(PROPER(TTrainingSource[[#This Row],[Training_Status2]]))</f>
        <v>In Progress</v>
      </c>
      <c r="G1063" t="s">
        <v>8</v>
      </c>
      <c r="H1063" t="str">
        <f>TRIM(PROPER(TTrainingSource[[#This Row],[Training_Title2]]))</f>
        <v>Project Management Essentials</v>
      </c>
      <c r="I1063" t="s">
        <v>14</v>
      </c>
      <c r="J1063" s="1">
        <v>44778</v>
      </c>
      <c r="K1063" t="s">
        <v>29</v>
      </c>
      <c r="L1063" s="7">
        <v>4</v>
      </c>
      <c r="M1063">
        <f>ROUND(TTrainingSource[[#This Row],[Satisfaction_Score2]],0)</f>
        <v>4</v>
      </c>
      <c r="N1063">
        <v>4.2</v>
      </c>
    </row>
    <row r="1064" spans="1:14" x14ac:dyDescent="0.3">
      <c r="A1064" t="s">
        <v>154</v>
      </c>
      <c r="B1064" t="str">
        <f>TRIM(TTrainingSource[[#This Row],[EMPloyee_ID2]])</f>
        <v>EMP10522</v>
      </c>
      <c r="C1064" t="str">
        <f>IFERROR(VLOOKUP(TTrainingSource[[#This Row],[Employee_ID]],THrList[],3,FALSE),"")</f>
        <v>IBRAHIM</v>
      </c>
      <c r="D1064" t="str">
        <f>IFERROR(VLOOKUP(TTrainingSource[[#This Row],[Employee_ID]],THrList[],4,FALSE),"")</f>
        <v>Fatima</v>
      </c>
      <c r="E1064" t="str">
        <f>IFERROR(VLOOKUP(TTrainingSource[[#This Row],[Employee_ID]],THrList[],10,FALSE),"")</f>
        <v>Sales</v>
      </c>
      <c r="F1064" t="str">
        <f>TRIM(PROPER(TTrainingSource[[#This Row],[Training_Status2]]))</f>
        <v>Planned</v>
      </c>
      <c r="G1064" t="s">
        <v>19</v>
      </c>
      <c r="H1064" t="str">
        <f>TRIM(PROPER(TTrainingSource[[#This Row],[Training_Title2]]))</f>
        <v>Data Visualization Best Practices</v>
      </c>
      <c r="I1064" t="s">
        <v>20</v>
      </c>
      <c r="J1064" s="1">
        <v>45500</v>
      </c>
      <c r="K1064" t="s">
        <v>32</v>
      </c>
      <c r="L1064" s="7">
        <v>0</v>
      </c>
      <c r="M1064">
        <f>ROUND(TTrainingSource[[#This Row],[Satisfaction_Score2]],0)</f>
        <v>4</v>
      </c>
      <c r="N1064">
        <v>3.9</v>
      </c>
    </row>
    <row r="1065" spans="1:14" x14ac:dyDescent="0.3">
      <c r="A1065" t="s">
        <v>244</v>
      </c>
      <c r="B1065" t="str">
        <f>TRIM(TTrainingSource[[#This Row],[EMPloyee_ID2]])</f>
        <v>EMP10522</v>
      </c>
      <c r="C1065" t="str">
        <f>IFERROR(VLOOKUP(TTrainingSource[[#This Row],[Employee_ID]],THrList[],3,FALSE),"")</f>
        <v>IBRAHIM</v>
      </c>
      <c r="D1065" t="str">
        <f>IFERROR(VLOOKUP(TTrainingSource[[#This Row],[Employee_ID]],THrList[],4,FALSE),"")</f>
        <v>Fatima</v>
      </c>
      <c r="E1065" t="str">
        <f>IFERROR(VLOOKUP(TTrainingSource[[#This Row],[Employee_ID]],THrList[],10,FALSE),"")</f>
        <v>Sales</v>
      </c>
      <c r="F1065" t="str">
        <f>TRIM(PROPER(TTrainingSource[[#This Row],[Training_Status2]]))</f>
        <v>Completed</v>
      </c>
      <c r="G1065" t="s">
        <v>69</v>
      </c>
      <c r="H1065" t="str">
        <f>TRIM(PROPER(TTrainingSource[[#This Row],[Training_Title2]]))</f>
        <v>Advanced Excel For Business</v>
      </c>
      <c r="I1065" t="s">
        <v>52</v>
      </c>
      <c r="J1065" s="1">
        <v>44714</v>
      </c>
      <c r="K1065" t="s">
        <v>46</v>
      </c>
      <c r="L1065" s="7">
        <v>12</v>
      </c>
      <c r="M1065">
        <f>ROUND(TTrainingSource[[#This Row],[Satisfaction_Score2]],0)</f>
        <v>4</v>
      </c>
      <c r="N1065">
        <v>3.9</v>
      </c>
    </row>
    <row r="1066" spans="1:14" x14ac:dyDescent="0.3">
      <c r="A1066" t="s">
        <v>154</v>
      </c>
      <c r="B1066" t="str">
        <f>TRIM(TTrainingSource[[#This Row],[EMPloyee_ID2]])</f>
        <v>EMP10522</v>
      </c>
      <c r="C1066" t="str">
        <f>IFERROR(VLOOKUP(TTrainingSource[[#This Row],[Employee_ID]],THrList[],3,FALSE),"")</f>
        <v>IBRAHIM</v>
      </c>
      <c r="D1066" t="str">
        <f>IFERROR(VLOOKUP(TTrainingSource[[#This Row],[Employee_ID]],THrList[],4,FALSE),"")</f>
        <v>Fatima</v>
      </c>
      <c r="E1066" t="str">
        <f>IFERROR(VLOOKUP(TTrainingSource[[#This Row],[Employee_ID]],THrList[],10,FALSE),"")</f>
        <v>Sales</v>
      </c>
      <c r="F1066" t="str">
        <f>TRIM(PROPER(TTrainingSource[[#This Row],[Training_Status2]]))</f>
        <v>In Progress</v>
      </c>
      <c r="G1066" t="s">
        <v>8</v>
      </c>
      <c r="H1066" t="str">
        <f>TRIM(PROPER(TTrainingSource[[#This Row],[Training_Title2]]))</f>
        <v>Communication For Analysts</v>
      </c>
      <c r="I1066" t="s">
        <v>28</v>
      </c>
      <c r="J1066" s="1">
        <v>44581</v>
      </c>
      <c r="K1066" t="s">
        <v>71</v>
      </c>
      <c r="L1066" s="7">
        <v>40</v>
      </c>
      <c r="M1066">
        <f>ROUND(TTrainingSource[[#This Row],[Satisfaction_Score2]],0)</f>
        <v>4</v>
      </c>
      <c r="N1066">
        <v>3.6</v>
      </c>
    </row>
    <row r="1067" spans="1:14" x14ac:dyDescent="0.3">
      <c r="A1067" t="s">
        <v>154</v>
      </c>
      <c r="B1067" t="str">
        <f>TRIM(TTrainingSource[[#This Row],[EMPloyee_ID2]])</f>
        <v>EMP10522</v>
      </c>
      <c r="C1067" t="str">
        <f>IFERROR(VLOOKUP(TTrainingSource[[#This Row],[Employee_ID]],THrList[],3,FALSE),"")</f>
        <v>IBRAHIM</v>
      </c>
      <c r="D1067" t="str">
        <f>IFERROR(VLOOKUP(TTrainingSource[[#This Row],[Employee_ID]],THrList[],4,FALSE),"")</f>
        <v>Fatima</v>
      </c>
      <c r="E1067" t="str">
        <f>IFERROR(VLOOKUP(TTrainingSource[[#This Row],[Employee_ID]],THrList[],10,FALSE),"")</f>
        <v>Sales</v>
      </c>
      <c r="F1067" t="str">
        <f>TRIM(PROPER(TTrainingSource[[#This Row],[Training_Status2]]))</f>
        <v>Completed</v>
      </c>
      <c r="G1067" t="s">
        <v>17</v>
      </c>
      <c r="H1067" t="str">
        <f>TRIM(PROPER(TTrainingSource[[#This Row],[Training_Title2]]))</f>
        <v>Data Visualization Best Practices</v>
      </c>
      <c r="I1067" t="s">
        <v>20</v>
      </c>
      <c r="J1067" s="1">
        <v>45859</v>
      </c>
      <c r="K1067" t="s">
        <v>39</v>
      </c>
      <c r="L1067" s="7">
        <v>12</v>
      </c>
      <c r="M1067">
        <f>ROUND(TTrainingSource[[#This Row],[Satisfaction_Score2]],0)</f>
        <v>4</v>
      </c>
      <c r="N1067">
        <v>4.3</v>
      </c>
    </row>
    <row r="1068" spans="1:14" x14ac:dyDescent="0.3">
      <c r="A1068" t="s">
        <v>154</v>
      </c>
      <c r="B1068" t="str">
        <f>TRIM(TTrainingSource[[#This Row],[EMPloyee_ID2]])</f>
        <v>EMP10522</v>
      </c>
      <c r="C1068" t="str">
        <f>IFERROR(VLOOKUP(TTrainingSource[[#This Row],[Employee_ID]],THrList[],3,FALSE),"")</f>
        <v>IBRAHIM</v>
      </c>
      <c r="D1068" t="str">
        <f>IFERROR(VLOOKUP(TTrainingSource[[#This Row],[Employee_ID]],THrList[],4,FALSE),"")</f>
        <v>Fatima</v>
      </c>
      <c r="E1068" t="str">
        <f>IFERROR(VLOOKUP(TTrainingSource[[#This Row],[Employee_ID]],THrList[],10,FALSE),"")</f>
        <v>Sales</v>
      </c>
      <c r="F1068" t="str">
        <f>TRIM(PROPER(TTrainingSource[[#This Row],[Training_Status2]]))</f>
        <v>Planned</v>
      </c>
      <c r="G1068" t="s">
        <v>19</v>
      </c>
      <c r="H1068" t="str">
        <f>TRIM(PROPER(TTrainingSource[[#This Row],[Training_Title2]]))</f>
        <v>Customer Data Analysis</v>
      </c>
      <c r="I1068" t="s">
        <v>31</v>
      </c>
      <c r="J1068" s="1">
        <v>45538</v>
      </c>
      <c r="K1068" t="s">
        <v>44</v>
      </c>
      <c r="L1068" s="7">
        <v>8</v>
      </c>
      <c r="M1068">
        <f>ROUND(TTrainingSource[[#This Row],[Satisfaction_Score2]],0)</f>
        <v>3</v>
      </c>
      <c r="N1068">
        <v>3.3</v>
      </c>
    </row>
    <row r="1069" spans="1:14" x14ac:dyDescent="0.3">
      <c r="A1069" t="s">
        <v>470</v>
      </c>
      <c r="B1069" t="str">
        <f>TRIM(TTrainingSource[[#This Row],[EMPloyee_ID2]])</f>
        <v>EMP10523</v>
      </c>
      <c r="C1069" t="str">
        <f>IFERROR(VLOOKUP(TTrainingSource[[#This Row],[Employee_ID]],THrList[],3,FALSE),"")</f>
        <v>HERNANDEZ</v>
      </c>
      <c r="D1069" t="str">
        <f>IFERROR(VLOOKUP(TTrainingSource[[#This Row],[Employee_ID]],THrList[],4,FALSE),"")</f>
        <v>Ava</v>
      </c>
      <c r="E1069" t="str">
        <f>IFERROR(VLOOKUP(TTrainingSource[[#This Row],[Employee_ID]],THrList[],10,FALSE),"")</f>
        <v>Sales</v>
      </c>
      <c r="F1069" t="str">
        <f>TRIM(PROPER(TTrainingSource[[#This Row],[Training_Status2]]))</f>
        <v>Completed</v>
      </c>
      <c r="G1069" t="s">
        <v>17</v>
      </c>
      <c r="H1069" t="str">
        <f>TRIM(PROPER(TTrainingSource[[#This Row],[Training_Title2]]))</f>
        <v>Sql For Data Analytics</v>
      </c>
      <c r="I1069" t="s">
        <v>26</v>
      </c>
      <c r="J1069" s="1">
        <v>45685</v>
      </c>
      <c r="K1069" t="s">
        <v>44</v>
      </c>
      <c r="L1069" s="7">
        <v>16</v>
      </c>
      <c r="M1069">
        <f>ROUND(TTrainingSource[[#This Row],[Satisfaction_Score2]],0)</f>
        <v>5</v>
      </c>
      <c r="N1069">
        <v>4.8</v>
      </c>
    </row>
    <row r="1070" spans="1:14" x14ac:dyDescent="0.3">
      <c r="A1070" t="s">
        <v>131</v>
      </c>
      <c r="B1070" t="str">
        <f>TRIM(TTrainingSource[[#This Row],[EMPloyee_ID2]])</f>
        <v>EMP10524</v>
      </c>
      <c r="C1070" t="str">
        <f>IFERROR(VLOOKUP(TTrainingSource[[#This Row],[Employee_ID]],THrList[],3,FALSE),"")</f>
        <v>JONES</v>
      </c>
      <c r="D1070" t="str">
        <f>IFERROR(VLOOKUP(TTrainingSource[[#This Row],[Employee_ID]],THrList[],4,FALSE),"")</f>
        <v>James</v>
      </c>
      <c r="E1070" t="str">
        <f>IFERROR(VLOOKUP(TTrainingSource[[#This Row],[Employee_ID]],THrList[],10,FALSE),"")</f>
        <v>Sales</v>
      </c>
      <c r="F1070" t="str">
        <f>TRIM(PROPER(TTrainingSource[[#This Row],[Training_Status2]]))</f>
        <v>Completed</v>
      </c>
      <c r="G1070" t="s">
        <v>35</v>
      </c>
      <c r="H1070" t="str">
        <f>TRIM(PROPER(TTrainingSource[[#This Row],[Training_Title2]]))</f>
        <v>Project Management Essentials</v>
      </c>
      <c r="I1070" t="s">
        <v>14</v>
      </c>
      <c r="J1070" s="1">
        <v>45062</v>
      </c>
      <c r="K1070" t="s">
        <v>132</v>
      </c>
      <c r="L1070" s="7">
        <v>32</v>
      </c>
      <c r="M1070">
        <f>ROUND(TTrainingSource[[#This Row],[Satisfaction_Score2]],0)</f>
        <v>5</v>
      </c>
      <c r="N1070">
        <v>4.5999999999999996</v>
      </c>
    </row>
    <row r="1071" spans="1:14" x14ac:dyDescent="0.3">
      <c r="A1071" t="s">
        <v>131</v>
      </c>
      <c r="B1071" t="str">
        <f>TRIM(TTrainingSource[[#This Row],[EMPloyee_ID2]])</f>
        <v>EMP10524</v>
      </c>
      <c r="C1071" t="str">
        <f>IFERROR(VLOOKUP(TTrainingSource[[#This Row],[Employee_ID]],THrList[],3,FALSE),"")</f>
        <v>JONES</v>
      </c>
      <c r="D1071" t="str">
        <f>IFERROR(VLOOKUP(TTrainingSource[[#This Row],[Employee_ID]],THrList[],4,FALSE),"")</f>
        <v>James</v>
      </c>
      <c r="E1071" t="str">
        <f>IFERROR(VLOOKUP(TTrainingSource[[#This Row],[Employee_ID]],THrList[],10,FALSE),"")</f>
        <v>Sales</v>
      </c>
      <c r="F1071" t="str">
        <f>TRIM(PROPER(TTrainingSource[[#This Row],[Training_Status2]]))</f>
        <v>Planned</v>
      </c>
      <c r="G1071" t="s">
        <v>10</v>
      </c>
      <c r="H1071" t="str">
        <f>TRIM(PROPER(TTrainingSource[[#This Row],[Training_Title2]]))</f>
        <v>Advanced Excel For Business</v>
      </c>
      <c r="I1071" t="s">
        <v>52</v>
      </c>
      <c r="J1071" s="1">
        <v>44694</v>
      </c>
      <c r="K1071" t="s">
        <v>42</v>
      </c>
      <c r="L1071" s="7">
        <v>20</v>
      </c>
      <c r="M1071">
        <f>ROUND(TTrainingSource[[#This Row],[Satisfaction_Score2]],0)</f>
        <v>4</v>
      </c>
      <c r="N1071">
        <v>3.9</v>
      </c>
    </row>
    <row r="1072" spans="1:14" x14ac:dyDescent="0.3">
      <c r="A1072" t="s">
        <v>131</v>
      </c>
      <c r="B1072" t="str">
        <f>TRIM(TTrainingSource[[#This Row],[EMPloyee_ID2]])</f>
        <v>EMP10524</v>
      </c>
      <c r="C1072" t="str">
        <f>IFERROR(VLOOKUP(TTrainingSource[[#This Row],[Employee_ID]],THrList[],3,FALSE),"")</f>
        <v>JONES</v>
      </c>
      <c r="D1072" t="str">
        <f>IFERROR(VLOOKUP(TTrainingSource[[#This Row],[Employee_ID]],THrList[],4,FALSE),"")</f>
        <v>James</v>
      </c>
      <c r="E1072" t="str">
        <f>IFERROR(VLOOKUP(TTrainingSource[[#This Row],[Employee_ID]],THrList[],10,FALSE),"")</f>
        <v>Sales</v>
      </c>
      <c r="F1072" t="str">
        <f>TRIM(PROPER(TTrainingSource[[#This Row],[Training_Status2]]))</f>
        <v>Planned</v>
      </c>
      <c r="G1072" t="s">
        <v>10</v>
      </c>
      <c r="H1072" t="str">
        <f>TRIM(PROPER(TTrainingSource[[#This Row],[Training_Title2]]))</f>
        <v>Introduction To Python For Data</v>
      </c>
      <c r="I1072" t="s">
        <v>467</v>
      </c>
      <c r="J1072" s="1">
        <v>45455</v>
      </c>
      <c r="K1072" t="s">
        <v>29</v>
      </c>
      <c r="L1072" s="7">
        <v>12</v>
      </c>
      <c r="M1072">
        <f>ROUND(TTrainingSource[[#This Row],[Satisfaction_Score2]],0)</f>
        <v>3</v>
      </c>
      <c r="N1072">
        <v>2.5</v>
      </c>
    </row>
    <row r="1073" spans="1:14" x14ac:dyDescent="0.3">
      <c r="A1073" t="s">
        <v>131</v>
      </c>
      <c r="B1073" t="str">
        <f>TRIM(TTrainingSource[[#This Row],[EMPloyee_ID2]])</f>
        <v>EMP10524</v>
      </c>
      <c r="C1073" t="str">
        <f>IFERROR(VLOOKUP(TTrainingSource[[#This Row],[Employee_ID]],THrList[],3,FALSE),"")</f>
        <v>JONES</v>
      </c>
      <c r="D1073" t="str">
        <f>IFERROR(VLOOKUP(TTrainingSource[[#This Row],[Employee_ID]],THrList[],4,FALSE),"")</f>
        <v>James</v>
      </c>
      <c r="E1073" t="str">
        <f>IFERROR(VLOOKUP(TTrainingSource[[#This Row],[Employee_ID]],THrList[],10,FALSE),"")</f>
        <v>Sales</v>
      </c>
      <c r="F1073" t="str">
        <f>TRIM(PROPER(TTrainingSource[[#This Row],[Training_Status2]]))</f>
        <v>Completed</v>
      </c>
      <c r="G1073" t="s">
        <v>17</v>
      </c>
      <c r="H1073" t="str">
        <f>TRIM(PROPER(TTrainingSource[[#This Row],[Training_Title2]]))</f>
        <v>Data Visualization Best Practices</v>
      </c>
      <c r="I1073" t="s">
        <v>20</v>
      </c>
      <c r="J1073" s="1">
        <v>45225</v>
      </c>
      <c r="K1073" t="s">
        <v>39</v>
      </c>
      <c r="L1073" s="7">
        <v>20</v>
      </c>
      <c r="M1073">
        <f>ROUND(TTrainingSource[[#This Row],[Satisfaction_Score2]],0)</f>
        <v>3</v>
      </c>
      <c r="N1073">
        <v>3.3</v>
      </c>
    </row>
    <row r="1074" spans="1:14" x14ac:dyDescent="0.3">
      <c r="A1074" t="s">
        <v>196</v>
      </c>
      <c r="B1074" t="str">
        <f>TRIM(TTrainingSource[[#This Row],[EMPloyee_ID2]])</f>
        <v>EMP10525</v>
      </c>
      <c r="C1074" t="str">
        <f>IFERROR(VLOOKUP(TTrainingSource[[#This Row],[Employee_ID]],THrList[],3,FALSE),"")</f>
        <v>WILLIAMS</v>
      </c>
      <c r="D1074" t="str">
        <f>IFERROR(VLOOKUP(TTrainingSource[[#This Row],[Employee_ID]],THrList[],4,FALSE),"")</f>
        <v>Fatima</v>
      </c>
      <c r="E1074" t="str">
        <f>IFERROR(VLOOKUP(TTrainingSource[[#This Row],[Employee_ID]],THrList[],10,FALSE),"")</f>
        <v>Sales</v>
      </c>
      <c r="F1074" t="str">
        <f>TRIM(PROPER(TTrainingSource[[#This Row],[Training_Status2]]))</f>
        <v>Completed</v>
      </c>
      <c r="G1074" t="s">
        <v>17</v>
      </c>
      <c r="H1074" t="str">
        <f>TRIM(PROPER(TTrainingSource[[#This Row],[Training_Title2]]))</f>
        <v>Sql For Data Analytics</v>
      </c>
      <c r="I1074" t="s">
        <v>26</v>
      </c>
      <c r="J1074" s="1">
        <v>45771</v>
      </c>
      <c r="K1074" t="s">
        <v>42</v>
      </c>
      <c r="L1074" s="7">
        <v>32</v>
      </c>
      <c r="M1074">
        <f>ROUND(TTrainingSource[[#This Row],[Satisfaction_Score2]],0)</f>
        <v>4</v>
      </c>
      <c r="N1074">
        <v>4.3</v>
      </c>
    </row>
    <row r="1075" spans="1:14" x14ac:dyDescent="0.3">
      <c r="A1075" t="s">
        <v>196</v>
      </c>
      <c r="B1075" t="str">
        <f>TRIM(TTrainingSource[[#This Row],[EMPloyee_ID2]])</f>
        <v>EMP10525</v>
      </c>
      <c r="C1075" t="str">
        <f>IFERROR(VLOOKUP(TTrainingSource[[#This Row],[Employee_ID]],THrList[],3,FALSE),"")</f>
        <v>WILLIAMS</v>
      </c>
      <c r="D1075" t="str">
        <f>IFERROR(VLOOKUP(TTrainingSource[[#This Row],[Employee_ID]],THrList[],4,FALSE),"")</f>
        <v>Fatima</v>
      </c>
      <c r="E1075" t="str">
        <f>IFERROR(VLOOKUP(TTrainingSource[[#This Row],[Employee_ID]],THrList[],10,FALSE),"")</f>
        <v>Sales</v>
      </c>
      <c r="F1075" t="str">
        <f>TRIM(PROPER(TTrainingSource[[#This Row],[Training_Status2]]))</f>
        <v>Planned</v>
      </c>
      <c r="G1075" t="s">
        <v>19</v>
      </c>
      <c r="H1075" t="str">
        <f>TRIM(PROPER(TTrainingSource[[#This Row],[Training_Title2]]))</f>
        <v>Project Management Essentials</v>
      </c>
      <c r="I1075" t="s">
        <v>14</v>
      </c>
      <c r="J1075" s="1">
        <v>45269</v>
      </c>
      <c r="K1075" t="s">
        <v>42</v>
      </c>
      <c r="L1075" s="7">
        <v>20</v>
      </c>
      <c r="M1075">
        <f>ROUND(TTrainingSource[[#This Row],[Satisfaction_Score2]],0)</f>
        <v>5</v>
      </c>
      <c r="N1075">
        <v>4.5</v>
      </c>
    </row>
    <row r="1076" spans="1:14" x14ac:dyDescent="0.3">
      <c r="A1076" t="s">
        <v>257</v>
      </c>
      <c r="B1076" t="str">
        <f>TRIM(TTrainingSource[[#This Row],[EMPloyee_ID2]])</f>
        <v>EMP10526</v>
      </c>
      <c r="C1076" t="str">
        <f>IFERROR(VLOOKUP(TTrainingSource[[#This Row],[Employee_ID]],THrList[],3,FALSE),"")</f>
        <v>KONE</v>
      </c>
      <c r="D1076" t="str">
        <f>IFERROR(VLOOKUP(TTrainingSource[[#This Row],[Employee_ID]],THrList[],4,FALSE),"")</f>
        <v>Amina</v>
      </c>
      <c r="E1076" t="str">
        <f>IFERROR(VLOOKUP(TTrainingSource[[#This Row],[Employee_ID]],THrList[],10,FALSE),"")</f>
        <v>Human Resources</v>
      </c>
      <c r="F1076" t="str">
        <f>TRIM(PROPER(TTrainingSource[[#This Row],[Training_Status2]]))</f>
        <v>In Progress</v>
      </c>
      <c r="G1076" t="s">
        <v>8</v>
      </c>
      <c r="H1076" t="str">
        <f>TRIM(PROPER(TTrainingSource[[#This Row],[Training_Title2]]))</f>
        <v>Project Management Essentials</v>
      </c>
      <c r="I1076" t="s">
        <v>14</v>
      </c>
      <c r="J1076" s="1">
        <v>45821</v>
      </c>
      <c r="K1076" t="s">
        <v>44</v>
      </c>
      <c r="L1076" s="7">
        <v>6</v>
      </c>
      <c r="M1076">
        <f>ROUND(TTrainingSource[[#This Row],[Satisfaction_Score2]],0)</f>
        <v>3</v>
      </c>
      <c r="N1076">
        <v>3.1</v>
      </c>
    </row>
    <row r="1077" spans="1:14" x14ac:dyDescent="0.3">
      <c r="A1077" t="s">
        <v>257</v>
      </c>
      <c r="B1077" t="str">
        <f>TRIM(TTrainingSource[[#This Row],[EMPloyee_ID2]])</f>
        <v>EMP10526</v>
      </c>
      <c r="C1077" t="str">
        <f>IFERROR(VLOOKUP(TTrainingSource[[#This Row],[Employee_ID]],THrList[],3,FALSE),"")</f>
        <v>KONE</v>
      </c>
      <c r="D1077" t="str">
        <f>IFERROR(VLOOKUP(TTrainingSource[[#This Row],[Employee_ID]],THrList[],4,FALSE),"")</f>
        <v>Amina</v>
      </c>
      <c r="E1077" t="str">
        <f>IFERROR(VLOOKUP(TTrainingSource[[#This Row],[Employee_ID]],THrList[],10,FALSE),"")</f>
        <v>Human Resources</v>
      </c>
      <c r="F1077" t="str">
        <f>TRIM(PROPER(TTrainingSource[[#This Row],[Training_Status2]]))</f>
        <v>Completed</v>
      </c>
      <c r="G1077" t="s">
        <v>17</v>
      </c>
      <c r="H1077" t="str">
        <f>TRIM(PROPER(TTrainingSource[[#This Row],[Training_Title2]]))</f>
        <v>Advanced Excel For Business</v>
      </c>
      <c r="I1077" t="s">
        <v>52</v>
      </c>
      <c r="J1077" s="1">
        <v>44604</v>
      </c>
      <c r="K1077" t="s">
        <v>32</v>
      </c>
      <c r="L1077" s="7">
        <v>16</v>
      </c>
      <c r="M1077">
        <f>ROUND(TTrainingSource[[#This Row],[Satisfaction_Score2]],0)</f>
        <v>3</v>
      </c>
      <c r="N1077">
        <v>3.2</v>
      </c>
    </row>
    <row r="1078" spans="1:14" x14ac:dyDescent="0.3">
      <c r="A1078" t="s">
        <v>257</v>
      </c>
      <c r="B1078" t="str">
        <f>TRIM(TTrainingSource[[#This Row],[EMPloyee_ID2]])</f>
        <v>EMP10526</v>
      </c>
      <c r="C1078" t="str">
        <f>IFERROR(VLOOKUP(TTrainingSource[[#This Row],[Employee_ID]],THrList[],3,FALSE),"")</f>
        <v>KONE</v>
      </c>
      <c r="D1078" t="str">
        <f>IFERROR(VLOOKUP(TTrainingSource[[#This Row],[Employee_ID]],THrList[],4,FALSE),"")</f>
        <v>Amina</v>
      </c>
      <c r="E1078" t="str">
        <f>IFERROR(VLOOKUP(TTrainingSource[[#This Row],[Employee_ID]],THrList[],10,FALSE),"")</f>
        <v>Human Resources</v>
      </c>
      <c r="F1078" t="str">
        <f>TRIM(PROPER(TTrainingSource[[#This Row],[Training_Status2]]))</f>
        <v>Completed</v>
      </c>
      <c r="G1078" t="s">
        <v>17</v>
      </c>
      <c r="H1078" t="str">
        <f>TRIM(PROPER(TTrainingSource[[#This Row],[Training_Title2]]))</f>
        <v>Digital Marketing Strategy</v>
      </c>
      <c r="I1078" t="s">
        <v>284</v>
      </c>
      <c r="J1078" s="1">
        <v>45378</v>
      </c>
      <c r="K1078" t="s">
        <v>29</v>
      </c>
      <c r="L1078" s="7">
        <v>16</v>
      </c>
      <c r="M1078">
        <f>ROUND(TTrainingSource[[#This Row],[Satisfaction_Score2]],0)</f>
        <v>4</v>
      </c>
      <c r="N1078">
        <v>3.5</v>
      </c>
    </row>
    <row r="1079" spans="1:14" x14ac:dyDescent="0.3">
      <c r="A1079" t="s">
        <v>257</v>
      </c>
      <c r="B1079" t="str">
        <f>TRIM(TTrainingSource[[#This Row],[EMPloyee_ID2]])</f>
        <v>EMP10526</v>
      </c>
      <c r="C1079" t="str">
        <f>IFERROR(VLOOKUP(TTrainingSource[[#This Row],[Employee_ID]],THrList[],3,FALSE),"")</f>
        <v>KONE</v>
      </c>
      <c r="D1079" t="str">
        <f>IFERROR(VLOOKUP(TTrainingSource[[#This Row],[Employee_ID]],THrList[],4,FALSE),"")</f>
        <v>Amina</v>
      </c>
      <c r="E1079" t="str">
        <f>IFERROR(VLOOKUP(TTrainingSource[[#This Row],[Employee_ID]],THrList[],10,FALSE),"")</f>
        <v>Human Resources</v>
      </c>
      <c r="F1079" t="str">
        <f>TRIM(PROPER(TTrainingSource[[#This Row],[Training_Status2]]))</f>
        <v>Completed</v>
      </c>
      <c r="G1079" t="s">
        <v>17</v>
      </c>
      <c r="H1079" t="str">
        <f>TRIM(PROPER(TTrainingSource[[#This Row],[Training_Title2]]))</f>
        <v>Advanced Excel For Business</v>
      </c>
      <c r="I1079" t="s">
        <v>52</v>
      </c>
      <c r="J1079" s="1">
        <v>45315</v>
      </c>
      <c r="K1079" t="s">
        <v>46</v>
      </c>
      <c r="L1079" s="7">
        <v>4</v>
      </c>
      <c r="M1079">
        <f>ROUND(TTrainingSource[[#This Row],[Satisfaction_Score2]],0)</f>
        <v>3</v>
      </c>
      <c r="N1079">
        <v>3.3</v>
      </c>
    </row>
    <row r="1080" spans="1:14" x14ac:dyDescent="0.3">
      <c r="A1080" t="s">
        <v>187</v>
      </c>
      <c r="B1080" t="str">
        <f>TRIM(TTrainingSource[[#This Row],[EMPloyee_ID2]])</f>
        <v>EMP10527</v>
      </c>
      <c r="C1080" t="str">
        <f>IFERROR(VLOOKUP(TTrainingSource[[#This Row],[Employee_ID]],THrList[],3,FALSE),"")</f>
        <v>HASSAN</v>
      </c>
      <c r="D1080" t="str">
        <f>IFERROR(VLOOKUP(TTrainingSource[[#This Row],[Employee_ID]],THrList[],4,FALSE),"")</f>
        <v>Camille</v>
      </c>
      <c r="E1080" t="str">
        <f>IFERROR(VLOOKUP(TTrainingSource[[#This Row],[Employee_ID]],THrList[],10,FALSE),"")</f>
        <v>Human Resources</v>
      </c>
      <c r="F1080" t="str">
        <f>TRIM(PROPER(TTrainingSource[[#This Row],[Training_Status2]]))</f>
        <v>Planned</v>
      </c>
      <c r="G1080" t="s">
        <v>19</v>
      </c>
      <c r="H1080" t="str">
        <f>TRIM(PROPER(TTrainingSource[[#This Row],[Training_Title2]]))</f>
        <v>Advanced Excel For Business</v>
      </c>
      <c r="I1080" t="s">
        <v>52</v>
      </c>
      <c r="J1080" s="1">
        <v>44711</v>
      </c>
      <c r="K1080" t="s">
        <v>44</v>
      </c>
      <c r="L1080" s="7">
        <v>8</v>
      </c>
      <c r="M1080">
        <f>ROUND(TTrainingSource[[#This Row],[Satisfaction_Score2]],0)</f>
        <v>4</v>
      </c>
      <c r="N1080">
        <v>3.9</v>
      </c>
    </row>
    <row r="1081" spans="1:14" x14ac:dyDescent="0.3">
      <c r="A1081" t="s">
        <v>36</v>
      </c>
      <c r="B1081" t="str">
        <f>TRIM(TTrainingSource[[#This Row],[EMPloyee_ID2]])</f>
        <v>EMP10528</v>
      </c>
      <c r="C1081" t="str">
        <f>IFERROR(VLOOKUP(TTrainingSource[[#This Row],[Employee_ID]],THrList[],3,FALSE),"")</f>
        <v>HASSAN</v>
      </c>
      <c r="D1081" t="str">
        <f>IFERROR(VLOOKUP(TTrainingSource[[#This Row],[Employee_ID]],THrList[],4,FALSE),"")</f>
        <v>Marie</v>
      </c>
      <c r="E1081" t="str">
        <f>IFERROR(VLOOKUP(TTrainingSource[[#This Row],[Employee_ID]],THrList[],10,FALSE),"")</f>
        <v>Procurement</v>
      </c>
      <c r="F1081" t="str">
        <f>TRIM(PROPER(TTrainingSource[[#This Row],[Training_Status2]]))</f>
        <v>In Progress</v>
      </c>
      <c r="G1081" t="s">
        <v>8</v>
      </c>
      <c r="H1081" t="str">
        <f>TRIM(PROPER(TTrainingSource[[#This Row],[Training_Title2]]))</f>
        <v>Data Visualization Best Practices</v>
      </c>
      <c r="I1081" t="s">
        <v>20</v>
      </c>
      <c r="J1081" s="1">
        <v>44758</v>
      </c>
      <c r="K1081" t="s">
        <v>39</v>
      </c>
      <c r="L1081" s="7">
        <v>20</v>
      </c>
      <c r="M1081">
        <f>ROUND(TTrainingSource[[#This Row],[Satisfaction_Score2]],0)</f>
        <v>4</v>
      </c>
      <c r="N1081">
        <v>4</v>
      </c>
    </row>
    <row r="1082" spans="1:14" x14ac:dyDescent="0.3">
      <c r="A1082" t="s">
        <v>86</v>
      </c>
      <c r="B1082" t="str">
        <f>TRIM(TTrainingSource[[#This Row],[EMPloyee_ID2]])</f>
        <v>EMP10529</v>
      </c>
      <c r="C1082" t="str">
        <f>IFERROR(VLOOKUP(TTrainingSource[[#This Row],[Employee_ID]],THrList[],3,FALSE),"")</f>
        <v>LOPEZ</v>
      </c>
      <c r="D1082" t="str">
        <f>IFERROR(VLOOKUP(TTrainingSource[[#This Row],[Employee_ID]],THrList[],4,FALSE),"")</f>
        <v>Alexander</v>
      </c>
      <c r="E1082" t="str">
        <f>IFERROR(VLOOKUP(TTrainingSource[[#This Row],[Employee_ID]],THrList[],10,FALSE),"")</f>
        <v>Sales</v>
      </c>
      <c r="F1082" t="str">
        <f>TRIM(PROPER(TTrainingSource[[#This Row],[Training_Status2]]))</f>
        <v>Planned</v>
      </c>
      <c r="G1082" t="s">
        <v>19</v>
      </c>
      <c r="H1082" t="str">
        <f>TRIM(PROPER(TTrainingSource[[#This Row],[Training_Title2]]))</f>
        <v>Sql For Data Analytics</v>
      </c>
      <c r="I1082" t="s">
        <v>26</v>
      </c>
      <c r="J1082" s="1">
        <v>44868</v>
      </c>
      <c r="K1082" t="s">
        <v>32</v>
      </c>
      <c r="L1082" s="7">
        <v>20</v>
      </c>
      <c r="M1082">
        <f>ROUND(TTrainingSource[[#This Row],[Satisfaction_Score2]],0)</f>
        <v>5</v>
      </c>
      <c r="N1082">
        <v>5</v>
      </c>
    </row>
    <row r="1083" spans="1:14" x14ac:dyDescent="0.3">
      <c r="A1083" t="s">
        <v>86</v>
      </c>
      <c r="B1083" t="str">
        <f>TRIM(TTrainingSource[[#This Row],[EMPloyee_ID2]])</f>
        <v>EMP10529</v>
      </c>
      <c r="C1083" t="str">
        <f>IFERROR(VLOOKUP(TTrainingSource[[#This Row],[Employee_ID]],THrList[],3,FALSE),"")</f>
        <v>LOPEZ</v>
      </c>
      <c r="D1083" t="str">
        <f>IFERROR(VLOOKUP(TTrainingSource[[#This Row],[Employee_ID]],THrList[],4,FALSE),"")</f>
        <v>Alexander</v>
      </c>
      <c r="E1083" t="str">
        <f>IFERROR(VLOOKUP(TTrainingSource[[#This Row],[Employee_ID]],THrList[],10,FALSE),"")</f>
        <v>Sales</v>
      </c>
      <c r="F1083" t="str">
        <f>TRIM(PROPER(TTrainingSource[[#This Row],[Training_Status2]]))</f>
        <v>Completed</v>
      </c>
      <c r="G1083" t="s">
        <v>17</v>
      </c>
      <c r="H1083" t="str">
        <f>TRIM(PROPER(TTrainingSource[[#This Row],[Training_Title2]]))</f>
        <v>Communication For Analysts</v>
      </c>
      <c r="I1083" t="s">
        <v>28</v>
      </c>
      <c r="J1083" s="1">
        <v>45804</v>
      </c>
      <c r="K1083" t="s">
        <v>32</v>
      </c>
      <c r="L1083" s="7">
        <v>4</v>
      </c>
      <c r="M1083">
        <f>ROUND(TTrainingSource[[#This Row],[Satisfaction_Score2]],0)</f>
        <v>4</v>
      </c>
      <c r="N1083">
        <v>4.4000000000000004</v>
      </c>
    </row>
    <row r="1084" spans="1:14" x14ac:dyDescent="0.3">
      <c r="A1084" t="s">
        <v>86</v>
      </c>
      <c r="B1084" t="str">
        <f>TRIM(TTrainingSource[[#This Row],[EMPloyee_ID2]])</f>
        <v>EMP10529</v>
      </c>
      <c r="C1084" t="str">
        <f>IFERROR(VLOOKUP(TTrainingSource[[#This Row],[Employee_ID]],THrList[],3,FALSE),"")</f>
        <v>LOPEZ</v>
      </c>
      <c r="D1084" t="str">
        <f>IFERROR(VLOOKUP(TTrainingSource[[#This Row],[Employee_ID]],THrList[],4,FALSE),"")</f>
        <v>Alexander</v>
      </c>
      <c r="E1084" t="str">
        <f>IFERROR(VLOOKUP(TTrainingSource[[#This Row],[Employee_ID]],THrList[],10,FALSE),"")</f>
        <v>Sales</v>
      </c>
      <c r="F1084" t="str">
        <f>TRIM(PROPER(TTrainingSource[[#This Row],[Training_Status2]]))</f>
        <v>In Progress</v>
      </c>
      <c r="G1084" t="s">
        <v>8</v>
      </c>
      <c r="H1084" t="str">
        <f>TRIM(PROPER(TTrainingSource[[#This Row],[Training_Title2]]))</f>
        <v>Sql For Data Analytics</v>
      </c>
      <c r="I1084" t="s">
        <v>26</v>
      </c>
      <c r="J1084" s="1">
        <v>45055</v>
      </c>
      <c r="K1084" t="s">
        <v>44</v>
      </c>
      <c r="L1084" s="7">
        <v>20</v>
      </c>
      <c r="M1084">
        <f>ROUND(TTrainingSource[[#This Row],[Satisfaction_Score2]],0)</f>
        <v>4</v>
      </c>
      <c r="N1084">
        <v>4.2</v>
      </c>
    </row>
    <row r="1085" spans="1:14" x14ac:dyDescent="0.3">
      <c r="A1085" t="s">
        <v>86</v>
      </c>
      <c r="B1085" t="str">
        <f>TRIM(TTrainingSource[[#This Row],[EMPloyee_ID2]])</f>
        <v>EMP10529</v>
      </c>
      <c r="C1085" t="str">
        <f>IFERROR(VLOOKUP(TTrainingSource[[#This Row],[Employee_ID]],THrList[],3,FALSE),"")</f>
        <v>LOPEZ</v>
      </c>
      <c r="D1085" t="str">
        <f>IFERROR(VLOOKUP(TTrainingSource[[#This Row],[Employee_ID]],THrList[],4,FALSE),"")</f>
        <v>Alexander</v>
      </c>
      <c r="E1085" t="str">
        <f>IFERROR(VLOOKUP(TTrainingSource[[#This Row],[Employee_ID]],THrList[],10,FALSE),"")</f>
        <v>Sales</v>
      </c>
      <c r="F1085" t="str">
        <f>TRIM(PROPER(TTrainingSource[[#This Row],[Training_Status2]]))</f>
        <v>Completed</v>
      </c>
      <c r="G1085" t="s">
        <v>17</v>
      </c>
      <c r="H1085" t="str">
        <f>TRIM(PROPER(TTrainingSource[[#This Row],[Training_Title2]]))</f>
        <v>Financial Modeling Basics</v>
      </c>
      <c r="I1085" t="s">
        <v>38</v>
      </c>
      <c r="J1085" s="1">
        <v>45511</v>
      </c>
      <c r="K1085" t="s">
        <v>46</v>
      </c>
      <c r="L1085" s="7">
        <v>4</v>
      </c>
      <c r="M1085">
        <f>ROUND(TTrainingSource[[#This Row],[Satisfaction_Score2]],0)</f>
        <v>4</v>
      </c>
      <c r="N1085">
        <v>3.9</v>
      </c>
    </row>
    <row r="1086" spans="1:14" x14ac:dyDescent="0.3">
      <c r="A1086" t="s">
        <v>107</v>
      </c>
      <c r="B1086" t="str">
        <f>TRIM(TTrainingSource[[#This Row],[EMPloyee_ID2]])</f>
        <v>EMP10530</v>
      </c>
      <c r="C1086" t="str">
        <f>IFERROR(VLOOKUP(TTrainingSource[[#This Row],[Employee_ID]],THrList[],3,FALSE),"")</f>
        <v>TRAORE</v>
      </c>
      <c r="D1086" t="str">
        <f>IFERROR(VLOOKUP(TTrainingSource[[#This Row],[Employee_ID]],THrList[],4,FALSE),"")</f>
        <v>Benjamin</v>
      </c>
      <c r="E1086" t="str">
        <f>IFERROR(VLOOKUP(TTrainingSource[[#This Row],[Employee_ID]],THrList[],10,FALSE),"")</f>
        <v>Procurement</v>
      </c>
      <c r="F1086" t="str">
        <f>TRIM(PROPER(TTrainingSource[[#This Row],[Training_Status2]]))</f>
        <v>Completed</v>
      </c>
      <c r="G1086" t="s">
        <v>69</v>
      </c>
      <c r="H1086" t="str">
        <f>TRIM(PROPER(TTrainingSource[[#This Row],[Training_Title2]]))</f>
        <v>Sql For Data Analytics</v>
      </c>
      <c r="I1086" t="s">
        <v>26</v>
      </c>
      <c r="J1086" s="1">
        <v>45911</v>
      </c>
      <c r="K1086" t="s">
        <v>1072</v>
      </c>
      <c r="L1086" s="7">
        <v>32</v>
      </c>
      <c r="M1086">
        <f>ROUND(TTrainingSource[[#This Row],[Satisfaction_Score2]],0)</f>
        <v>4</v>
      </c>
      <c r="N1086">
        <v>3.7</v>
      </c>
    </row>
    <row r="1087" spans="1:14" x14ac:dyDescent="0.3">
      <c r="A1087" t="s">
        <v>476</v>
      </c>
      <c r="B1087" t="str">
        <f>TRIM(TTrainingSource[[#This Row],[EMPloyee_ID2]])</f>
        <v>EMP10531</v>
      </c>
      <c r="C1087" t="str">
        <f>IFERROR(VLOOKUP(TTrainingSource[[#This Row],[Employee_ID]],THrList[],3,FALSE),"")</f>
        <v>KHAN</v>
      </c>
      <c r="D1087" t="str">
        <f>IFERROR(VLOOKUP(TTrainingSource[[#This Row],[Employee_ID]],THrList[],4,FALSE),"")</f>
        <v>Ava</v>
      </c>
      <c r="E1087" t="str">
        <f>IFERROR(VLOOKUP(TTrainingSource[[#This Row],[Employee_ID]],THrList[],10,FALSE),"")</f>
        <v>Procurement</v>
      </c>
      <c r="F1087" t="str">
        <f>TRIM(PROPER(TTrainingSource[[#This Row],[Training_Status2]]))</f>
        <v>Planned</v>
      </c>
      <c r="G1087" t="s">
        <v>19</v>
      </c>
      <c r="H1087" t="str">
        <f>TRIM(PROPER(TTrainingSource[[#This Row],[Training_Title2]]))</f>
        <v>Project Management Essentials</v>
      </c>
      <c r="I1087" t="s">
        <v>14</v>
      </c>
      <c r="J1087" s="1">
        <v>44837</v>
      </c>
      <c r="K1087" t="s">
        <v>44</v>
      </c>
      <c r="L1087" s="7">
        <v>20</v>
      </c>
      <c r="M1087">
        <f>ROUND(TTrainingSource[[#This Row],[Satisfaction_Score2]],0)</f>
        <v>4</v>
      </c>
      <c r="N1087">
        <v>4.4000000000000004</v>
      </c>
    </row>
    <row r="1088" spans="1:14" x14ac:dyDescent="0.3">
      <c r="A1088" t="s">
        <v>476</v>
      </c>
      <c r="B1088" t="str">
        <f>TRIM(TTrainingSource[[#This Row],[EMPloyee_ID2]])</f>
        <v>EMP10531</v>
      </c>
      <c r="C1088" t="str">
        <f>IFERROR(VLOOKUP(TTrainingSource[[#This Row],[Employee_ID]],THrList[],3,FALSE),"")</f>
        <v>KHAN</v>
      </c>
      <c r="D1088" t="str">
        <f>IFERROR(VLOOKUP(TTrainingSource[[#This Row],[Employee_ID]],THrList[],4,FALSE),"")</f>
        <v>Ava</v>
      </c>
      <c r="E1088" t="str">
        <f>IFERROR(VLOOKUP(TTrainingSource[[#This Row],[Employee_ID]],THrList[],10,FALSE),"")</f>
        <v>Procurement</v>
      </c>
      <c r="F1088" t="str">
        <f>TRIM(PROPER(TTrainingSource[[#This Row],[Training_Status2]]))</f>
        <v>Completed</v>
      </c>
      <c r="G1088" t="s">
        <v>17</v>
      </c>
      <c r="H1088" t="str">
        <f>TRIM(PROPER(TTrainingSource[[#This Row],[Training_Title2]]))</f>
        <v>Power Bi Reporting</v>
      </c>
      <c r="I1088" t="s">
        <v>24</v>
      </c>
      <c r="J1088" s="1">
        <v>44855</v>
      </c>
      <c r="K1088" t="s">
        <v>71</v>
      </c>
      <c r="L1088" s="7">
        <v>12</v>
      </c>
      <c r="M1088">
        <f>ROUND(TTrainingSource[[#This Row],[Satisfaction_Score2]],0)</f>
        <v>4</v>
      </c>
      <c r="N1088">
        <v>3.9</v>
      </c>
    </row>
    <row r="1089" spans="1:14" x14ac:dyDescent="0.3">
      <c r="A1089" t="s">
        <v>1029</v>
      </c>
      <c r="B1089" t="str">
        <f>TRIM(TTrainingSource[[#This Row],[EMPloyee_ID2]])</f>
        <v>EMP10532</v>
      </c>
      <c r="C1089" t="str">
        <f>IFERROR(VLOOKUP(TTrainingSource[[#This Row],[Employee_ID]],THrList[],3,FALSE),"")</f>
        <v>KHAN</v>
      </c>
      <c r="D1089" t="str">
        <f>IFERROR(VLOOKUP(TTrainingSource[[#This Row],[Employee_ID]],THrList[],4,FALSE),"")</f>
        <v>Charlotte</v>
      </c>
      <c r="E1089" t="str">
        <f>IFERROR(VLOOKUP(TTrainingSource[[#This Row],[Employee_ID]],THrList[],10,FALSE),"")</f>
        <v>Human Resources</v>
      </c>
      <c r="F1089" t="str">
        <f>TRIM(PROPER(TTrainingSource[[#This Row],[Training_Status2]]))</f>
        <v>Completed</v>
      </c>
      <c r="G1089" t="s">
        <v>17</v>
      </c>
      <c r="H1089" t="str">
        <f>TRIM(PROPER(TTrainingSource[[#This Row],[Training_Title2]]))</f>
        <v>Power Bi Reporting</v>
      </c>
      <c r="I1089" t="s">
        <v>95</v>
      </c>
      <c r="J1089" s="1">
        <v>45397</v>
      </c>
      <c r="K1089" t="s">
        <v>12</v>
      </c>
      <c r="L1089" s="7">
        <v>4</v>
      </c>
      <c r="M1089">
        <f>ROUND(TTrainingSource[[#This Row],[Satisfaction_Score2]],0)</f>
        <v>5</v>
      </c>
      <c r="N1089">
        <v>5</v>
      </c>
    </row>
    <row r="1090" spans="1:14" x14ac:dyDescent="0.3">
      <c r="A1090" t="s">
        <v>319</v>
      </c>
      <c r="B1090" t="str">
        <f>TRIM(TTrainingSource[[#This Row],[EMPloyee_ID2]])</f>
        <v>EMP10534</v>
      </c>
      <c r="C1090" t="str">
        <f>IFERROR(VLOOKUP(TTrainingSource[[#This Row],[Employee_ID]],THrList[],3,FALSE),"")</f>
        <v>MOORE</v>
      </c>
      <c r="D1090" t="str">
        <f>IFERROR(VLOOKUP(TTrainingSource[[#This Row],[Employee_ID]],THrList[],4,FALSE),"")</f>
        <v>Benjamin</v>
      </c>
      <c r="E1090" t="str">
        <f>IFERROR(VLOOKUP(TTrainingSource[[#This Row],[Employee_ID]],THrList[],10,FALSE),"")</f>
        <v>Procurement</v>
      </c>
      <c r="F1090" t="str">
        <f>TRIM(PROPER(TTrainingSource[[#This Row],[Training_Status2]]))</f>
        <v>Completed</v>
      </c>
      <c r="G1090" t="s">
        <v>17</v>
      </c>
      <c r="H1090" t="str">
        <f>TRIM(PROPER(TTrainingSource[[#This Row],[Training_Title2]]))</f>
        <v>Project Management Essentials</v>
      </c>
      <c r="I1090" t="s">
        <v>14</v>
      </c>
      <c r="J1090" s="1">
        <v>44925</v>
      </c>
      <c r="K1090" t="s">
        <v>46</v>
      </c>
      <c r="L1090" s="7">
        <v>20</v>
      </c>
      <c r="M1090">
        <f>ROUND(TTrainingSource[[#This Row],[Satisfaction_Score2]],0)</f>
        <v>4</v>
      </c>
      <c r="N1090">
        <v>4.3</v>
      </c>
    </row>
    <row r="1091" spans="1:14" x14ac:dyDescent="0.3">
      <c r="A1091" t="s">
        <v>319</v>
      </c>
      <c r="B1091" t="str">
        <f>TRIM(TTrainingSource[[#This Row],[EMPloyee_ID2]])</f>
        <v>EMP10534</v>
      </c>
      <c r="C1091" t="str">
        <f>IFERROR(VLOOKUP(TTrainingSource[[#This Row],[Employee_ID]],THrList[],3,FALSE),"")</f>
        <v>MOORE</v>
      </c>
      <c r="D1091" t="str">
        <f>IFERROR(VLOOKUP(TTrainingSource[[#This Row],[Employee_ID]],THrList[],4,FALSE),"")</f>
        <v>Benjamin</v>
      </c>
      <c r="E1091" t="str">
        <f>IFERROR(VLOOKUP(TTrainingSource[[#This Row],[Employee_ID]],THrList[],10,FALSE),"")</f>
        <v>Procurement</v>
      </c>
      <c r="F1091" t="str">
        <f>TRIM(PROPER(TTrainingSource[[#This Row],[Training_Status2]]))</f>
        <v>Completed</v>
      </c>
      <c r="G1091" t="s">
        <v>17</v>
      </c>
      <c r="H1091" t="str">
        <f>TRIM(PROPER(TTrainingSource[[#This Row],[Training_Title2]]))</f>
        <v>Data Visualization Best Practices</v>
      </c>
      <c r="I1091" t="s">
        <v>20</v>
      </c>
      <c r="J1091" s="1">
        <v>44853</v>
      </c>
      <c r="K1091" t="s">
        <v>29</v>
      </c>
      <c r="L1091" s="7">
        <v>6</v>
      </c>
      <c r="M1091">
        <f>ROUND(TTrainingSource[[#This Row],[Satisfaction_Score2]],0)</f>
        <v>3</v>
      </c>
      <c r="N1091">
        <v>3.4</v>
      </c>
    </row>
    <row r="1092" spans="1:14" x14ac:dyDescent="0.3">
      <c r="A1092" t="s">
        <v>748</v>
      </c>
      <c r="B1092" t="str">
        <f>TRIM(TTrainingSource[[#This Row],[EMPloyee_ID2]])</f>
        <v>EMP10535</v>
      </c>
      <c r="C1092" t="str">
        <f>IFERROR(VLOOKUP(TTrainingSource[[#This Row],[Employee_ID]],THrList[],3,FALSE),"")</f>
        <v>ABDULLAH</v>
      </c>
      <c r="D1092" t="str">
        <f>IFERROR(VLOOKUP(TTrainingSource[[#This Row],[Employee_ID]],THrList[],4,FALSE),"")</f>
        <v>Camille</v>
      </c>
      <c r="E1092" t="str">
        <f>IFERROR(VLOOKUP(TTrainingSource[[#This Row],[Employee_ID]],THrList[],10,FALSE),"")</f>
        <v>Procurement</v>
      </c>
      <c r="F1092" t="str">
        <f>TRIM(PROPER(TTrainingSource[[#This Row],[Training_Status2]]))</f>
        <v>Completed</v>
      </c>
      <c r="G1092" t="s">
        <v>17</v>
      </c>
      <c r="H1092" t="str">
        <f>TRIM(PROPER(TTrainingSource[[#This Row],[Training_Title2]]))</f>
        <v>Customer Data Analysis</v>
      </c>
      <c r="I1092" t="s">
        <v>31</v>
      </c>
      <c r="J1092" s="1">
        <v>45205</v>
      </c>
      <c r="K1092" t="s">
        <v>29</v>
      </c>
      <c r="L1092" s="7">
        <v>6</v>
      </c>
      <c r="M1092">
        <f>ROUND(TTrainingSource[[#This Row],[Satisfaction_Score2]],0)</f>
        <v>5</v>
      </c>
      <c r="N1092">
        <v>4.7</v>
      </c>
    </row>
    <row r="1093" spans="1:14" x14ac:dyDescent="0.3">
      <c r="A1093" t="s">
        <v>665</v>
      </c>
      <c r="B1093" t="str">
        <f>TRIM(TTrainingSource[[#This Row],[EMPloyee_ID2]])</f>
        <v>EMP10536</v>
      </c>
      <c r="C1093" t="str">
        <f>IFERROR(VLOOKUP(TTrainingSource[[#This Row],[Employee_ID]],THrList[],3,FALSE),"")</f>
        <v>PATEL</v>
      </c>
      <c r="D1093" t="str">
        <f>IFERROR(VLOOKUP(TTrainingSource[[#This Row],[Employee_ID]],THrList[],4,FALSE),"")</f>
        <v>Olivia</v>
      </c>
      <c r="E1093" t="str">
        <f>IFERROR(VLOOKUP(TTrainingSource[[#This Row],[Employee_ID]],THrList[],10,FALSE),"")</f>
        <v>IT</v>
      </c>
      <c r="F1093" t="str">
        <f>TRIM(PROPER(TTrainingSource[[#This Row],[Training_Status2]]))</f>
        <v>Completed</v>
      </c>
      <c r="G1093" t="s">
        <v>17</v>
      </c>
      <c r="H1093" t="str">
        <f>TRIM(PROPER(TTrainingSource[[#This Row],[Training_Title2]]))</f>
        <v>Business Intelligence With Tableau</v>
      </c>
      <c r="I1093" t="s">
        <v>22</v>
      </c>
      <c r="J1093" s="1">
        <v>45411</v>
      </c>
      <c r="K1093" t="s">
        <v>39</v>
      </c>
      <c r="L1093" s="7">
        <v>24</v>
      </c>
      <c r="M1093">
        <f>ROUND(TTrainingSource[[#This Row],[Satisfaction_Score2]],0)</f>
        <v>4</v>
      </c>
      <c r="N1093">
        <v>4.2</v>
      </c>
    </row>
    <row r="1094" spans="1:14" x14ac:dyDescent="0.3">
      <c r="A1094" t="s">
        <v>610</v>
      </c>
      <c r="B1094" t="str">
        <f>TRIM(TTrainingSource[[#This Row],[EMPloyee_ID2]])</f>
        <v>EMP10537</v>
      </c>
      <c r="C1094" t="str">
        <f>IFERROR(VLOOKUP(TTrainingSource[[#This Row],[Employee_ID]],THrList[],3,FALSE),"")</f>
        <v>CHEN</v>
      </c>
      <c r="D1094" t="str">
        <f>IFERROR(VLOOKUP(TTrainingSource[[#This Row],[Employee_ID]],THrList[],4,FALSE),"")</f>
        <v>Ibrahim</v>
      </c>
      <c r="E1094" t="str">
        <f>IFERROR(VLOOKUP(TTrainingSource[[#This Row],[Employee_ID]],THrList[],10,FALSE),"")</f>
        <v>Marketing</v>
      </c>
      <c r="F1094" t="str">
        <f>TRIM(PROPER(TTrainingSource[[#This Row],[Training_Status2]]))</f>
        <v>Completed</v>
      </c>
      <c r="G1094" t="s">
        <v>17</v>
      </c>
      <c r="H1094" t="str">
        <f>TRIM(PROPER(TTrainingSource[[#This Row],[Training_Title2]]))</f>
        <v>Communication For Analysts</v>
      </c>
      <c r="I1094" t="s">
        <v>28</v>
      </c>
      <c r="J1094" s="1">
        <v>45230</v>
      </c>
      <c r="K1094" t="s">
        <v>29</v>
      </c>
      <c r="L1094" s="7">
        <v>16</v>
      </c>
      <c r="M1094">
        <f>ROUND(TTrainingSource[[#This Row],[Satisfaction_Score2]],0)</f>
        <v>4</v>
      </c>
      <c r="N1094">
        <v>4.3</v>
      </c>
    </row>
    <row r="1095" spans="1:14" x14ac:dyDescent="0.3">
      <c r="A1095" t="s">
        <v>671</v>
      </c>
      <c r="B1095" t="str">
        <f>TRIM(TTrainingSource[[#This Row],[EMPloyee_ID2]])</f>
        <v>EMP10537</v>
      </c>
      <c r="C1095" t="str">
        <f>IFERROR(VLOOKUP(TTrainingSource[[#This Row],[Employee_ID]],THrList[],3,FALSE),"")</f>
        <v>CHEN</v>
      </c>
      <c r="D1095" t="str">
        <f>IFERROR(VLOOKUP(TTrainingSource[[#This Row],[Employee_ID]],THrList[],4,FALSE),"")</f>
        <v>Ibrahim</v>
      </c>
      <c r="E1095" t="str">
        <f>IFERROR(VLOOKUP(TTrainingSource[[#This Row],[Employee_ID]],THrList[],10,FALSE),"")</f>
        <v>Marketing</v>
      </c>
      <c r="F1095" t="str">
        <f>TRIM(PROPER(TTrainingSource[[#This Row],[Training_Status2]]))</f>
        <v>Completed</v>
      </c>
      <c r="G1095" t="s">
        <v>17</v>
      </c>
      <c r="H1095" t="str">
        <f>TRIM(PROPER(TTrainingSource[[#This Row],[Training_Title2]]))</f>
        <v>Data Visualization Best Practices</v>
      </c>
      <c r="I1095" t="s">
        <v>20</v>
      </c>
      <c r="J1095" s="1">
        <v>45364</v>
      </c>
      <c r="K1095" t="s">
        <v>42</v>
      </c>
      <c r="L1095" s="7">
        <v>20</v>
      </c>
      <c r="M1095">
        <f>ROUND(TTrainingSource[[#This Row],[Satisfaction_Score2]],0)</f>
        <v>5</v>
      </c>
      <c r="N1095">
        <v>4.7</v>
      </c>
    </row>
    <row r="1096" spans="1:14" x14ac:dyDescent="0.3">
      <c r="A1096" t="s">
        <v>580</v>
      </c>
      <c r="B1096" t="str">
        <f>TRIM(TTrainingSource[[#This Row],[EMPloyee_ID2]])</f>
        <v>EMP10538</v>
      </c>
      <c r="C1096" t="str">
        <f>IFERROR(VLOOKUP(TTrainingSource[[#This Row],[Employee_ID]],THrList[],3,FALSE),"")</f>
        <v>MILLER</v>
      </c>
      <c r="D1096" t="str">
        <f>IFERROR(VLOOKUP(TTrainingSource[[#This Row],[Employee_ID]],THrList[],4,FALSE),"")</f>
        <v>Julien</v>
      </c>
      <c r="E1096" t="str">
        <f>IFERROR(VLOOKUP(TTrainingSource[[#This Row],[Employee_ID]],THrList[],10,FALSE),"")</f>
        <v>Marketing</v>
      </c>
      <c r="F1096" t="str">
        <f>TRIM(PROPER(TTrainingSource[[#This Row],[Training_Status2]]))</f>
        <v>In Progress</v>
      </c>
      <c r="G1096" t="s">
        <v>8</v>
      </c>
      <c r="H1096" t="str">
        <f>TRIM(PROPER(TTrainingSource[[#This Row],[Training_Title2]]))</f>
        <v>Communication For Analysts</v>
      </c>
      <c r="I1096" t="s">
        <v>28</v>
      </c>
      <c r="J1096" s="1">
        <v>45471</v>
      </c>
      <c r="K1096" t="s">
        <v>12</v>
      </c>
      <c r="L1096" s="7">
        <v>24</v>
      </c>
      <c r="M1096">
        <f>ROUND(TTrainingSource[[#This Row],[Satisfaction_Score2]],0)</f>
        <v>4</v>
      </c>
      <c r="N1096">
        <v>3.6</v>
      </c>
    </row>
    <row r="1097" spans="1:14" x14ac:dyDescent="0.3">
      <c r="A1097" t="s">
        <v>580</v>
      </c>
      <c r="B1097" t="str">
        <f>TRIM(TTrainingSource[[#This Row],[EMPloyee_ID2]])</f>
        <v>EMP10538</v>
      </c>
      <c r="C1097" t="str">
        <f>IFERROR(VLOOKUP(TTrainingSource[[#This Row],[Employee_ID]],THrList[],3,FALSE),"")</f>
        <v>MILLER</v>
      </c>
      <c r="D1097" t="str">
        <f>IFERROR(VLOOKUP(TTrainingSource[[#This Row],[Employee_ID]],THrList[],4,FALSE),"")</f>
        <v>Julien</v>
      </c>
      <c r="E1097" t="str">
        <f>IFERROR(VLOOKUP(TTrainingSource[[#This Row],[Employee_ID]],THrList[],10,FALSE),"")</f>
        <v>Marketing</v>
      </c>
      <c r="F1097" t="str">
        <f>TRIM(PROPER(TTrainingSource[[#This Row],[Training_Status2]]))</f>
        <v>In Progress</v>
      </c>
      <c r="G1097" t="s">
        <v>8</v>
      </c>
      <c r="H1097" t="str">
        <f>TRIM(PROPER(TTrainingSource[[#This Row],[Training_Title2]]))</f>
        <v>Customer Data Analysis</v>
      </c>
      <c r="I1097" t="s">
        <v>491</v>
      </c>
      <c r="J1097" s="1">
        <v>44942</v>
      </c>
      <c r="K1097" t="s">
        <v>32</v>
      </c>
      <c r="L1097" s="7">
        <v>32</v>
      </c>
      <c r="M1097">
        <f>ROUND(TTrainingSource[[#This Row],[Satisfaction_Score2]],0)</f>
        <v>5</v>
      </c>
      <c r="N1097">
        <v>4.5999999999999996</v>
      </c>
    </row>
    <row r="1098" spans="1:14" x14ac:dyDescent="0.3">
      <c r="A1098" t="s">
        <v>315</v>
      </c>
      <c r="B1098" t="str">
        <f>TRIM(TTrainingSource[[#This Row],[EMPloyee_ID2]])</f>
        <v>EMP10539</v>
      </c>
      <c r="C1098" t="str">
        <f>IFERROR(VLOOKUP(TTrainingSource[[#This Row],[Employee_ID]],THrList[],3,FALSE),"")</f>
        <v>SINGH</v>
      </c>
      <c r="D1098" t="str">
        <f>IFERROR(VLOOKUP(TTrainingSource[[#This Row],[Employee_ID]],THrList[],4,FALSE),"")</f>
        <v>James</v>
      </c>
      <c r="E1098" t="str">
        <f>IFERROR(VLOOKUP(TTrainingSource[[#This Row],[Employee_ID]],THrList[],10,FALSE),"")</f>
        <v>Customer Support</v>
      </c>
      <c r="F1098" t="str">
        <f>TRIM(PROPER(TTrainingSource[[#This Row],[Training_Status2]]))</f>
        <v>Planned</v>
      </c>
      <c r="G1098" t="s">
        <v>19</v>
      </c>
      <c r="H1098" t="str">
        <f>TRIM(PROPER(TTrainingSource[[#This Row],[Training_Title2]]))</f>
        <v>Business Intelligence With Tableau</v>
      </c>
      <c r="I1098" t="s">
        <v>22</v>
      </c>
      <c r="J1098" s="1">
        <v>44702</v>
      </c>
      <c r="K1098" t="s">
        <v>32</v>
      </c>
      <c r="L1098" s="7">
        <v>16</v>
      </c>
      <c r="M1098">
        <f>ROUND(TTrainingSource[[#This Row],[Satisfaction_Score2]],0)</f>
        <v>4</v>
      </c>
      <c r="N1098">
        <v>3.8</v>
      </c>
    </row>
    <row r="1099" spans="1:14" x14ac:dyDescent="0.3">
      <c r="A1099" t="s">
        <v>315</v>
      </c>
      <c r="B1099" t="str">
        <f>TRIM(TTrainingSource[[#This Row],[EMPloyee_ID2]])</f>
        <v>EMP10539</v>
      </c>
      <c r="C1099" t="str">
        <f>IFERROR(VLOOKUP(TTrainingSource[[#This Row],[Employee_ID]],THrList[],3,FALSE),"")</f>
        <v>SINGH</v>
      </c>
      <c r="D1099" t="str">
        <f>IFERROR(VLOOKUP(TTrainingSource[[#This Row],[Employee_ID]],THrList[],4,FALSE),"")</f>
        <v>James</v>
      </c>
      <c r="E1099" t="str">
        <f>IFERROR(VLOOKUP(TTrainingSource[[#This Row],[Employee_ID]],THrList[],10,FALSE),"")</f>
        <v>Customer Support</v>
      </c>
      <c r="F1099" t="str">
        <f>TRIM(PROPER(TTrainingSource[[#This Row],[Training_Status2]]))</f>
        <v>Planned</v>
      </c>
      <c r="G1099" t="s">
        <v>128</v>
      </c>
      <c r="H1099" t="str">
        <f>TRIM(PROPER(TTrainingSource[[#This Row],[Training_Title2]]))</f>
        <v>Advanced Excel For Business</v>
      </c>
      <c r="I1099" t="s">
        <v>52</v>
      </c>
      <c r="J1099" s="1">
        <v>44909</v>
      </c>
      <c r="K1099" t="s">
        <v>32</v>
      </c>
      <c r="L1099" s="7">
        <v>16</v>
      </c>
      <c r="M1099">
        <f>ROUND(TTrainingSource[[#This Row],[Satisfaction_Score2]],0)</f>
        <v>4</v>
      </c>
      <c r="N1099">
        <v>4.2</v>
      </c>
    </row>
    <row r="1100" spans="1:14" x14ac:dyDescent="0.3">
      <c r="A1100" t="s">
        <v>645</v>
      </c>
      <c r="B1100" t="str">
        <f>TRIM(TTrainingSource[[#This Row],[EMPloyee_ID2]])</f>
        <v>EMP10540</v>
      </c>
      <c r="C1100" t="str">
        <f>IFERROR(VLOOKUP(TTrainingSource[[#This Row],[Employee_ID]],THrList[],3,FALSE),"")</f>
        <v>NGUYEN</v>
      </c>
      <c r="D1100" t="str">
        <f>IFERROR(VLOOKUP(TTrainingSource[[#This Row],[Employee_ID]],THrList[],4,FALSE),"")</f>
        <v>Kofi</v>
      </c>
      <c r="E1100" t="str">
        <f>IFERROR(VLOOKUP(TTrainingSource[[#This Row],[Employee_ID]],THrList[],10,FALSE),"")</f>
        <v>Finance</v>
      </c>
      <c r="F1100" t="str">
        <f>TRIM(PROPER(TTrainingSource[[#This Row],[Training_Status2]]))</f>
        <v>Completed</v>
      </c>
      <c r="G1100" t="s">
        <v>17</v>
      </c>
      <c r="H1100" t="str">
        <f>TRIM(PROPER(TTrainingSource[[#This Row],[Training_Title2]]))</f>
        <v>Advanced Excel For Business</v>
      </c>
      <c r="I1100" t="s">
        <v>52</v>
      </c>
      <c r="J1100" s="1">
        <v>45493</v>
      </c>
      <c r="K1100" t="s">
        <v>42</v>
      </c>
      <c r="L1100" s="7">
        <v>8</v>
      </c>
      <c r="M1100">
        <f>ROUND(TTrainingSource[[#This Row],[Satisfaction_Score2]],0)</f>
        <v>5</v>
      </c>
      <c r="N1100">
        <v>4.5</v>
      </c>
    </row>
    <row r="1101" spans="1:14" x14ac:dyDescent="0.3">
      <c r="A1101" t="s">
        <v>645</v>
      </c>
      <c r="B1101" t="str">
        <f>TRIM(TTrainingSource[[#This Row],[EMPloyee_ID2]])</f>
        <v>EMP10540</v>
      </c>
      <c r="C1101" t="str">
        <f>IFERROR(VLOOKUP(TTrainingSource[[#This Row],[Employee_ID]],THrList[],3,FALSE),"")</f>
        <v>NGUYEN</v>
      </c>
      <c r="D1101" t="str">
        <f>IFERROR(VLOOKUP(TTrainingSource[[#This Row],[Employee_ID]],THrList[],4,FALSE),"")</f>
        <v>Kofi</v>
      </c>
      <c r="E1101" t="str">
        <f>IFERROR(VLOOKUP(TTrainingSource[[#This Row],[Employee_ID]],THrList[],10,FALSE),"")</f>
        <v>Finance</v>
      </c>
      <c r="F1101" t="str">
        <f>TRIM(PROPER(TTrainingSource[[#This Row],[Training_Status2]]))</f>
        <v>Completed</v>
      </c>
      <c r="G1101" t="s">
        <v>17</v>
      </c>
      <c r="H1101" t="str">
        <f>TRIM(PROPER(TTrainingSource[[#This Row],[Training_Title2]]))</f>
        <v>Introduction To Python For Data</v>
      </c>
      <c r="I1101" t="s">
        <v>62</v>
      </c>
      <c r="J1101" s="1">
        <v>45806</v>
      </c>
      <c r="K1101" t="s">
        <v>98</v>
      </c>
      <c r="L1101" s="7">
        <v>40</v>
      </c>
      <c r="M1101">
        <f>ROUND(TTrainingSource[[#This Row],[Satisfaction_Score2]],0)</f>
        <v>3</v>
      </c>
      <c r="N1101">
        <v>2.7</v>
      </c>
    </row>
    <row r="1102" spans="1:14" x14ac:dyDescent="0.3">
      <c r="A1102" t="s">
        <v>268</v>
      </c>
      <c r="B1102" t="str">
        <f>TRIM(TTrainingSource[[#This Row],[EMPloyee_ID2]])</f>
        <v>EMP10541</v>
      </c>
      <c r="C1102" t="str">
        <f>IFERROR(VLOOKUP(TTrainingSource[[#This Row],[Employee_ID]],THrList[],3,FALSE),"")</f>
        <v>DIALLO</v>
      </c>
      <c r="D1102" t="str">
        <f>IFERROR(VLOOKUP(TTrainingSource[[#This Row],[Employee_ID]],THrList[],4,FALSE),"")</f>
        <v>Henry</v>
      </c>
      <c r="E1102" t="str">
        <f>IFERROR(VLOOKUP(TTrainingSource[[#This Row],[Employee_ID]],THrList[],10,FALSE),"")</f>
        <v>Compliance</v>
      </c>
      <c r="F1102" t="str">
        <f>TRIM(PROPER(TTrainingSource[[#This Row],[Training_Status2]]))</f>
        <v>Completed</v>
      </c>
      <c r="G1102" t="s">
        <v>17</v>
      </c>
      <c r="H1102" t="str">
        <f>TRIM(PROPER(TTrainingSource[[#This Row],[Training_Title2]]))</f>
        <v>Project Management Essentials</v>
      </c>
      <c r="I1102" t="s">
        <v>14</v>
      </c>
      <c r="J1102" s="1">
        <v>44979</v>
      </c>
      <c r="K1102" t="s">
        <v>42</v>
      </c>
      <c r="L1102" s="7">
        <v>20</v>
      </c>
      <c r="M1102">
        <f>ROUND(TTrainingSource[[#This Row],[Satisfaction_Score2]],0)</f>
        <v>3</v>
      </c>
      <c r="N1102">
        <v>3.3</v>
      </c>
    </row>
    <row r="1103" spans="1:14" x14ac:dyDescent="0.3">
      <c r="A1103" t="s">
        <v>629</v>
      </c>
      <c r="B1103" t="str">
        <f>TRIM(TTrainingSource[[#This Row],[EMPloyee_ID2]])</f>
        <v>EMP10542</v>
      </c>
      <c r="C1103" t="str">
        <f>IFERROR(VLOOKUP(TTrainingSource[[#This Row],[Employee_ID]],THrList[],3,FALSE),"")</f>
        <v>SOW</v>
      </c>
      <c r="D1103" t="str">
        <f>IFERROR(VLOOKUP(TTrainingSource[[#This Row],[Employee_ID]],THrList[],4,FALSE),"")</f>
        <v>Abigail</v>
      </c>
      <c r="E1103" t="str">
        <f>IFERROR(VLOOKUP(TTrainingSource[[#This Row],[Employee_ID]],THrList[],10,FALSE),"")</f>
        <v>Operations</v>
      </c>
      <c r="F1103" t="str">
        <f>TRIM(PROPER(TTrainingSource[[#This Row],[Training_Status2]]))</f>
        <v>In Progress</v>
      </c>
      <c r="G1103" t="s">
        <v>8</v>
      </c>
      <c r="H1103" t="str">
        <f>TRIM(PROPER(TTrainingSource[[#This Row],[Training_Title2]]))</f>
        <v>Power Bi Reporting</v>
      </c>
      <c r="I1103" t="s">
        <v>24</v>
      </c>
      <c r="J1103" s="1">
        <v>45848</v>
      </c>
      <c r="K1103" t="s">
        <v>44</v>
      </c>
      <c r="L1103" s="7">
        <v>40</v>
      </c>
      <c r="M1103">
        <f>ROUND(TTrainingSource[[#This Row],[Satisfaction_Score2]],0)</f>
        <v>3</v>
      </c>
      <c r="N1103">
        <v>3.3</v>
      </c>
    </row>
    <row r="1104" spans="1:14" x14ac:dyDescent="0.3">
      <c r="A1104" t="s">
        <v>519</v>
      </c>
      <c r="B1104" t="str">
        <f>TRIM(TTrainingSource[[#This Row],[EMPloyee_ID2]])</f>
        <v>EMP10543</v>
      </c>
      <c r="C1104" t="str">
        <f>IFERROR(VLOOKUP(TTrainingSource[[#This Row],[Employee_ID]],THrList[],3,FALSE),"")</f>
        <v>LOPEZ</v>
      </c>
      <c r="D1104" t="str">
        <f>IFERROR(VLOOKUP(TTrainingSource[[#This Row],[Employee_ID]],THrList[],4,FALSE),"")</f>
        <v>Olivia</v>
      </c>
      <c r="E1104" t="str">
        <f>IFERROR(VLOOKUP(TTrainingSource[[#This Row],[Employee_ID]],THrList[],10,FALSE),"")</f>
        <v>Customer Support</v>
      </c>
      <c r="F1104" t="str">
        <f>TRIM(PROPER(TTrainingSource[[#This Row],[Training_Status2]]))</f>
        <v>Completed</v>
      </c>
      <c r="G1104" t="s">
        <v>17</v>
      </c>
      <c r="H1104" t="str">
        <f>TRIM(PROPER(TTrainingSource[[#This Row],[Training_Title2]]))</f>
        <v>Data Visualization Best Practices</v>
      </c>
      <c r="I1104" t="s">
        <v>20</v>
      </c>
      <c r="J1104" s="1">
        <v>44686</v>
      </c>
      <c r="K1104" t="s">
        <v>42</v>
      </c>
      <c r="L1104" s="7">
        <v>20</v>
      </c>
      <c r="M1104">
        <f>ROUND(TTrainingSource[[#This Row],[Satisfaction_Score2]],0)</f>
        <v>4</v>
      </c>
      <c r="N1104">
        <v>4</v>
      </c>
    </row>
    <row r="1105" spans="1:14" x14ac:dyDescent="0.3">
      <c r="A1105" t="s">
        <v>618</v>
      </c>
      <c r="B1105" t="str">
        <f>TRIM(TTrainingSource[[#This Row],[EMPloyee_ID2]])</f>
        <v>EMP10545</v>
      </c>
      <c r="C1105" t="str">
        <f>IFERROR(VLOOKUP(TTrainingSource[[#This Row],[Employee_ID]],THrList[],3,FALSE),"")</f>
        <v>SMITH</v>
      </c>
      <c r="D1105" t="str">
        <f>IFERROR(VLOOKUP(TTrainingSource[[#This Row],[Employee_ID]],THrList[],4,FALSE),"")</f>
        <v>Charlotte</v>
      </c>
      <c r="E1105" t="str">
        <f>IFERROR(VLOOKUP(TTrainingSource[[#This Row],[Employee_ID]],THrList[],10,FALSE),"")</f>
        <v>IT</v>
      </c>
      <c r="F1105" t="str">
        <f>TRIM(PROPER(TTrainingSource[[#This Row],[Training_Status2]]))</f>
        <v>Completed</v>
      </c>
      <c r="G1105" t="s">
        <v>17</v>
      </c>
      <c r="H1105" t="str">
        <f>TRIM(PROPER(TTrainingSource[[#This Row],[Training_Title2]]))</f>
        <v>Introduction To Python For Data</v>
      </c>
      <c r="I1105" t="s">
        <v>62</v>
      </c>
      <c r="J1105" s="1">
        <v>45179</v>
      </c>
      <c r="K1105" t="s">
        <v>29</v>
      </c>
      <c r="L1105" s="7">
        <v>8</v>
      </c>
      <c r="M1105">
        <f>ROUND(TTrainingSource[[#This Row],[Satisfaction_Score2]],0)</f>
        <v>3</v>
      </c>
      <c r="N1105">
        <v>2.9</v>
      </c>
    </row>
    <row r="1106" spans="1:14" x14ac:dyDescent="0.3">
      <c r="A1106" t="s">
        <v>75</v>
      </c>
      <c r="B1106" t="str">
        <f>TRIM(TTrainingSource[[#This Row],[EMPloyee_ID2]])</f>
        <v>EMP10547</v>
      </c>
      <c r="C1106" t="str">
        <f>IFERROR(VLOOKUP(TTrainingSource[[#This Row],[Employee_ID]],THrList[],3,FALSE),"")</f>
        <v>GONZALEZ</v>
      </c>
      <c r="D1106" t="str">
        <f>IFERROR(VLOOKUP(TTrainingSource[[#This Row],[Employee_ID]],THrList[],4,FALSE),"")</f>
        <v>Fatima</v>
      </c>
      <c r="E1106" t="str">
        <f>IFERROR(VLOOKUP(TTrainingSource[[#This Row],[Employee_ID]],THrList[],10,FALSE),"")</f>
        <v>Sales</v>
      </c>
      <c r="F1106" t="str">
        <f>TRIM(PROPER(TTrainingSource[[#This Row],[Training_Status2]]))</f>
        <v>Completed</v>
      </c>
      <c r="G1106" t="s">
        <v>17</v>
      </c>
      <c r="H1106" t="str">
        <f>TRIM(PROPER(TTrainingSource[[#This Row],[Training_Title2]]))</f>
        <v>Data Analysis Fundamentals</v>
      </c>
      <c r="I1106" t="s">
        <v>9</v>
      </c>
      <c r="J1106" s="1">
        <v>45620</v>
      </c>
      <c r="K1106" t="s">
        <v>42</v>
      </c>
      <c r="L1106" s="7">
        <v>32</v>
      </c>
      <c r="M1106">
        <f>ROUND(TTrainingSource[[#This Row],[Satisfaction_Score2]],0)</f>
        <v>5</v>
      </c>
      <c r="N1106">
        <v>4.9000000000000004</v>
      </c>
    </row>
    <row r="1107" spans="1:14" x14ac:dyDescent="0.3">
      <c r="A1107" t="s">
        <v>538</v>
      </c>
      <c r="B1107" t="str">
        <f>TRIM(TTrainingSource[[#This Row],[EMPloyee_ID2]])</f>
        <v>EMP10548</v>
      </c>
      <c r="C1107" t="str">
        <f>IFERROR(VLOOKUP(TTrainingSource[[#This Row],[Employee_ID]],THrList[],3,FALSE),"")</f>
        <v>NGUYEN</v>
      </c>
      <c r="D1107" t="str">
        <f>IFERROR(VLOOKUP(TTrainingSource[[#This Row],[Employee_ID]],THrList[],4,FALSE),"")</f>
        <v>Ada</v>
      </c>
      <c r="E1107" t="str">
        <f>IFERROR(VLOOKUP(TTrainingSource[[#This Row],[Employee_ID]],THrList[],10,FALSE),"")</f>
        <v>Finance</v>
      </c>
      <c r="F1107" t="str">
        <f>TRIM(PROPER(TTrainingSource[[#This Row],[Training_Status2]]))</f>
        <v>Completed</v>
      </c>
      <c r="G1107" t="s">
        <v>17</v>
      </c>
      <c r="H1107" t="str">
        <f>TRIM(PROPER(TTrainingSource[[#This Row],[Training_Title2]]))</f>
        <v>Digital Marketing Strategy</v>
      </c>
      <c r="I1107" t="s">
        <v>43</v>
      </c>
      <c r="J1107" s="1">
        <v>44843</v>
      </c>
      <c r="K1107" t="s">
        <v>32</v>
      </c>
      <c r="L1107" s="7">
        <v>40</v>
      </c>
      <c r="M1107">
        <f>ROUND(TTrainingSource[[#This Row],[Satisfaction_Score2]],0)</f>
        <v>3</v>
      </c>
      <c r="N1107">
        <v>2.6</v>
      </c>
    </row>
    <row r="1108" spans="1:14" x14ac:dyDescent="0.3">
      <c r="A1108" t="s">
        <v>669</v>
      </c>
      <c r="B1108" t="str">
        <f>TRIM(TTrainingSource[[#This Row],[EMPloyee_ID2]])</f>
        <v>EMP10548</v>
      </c>
      <c r="C1108" t="str">
        <f>IFERROR(VLOOKUP(TTrainingSource[[#This Row],[Employee_ID]],THrList[],3,FALSE),"")</f>
        <v>NGUYEN</v>
      </c>
      <c r="D1108" t="str">
        <f>IFERROR(VLOOKUP(TTrainingSource[[#This Row],[Employee_ID]],THrList[],4,FALSE),"")</f>
        <v>Ada</v>
      </c>
      <c r="E1108" t="str">
        <f>IFERROR(VLOOKUP(TTrainingSource[[#This Row],[Employee_ID]],THrList[],10,FALSE),"")</f>
        <v>Finance</v>
      </c>
      <c r="F1108" t="str">
        <f>TRIM(PROPER(TTrainingSource[[#This Row],[Training_Status2]]))</f>
        <v>Planned</v>
      </c>
      <c r="G1108" t="s">
        <v>10</v>
      </c>
      <c r="H1108" t="str">
        <f>TRIM(PROPER(TTrainingSource[[#This Row],[Training_Title2]]))</f>
        <v>Business Intelligence With Tableau</v>
      </c>
      <c r="I1108" t="s">
        <v>22</v>
      </c>
      <c r="J1108" s="1">
        <v>44787</v>
      </c>
      <c r="K1108" t="s">
        <v>98</v>
      </c>
      <c r="L1108" s="7">
        <v>0</v>
      </c>
      <c r="M1108">
        <f>ROUND(TTrainingSource[[#This Row],[Satisfaction_Score2]],0)</f>
        <v>4</v>
      </c>
      <c r="N1108">
        <v>3.5</v>
      </c>
    </row>
    <row r="1109" spans="1:14" x14ac:dyDescent="0.3">
      <c r="A1109" t="s">
        <v>199</v>
      </c>
      <c r="B1109" t="str">
        <f>TRIM(TTrainingSource[[#This Row],[EMPloyee_ID2]])</f>
        <v>EMP10549</v>
      </c>
      <c r="C1109" t="str">
        <f>IFERROR(VLOOKUP(TTrainingSource[[#This Row],[Employee_ID]],THrList[],3,FALSE),"")</f>
        <v>RODRIGUEZ</v>
      </c>
      <c r="D1109" t="str">
        <f>IFERROR(VLOOKUP(TTrainingSource[[#This Row],[Employee_ID]],THrList[],4,FALSE),"")</f>
        <v>Amina</v>
      </c>
      <c r="E1109" t="str">
        <f>IFERROR(VLOOKUP(TTrainingSource[[#This Row],[Employee_ID]],THrList[],10,FALSE),"")</f>
        <v>Compliance</v>
      </c>
      <c r="F1109" t="str">
        <f>TRIM(PROPER(TTrainingSource[[#This Row],[Training_Status2]]))</f>
        <v>In Progress</v>
      </c>
      <c r="G1109" t="s">
        <v>8</v>
      </c>
      <c r="H1109" t="str">
        <f>TRIM(PROPER(TTrainingSource[[#This Row],[Training_Title2]]))</f>
        <v>Sql For Data Analytics</v>
      </c>
      <c r="I1109" t="s">
        <v>26</v>
      </c>
      <c r="J1109" s="1">
        <v>45003</v>
      </c>
      <c r="K1109" t="s">
        <v>44</v>
      </c>
      <c r="L1109" s="7">
        <v>8</v>
      </c>
      <c r="M1109">
        <f>ROUND(TTrainingSource[[#This Row],[Satisfaction_Score2]],0)</f>
        <v>3</v>
      </c>
      <c r="N1109">
        <v>2.5</v>
      </c>
    </row>
    <row r="1110" spans="1:14" x14ac:dyDescent="0.3">
      <c r="A1110" t="s">
        <v>628</v>
      </c>
      <c r="B1110" t="str">
        <f>TRIM(TTrainingSource[[#This Row],[EMPloyee_ID2]])</f>
        <v>EMP10551</v>
      </c>
      <c r="C1110" t="str">
        <f>IFERROR(VLOOKUP(TTrainingSource[[#This Row],[Employee_ID]],THrList[],3,FALSE),"")</f>
        <v>HERNANDEZ</v>
      </c>
      <c r="D1110" t="str">
        <f>IFERROR(VLOOKUP(TTrainingSource[[#This Row],[Employee_ID]],THrList[],4,FALSE),"")</f>
        <v>Binta</v>
      </c>
      <c r="E1110" t="str">
        <f>IFERROR(VLOOKUP(TTrainingSource[[#This Row],[Employee_ID]],THrList[],10,FALSE),"")</f>
        <v>Finance</v>
      </c>
      <c r="F1110" t="str">
        <f>TRIM(PROPER(TTrainingSource[[#This Row],[Training_Status2]]))</f>
        <v>Completed</v>
      </c>
      <c r="G1110" t="s">
        <v>17</v>
      </c>
      <c r="H1110" t="str">
        <f>TRIM(PROPER(TTrainingSource[[#This Row],[Training_Title2]]))</f>
        <v>Advanced Excel For Business</v>
      </c>
      <c r="I1110" t="s">
        <v>52</v>
      </c>
      <c r="J1110" s="1">
        <v>45050</v>
      </c>
      <c r="K1110" t="s">
        <v>71</v>
      </c>
      <c r="L1110" s="7">
        <v>4</v>
      </c>
      <c r="M1110">
        <f>ROUND(TTrainingSource[[#This Row],[Satisfaction_Score2]],0)</f>
        <v>4</v>
      </c>
      <c r="N1110">
        <v>4.0999999999999996</v>
      </c>
    </row>
    <row r="1111" spans="1:14" x14ac:dyDescent="0.3">
      <c r="A1111" t="s">
        <v>325</v>
      </c>
      <c r="B1111" t="str">
        <f>TRIM(TTrainingSource[[#This Row],[EMPloyee_ID2]])</f>
        <v>EMP10552</v>
      </c>
      <c r="C1111" t="str">
        <f>IFERROR(VLOOKUP(TTrainingSource[[#This Row],[Employee_ID]],THrList[],3,FALSE),"")</f>
        <v>MARTINEZ</v>
      </c>
      <c r="D1111" t="str">
        <f>IFERROR(VLOOKUP(TTrainingSource[[#This Row],[Employee_ID]],THrList[],4,FALSE),"")</f>
        <v>Kwame</v>
      </c>
      <c r="E1111" t="str">
        <f>IFERROR(VLOOKUP(TTrainingSource[[#This Row],[Employee_ID]],THrList[],10,FALSE),"")</f>
        <v>Finance</v>
      </c>
      <c r="F1111" t="str">
        <f>TRIM(PROPER(TTrainingSource[[#This Row],[Training_Status2]]))</f>
        <v>Planned</v>
      </c>
      <c r="G1111" t="s">
        <v>19</v>
      </c>
      <c r="H1111" t="str">
        <f>TRIM(PROPER(TTrainingSource[[#This Row],[Training_Title2]]))</f>
        <v>Power Bi Reporting</v>
      </c>
      <c r="I1111" t="s">
        <v>24</v>
      </c>
      <c r="J1111" s="1">
        <v>45643</v>
      </c>
      <c r="K1111" t="s">
        <v>39</v>
      </c>
      <c r="L1111" s="7">
        <v>24</v>
      </c>
      <c r="M1111">
        <f>ROUND(TTrainingSource[[#This Row],[Satisfaction_Score2]],0)</f>
        <v>3</v>
      </c>
      <c r="N1111">
        <v>3</v>
      </c>
    </row>
    <row r="1112" spans="1:14" x14ac:dyDescent="0.3">
      <c r="A1112" t="s">
        <v>325</v>
      </c>
      <c r="B1112" t="str">
        <f>TRIM(TTrainingSource[[#This Row],[EMPloyee_ID2]])</f>
        <v>EMP10552</v>
      </c>
      <c r="C1112" t="str">
        <f>IFERROR(VLOOKUP(TTrainingSource[[#This Row],[Employee_ID]],THrList[],3,FALSE),"")</f>
        <v>MARTINEZ</v>
      </c>
      <c r="D1112" t="str">
        <f>IFERROR(VLOOKUP(TTrainingSource[[#This Row],[Employee_ID]],THrList[],4,FALSE),"")</f>
        <v>Kwame</v>
      </c>
      <c r="E1112" t="str">
        <f>IFERROR(VLOOKUP(TTrainingSource[[#This Row],[Employee_ID]],THrList[],10,FALSE),"")</f>
        <v>Finance</v>
      </c>
      <c r="F1112" t="str">
        <f>TRIM(PROPER(TTrainingSource[[#This Row],[Training_Status2]]))</f>
        <v>Completed</v>
      </c>
      <c r="G1112" t="s">
        <v>17</v>
      </c>
      <c r="H1112" t="str">
        <f>TRIM(PROPER(TTrainingSource[[#This Row],[Training_Title2]]))</f>
        <v>Data Visualization Best Practices</v>
      </c>
      <c r="I1112" t="s">
        <v>20</v>
      </c>
      <c r="J1112" s="1">
        <v>45091</v>
      </c>
      <c r="K1112" t="s">
        <v>44</v>
      </c>
      <c r="L1112" s="7">
        <v>16</v>
      </c>
      <c r="M1112">
        <f>ROUND(TTrainingSource[[#This Row],[Satisfaction_Score2]],0)</f>
        <v>5</v>
      </c>
      <c r="N1112">
        <v>4.5</v>
      </c>
    </row>
    <row r="1113" spans="1:14" x14ac:dyDescent="0.3">
      <c r="A1113" t="s">
        <v>64</v>
      </c>
      <c r="B1113" t="str">
        <f>TRIM(TTrainingSource[[#This Row],[EMPloyee_ID2]])</f>
        <v>EMP10553</v>
      </c>
      <c r="C1113" t="str">
        <f>IFERROR(VLOOKUP(TTrainingSource[[#This Row],[Employee_ID]],THrList[],3,FALSE),"")</f>
        <v>MARTINEZ</v>
      </c>
      <c r="D1113" t="str">
        <f>IFERROR(VLOOKUP(TTrainingSource[[#This Row],[Employee_ID]],THrList[],4,FALSE),"")</f>
        <v>Hassan</v>
      </c>
      <c r="E1113" t="str">
        <f>IFERROR(VLOOKUP(TTrainingSource[[#This Row],[Employee_ID]],THrList[],10,FALSE),"")</f>
        <v>Finance</v>
      </c>
      <c r="F1113" t="str">
        <f>TRIM(PROPER(TTrainingSource[[#This Row],[Training_Status2]]))</f>
        <v>Completed</v>
      </c>
      <c r="G1113" t="s">
        <v>17</v>
      </c>
      <c r="H1113" t="str">
        <f>TRIM(PROPER(TTrainingSource[[#This Row],[Training_Title2]]))</f>
        <v>Data Visualization Best Practices</v>
      </c>
      <c r="I1113" t="s">
        <v>20</v>
      </c>
      <c r="J1113" s="1">
        <v>45454</v>
      </c>
      <c r="K1113" t="s">
        <v>46</v>
      </c>
      <c r="L1113" s="7">
        <v>12</v>
      </c>
      <c r="M1113">
        <f>ROUND(TTrainingSource[[#This Row],[Satisfaction_Score2]],0)</f>
        <v>5</v>
      </c>
      <c r="N1113">
        <v>4.5</v>
      </c>
    </row>
    <row r="1114" spans="1:14" x14ac:dyDescent="0.3">
      <c r="A1114" t="s">
        <v>64</v>
      </c>
      <c r="B1114" t="str">
        <f>TRIM(TTrainingSource[[#This Row],[EMPloyee_ID2]])</f>
        <v>EMP10553</v>
      </c>
      <c r="C1114" t="str">
        <f>IFERROR(VLOOKUP(TTrainingSource[[#This Row],[Employee_ID]],THrList[],3,FALSE),"")</f>
        <v>MARTINEZ</v>
      </c>
      <c r="D1114" t="str">
        <f>IFERROR(VLOOKUP(TTrainingSource[[#This Row],[Employee_ID]],THrList[],4,FALSE),"")</f>
        <v>Hassan</v>
      </c>
      <c r="E1114" t="str">
        <f>IFERROR(VLOOKUP(TTrainingSource[[#This Row],[Employee_ID]],THrList[],10,FALSE),"")</f>
        <v>Finance</v>
      </c>
      <c r="F1114" t="str">
        <f>TRIM(PROPER(TTrainingSource[[#This Row],[Training_Status2]]))</f>
        <v>Completed</v>
      </c>
      <c r="G1114" t="s">
        <v>17</v>
      </c>
      <c r="H1114" t="str">
        <f>TRIM(PROPER(TTrainingSource[[#This Row],[Training_Title2]]))</f>
        <v>Data Analysis Fundamentals</v>
      </c>
      <c r="I1114" t="s">
        <v>9</v>
      </c>
      <c r="J1114" s="1">
        <v>45875</v>
      </c>
      <c r="K1114" t="s">
        <v>44</v>
      </c>
      <c r="L1114" s="7">
        <v>16</v>
      </c>
      <c r="M1114">
        <f>ROUND(TTrainingSource[[#This Row],[Satisfaction_Score2]],0)</f>
        <v>5</v>
      </c>
      <c r="N1114">
        <v>4.5999999999999996</v>
      </c>
    </row>
    <row r="1115" spans="1:14" x14ac:dyDescent="0.3">
      <c r="A1115" t="s">
        <v>64</v>
      </c>
      <c r="B1115" t="str">
        <f>TRIM(TTrainingSource[[#This Row],[EMPloyee_ID2]])</f>
        <v>EMP10553</v>
      </c>
      <c r="C1115" t="str">
        <f>IFERROR(VLOOKUP(TTrainingSource[[#This Row],[Employee_ID]],THrList[],3,FALSE),"")</f>
        <v>MARTINEZ</v>
      </c>
      <c r="D1115" t="str">
        <f>IFERROR(VLOOKUP(TTrainingSource[[#This Row],[Employee_ID]],THrList[],4,FALSE),"")</f>
        <v>Hassan</v>
      </c>
      <c r="E1115" t="str">
        <f>IFERROR(VLOOKUP(TTrainingSource[[#This Row],[Employee_ID]],THrList[],10,FALSE),"")</f>
        <v>Finance</v>
      </c>
      <c r="F1115" t="str">
        <f>TRIM(PROPER(TTrainingSource[[#This Row],[Training_Status2]]))</f>
        <v>Completed</v>
      </c>
      <c r="G1115" t="s">
        <v>17</v>
      </c>
      <c r="H1115" t="str">
        <f>TRIM(PROPER(TTrainingSource[[#This Row],[Training_Title2]]))</f>
        <v>Digital Marketing Strategy</v>
      </c>
      <c r="I1115" t="s">
        <v>43</v>
      </c>
      <c r="J1115" s="1">
        <v>45159</v>
      </c>
      <c r="K1115" t="s">
        <v>132</v>
      </c>
      <c r="L1115" s="7">
        <v>40</v>
      </c>
      <c r="M1115">
        <f>ROUND(TTrainingSource[[#This Row],[Satisfaction_Score2]],0)</f>
        <v>3</v>
      </c>
      <c r="N1115">
        <v>3.1</v>
      </c>
    </row>
    <row r="1116" spans="1:14" x14ac:dyDescent="0.3">
      <c r="A1116" t="s">
        <v>767</v>
      </c>
      <c r="B1116" t="str">
        <f>TRIM(TTrainingSource[[#This Row],[EMPloyee_ID2]])</f>
        <v>EMP10554</v>
      </c>
      <c r="C1116" t="str">
        <f>IFERROR(VLOOKUP(TTrainingSource[[#This Row],[Employee_ID]],THrList[],3,FALSE),"")</f>
        <v>SMITH</v>
      </c>
      <c r="D1116" t="str">
        <f>IFERROR(VLOOKUP(TTrainingSource[[#This Row],[Employee_ID]],THrList[],4,FALSE),"")</f>
        <v>Sophie</v>
      </c>
      <c r="E1116" t="str">
        <f>IFERROR(VLOOKUP(TTrainingSource[[#This Row],[Employee_ID]],THrList[],10,FALSE),"")</f>
        <v>Finance</v>
      </c>
      <c r="F1116" t="str">
        <f>TRIM(PROPER(TTrainingSource[[#This Row],[Training_Status2]]))</f>
        <v>Completed</v>
      </c>
      <c r="G1116" t="s">
        <v>17</v>
      </c>
      <c r="H1116" t="str">
        <f>TRIM(PROPER(TTrainingSource[[#This Row],[Training_Title2]]))</f>
        <v>Digital Marketing Strategy</v>
      </c>
      <c r="I1116" t="s">
        <v>43</v>
      </c>
      <c r="J1116" s="1">
        <v>45676</v>
      </c>
      <c r="K1116" t="s">
        <v>46</v>
      </c>
      <c r="L1116" s="7">
        <v>8</v>
      </c>
      <c r="M1116">
        <f>ROUND(TTrainingSource[[#This Row],[Satisfaction_Score2]],0)</f>
        <v>5</v>
      </c>
      <c r="N1116">
        <v>4.9000000000000004</v>
      </c>
    </row>
    <row r="1117" spans="1:14" x14ac:dyDescent="0.3">
      <c r="A1117" t="s">
        <v>712</v>
      </c>
      <c r="B1117" t="str">
        <f>TRIM(TTrainingSource[[#This Row],[EMPloyee_ID2]])</f>
        <v>EMP10554</v>
      </c>
      <c r="C1117" t="str">
        <f>IFERROR(VLOOKUP(TTrainingSource[[#This Row],[Employee_ID]],THrList[],3,FALSE),"")</f>
        <v>SMITH</v>
      </c>
      <c r="D1117" t="str">
        <f>IFERROR(VLOOKUP(TTrainingSource[[#This Row],[Employee_ID]],THrList[],4,FALSE),"")</f>
        <v>Sophie</v>
      </c>
      <c r="E1117" t="str">
        <f>IFERROR(VLOOKUP(TTrainingSource[[#This Row],[Employee_ID]],THrList[],10,FALSE),"")</f>
        <v>Finance</v>
      </c>
      <c r="F1117" t="str">
        <f>TRIM(PROPER(TTrainingSource[[#This Row],[Training_Status2]]))</f>
        <v>Planned</v>
      </c>
      <c r="G1117" t="s">
        <v>19</v>
      </c>
      <c r="H1117" t="str">
        <f>TRIM(PROPER(TTrainingSource[[#This Row],[Training_Title2]]))</f>
        <v>Communication For Analysts</v>
      </c>
      <c r="I1117" t="s">
        <v>28</v>
      </c>
      <c r="J1117" s="1">
        <v>44639</v>
      </c>
      <c r="K1117" t="s">
        <v>132</v>
      </c>
      <c r="L1117" s="7">
        <v>0</v>
      </c>
      <c r="M1117">
        <f>ROUND(TTrainingSource[[#This Row],[Satisfaction_Score2]],0)</f>
        <v>4</v>
      </c>
      <c r="N1117">
        <v>4.3</v>
      </c>
    </row>
    <row r="1118" spans="1:14" x14ac:dyDescent="0.3">
      <c r="A1118" t="s">
        <v>767</v>
      </c>
      <c r="B1118" t="str">
        <f>TRIM(TTrainingSource[[#This Row],[EMPloyee_ID2]])</f>
        <v>EMP10554</v>
      </c>
      <c r="C1118" t="str">
        <f>IFERROR(VLOOKUP(TTrainingSource[[#This Row],[Employee_ID]],THrList[],3,FALSE),"")</f>
        <v>SMITH</v>
      </c>
      <c r="D1118" t="str">
        <f>IFERROR(VLOOKUP(TTrainingSource[[#This Row],[Employee_ID]],THrList[],4,FALSE),"")</f>
        <v>Sophie</v>
      </c>
      <c r="E1118" t="str">
        <f>IFERROR(VLOOKUP(TTrainingSource[[#This Row],[Employee_ID]],THrList[],10,FALSE),"")</f>
        <v>Finance</v>
      </c>
      <c r="F1118" t="str">
        <f>TRIM(PROPER(TTrainingSource[[#This Row],[Training_Status2]]))</f>
        <v>In Progress</v>
      </c>
      <c r="G1118" t="s">
        <v>8</v>
      </c>
      <c r="H1118" t="str">
        <f>TRIM(PROPER(TTrainingSource[[#This Row],[Training_Title2]]))</f>
        <v>Digital Marketing Strategy</v>
      </c>
      <c r="I1118" t="s">
        <v>43</v>
      </c>
      <c r="J1118" s="1">
        <v>45056</v>
      </c>
      <c r="K1118" t="s">
        <v>32</v>
      </c>
      <c r="L1118" s="7">
        <v>6</v>
      </c>
      <c r="M1118">
        <f>ROUND(TTrainingSource[[#This Row],[Satisfaction_Score2]],0)</f>
        <v>4</v>
      </c>
      <c r="N1118">
        <v>4.0999999999999996</v>
      </c>
    </row>
    <row r="1119" spans="1:14" x14ac:dyDescent="0.3">
      <c r="A1119" t="s">
        <v>767</v>
      </c>
      <c r="B1119" t="str">
        <f>TRIM(TTrainingSource[[#This Row],[EMPloyee_ID2]])</f>
        <v>EMP10554</v>
      </c>
      <c r="C1119" t="str">
        <f>IFERROR(VLOOKUP(TTrainingSource[[#This Row],[Employee_ID]],THrList[],3,FALSE),"")</f>
        <v>SMITH</v>
      </c>
      <c r="D1119" t="str">
        <f>IFERROR(VLOOKUP(TTrainingSource[[#This Row],[Employee_ID]],THrList[],4,FALSE),"")</f>
        <v>Sophie</v>
      </c>
      <c r="E1119" t="str">
        <f>IFERROR(VLOOKUP(TTrainingSource[[#This Row],[Employee_ID]],THrList[],10,FALSE),"")</f>
        <v>Finance</v>
      </c>
      <c r="F1119" t="str">
        <f>TRIM(PROPER(TTrainingSource[[#This Row],[Training_Status2]]))</f>
        <v>Completed</v>
      </c>
      <c r="G1119" t="s">
        <v>17</v>
      </c>
      <c r="H1119" t="str">
        <f>TRIM(PROPER(TTrainingSource[[#This Row],[Training_Title2]]))</f>
        <v>Financial Modeling Basics</v>
      </c>
      <c r="I1119" t="s">
        <v>38</v>
      </c>
      <c r="J1119" s="1">
        <v>45541</v>
      </c>
      <c r="K1119" t="s">
        <v>98</v>
      </c>
      <c r="L1119" s="7">
        <v>12</v>
      </c>
      <c r="M1119">
        <f>ROUND(TTrainingSource[[#This Row],[Satisfaction_Score2]],0)</f>
        <v>5</v>
      </c>
      <c r="N1119">
        <v>4.8</v>
      </c>
    </row>
    <row r="1120" spans="1:14" x14ac:dyDescent="0.3">
      <c r="A1120" t="s">
        <v>34</v>
      </c>
      <c r="B1120" t="str">
        <f>TRIM(TTrainingSource[[#This Row],[EMPloyee_ID2]])</f>
        <v>EMP10555</v>
      </c>
      <c r="C1120" t="str">
        <f>IFERROR(VLOOKUP(TTrainingSource[[#This Row],[Employee_ID]],THrList[],3,FALSE),"")</f>
        <v>CHEN</v>
      </c>
      <c r="D1120" t="str">
        <f>IFERROR(VLOOKUP(TTrainingSource[[#This Row],[Employee_ID]],THrList[],4,FALSE),"")</f>
        <v>Isabella</v>
      </c>
      <c r="E1120" t="str">
        <f>IFERROR(VLOOKUP(TTrainingSource[[#This Row],[Employee_ID]],THrList[],10,FALSE),"")</f>
        <v>Marketing</v>
      </c>
      <c r="F1120" t="str">
        <f>TRIM(PROPER(TTrainingSource[[#This Row],[Training_Status2]]))</f>
        <v>Completed</v>
      </c>
      <c r="G1120" t="s">
        <v>35</v>
      </c>
      <c r="H1120" t="str">
        <f>TRIM(PROPER(TTrainingSource[[#This Row],[Training_Title2]]))</f>
        <v>Communication For Analysts</v>
      </c>
      <c r="I1120" t="s">
        <v>28</v>
      </c>
      <c r="J1120" s="1">
        <v>45139</v>
      </c>
      <c r="K1120" t="s">
        <v>32</v>
      </c>
      <c r="L1120" s="7">
        <v>8</v>
      </c>
      <c r="M1120">
        <f>ROUND(TTrainingSource[[#This Row],[Satisfaction_Score2]],0)</f>
        <v>5</v>
      </c>
      <c r="N1120">
        <v>5</v>
      </c>
    </row>
    <row r="1121" spans="1:14" x14ac:dyDescent="0.3">
      <c r="A1121" t="s">
        <v>34</v>
      </c>
      <c r="B1121" t="str">
        <f>TRIM(TTrainingSource[[#This Row],[EMPloyee_ID2]])</f>
        <v>EMP10555</v>
      </c>
      <c r="C1121" t="str">
        <f>IFERROR(VLOOKUP(TTrainingSource[[#This Row],[Employee_ID]],THrList[],3,FALSE),"")</f>
        <v>CHEN</v>
      </c>
      <c r="D1121" t="str">
        <f>IFERROR(VLOOKUP(TTrainingSource[[#This Row],[Employee_ID]],THrList[],4,FALSE),"")</f>
        <v>Isabella</v>
      </c>
      <c r="E1121" t="str">
        <f>IFERROR(VLOOKUP(TTrainingSource[[#This Row],[Employee_ID]],THrList[],10,FALSE),"")</f>
        <v>Marketing</v>
      </c>
      <c r="F1121" t="str">
        <f>TRIM(PROPER(TTrainingSource[[#This Row],[Training_Status2]]))</f>
        <v>Completed</v>
      </c>
      <c r="G1121" t="s">
        <v>17</v>
      </c>
      <c r="H1121" t="str">
        <f>TRIM(PROPER(TTrainingSource[[#This Row],[Training_Title2]]))</f>
        <v>Customer Data Analysis</v>
      </c>
      <c r="I1121" t="s">
        <v>31</v>
      </c>
      <c r="J1121" s="1">
        <v>45696</v>
      </c>
      <c r="K1121" t="s">
        <v>44</v>
      </c>
      <c r="L1121" s="7">
        <v>4</v>
      </c>
      <c r="M1121">
        <f>ROUND(TTrainingSource[[#This Row],[Satisfaction_Score2]],0)</f>
        <v>5</v>
      </c>
      <c r="N1121">
        <v>4.5</v>
      </c>
    </row>
    <row r="1122" spans="1:14" x14ac:dyDescent="0.3">
      <c r="A1122" t="s">
        <v>34</v>
      </c>
      <c r="B1122" t="str">
        <f>TRIM(TTrainingSource[[#This Row],[EMPloyee_ID2]])</f>
        <v>EMP10555</v>
      </c>
      <c r="C1122" t="str">
        <f>IFERROR(VLOOKUP(TTrainingSource[[#This Row],[Employee_ID]],THrList[],3,FALSE),"")</f>
        <v>CHEN</v>
      </c>
      <c r="D1122" t="str">
        <f>IFERROR(VLOOKUP(TTrainingSource[[#This Row],[Employee_ID]],THrList[],4,FALSE),"")</f>
        <v>Isabella</v>
      </c>
      <c r="E1122" t="str">
        <f>IFERROR(VLOOKUP(TTrainingSource[[#This Row],[Employee_ID]],THrList[],10,FALSE),"")</f>
        <v>Marketing</v>
      </c>
      <c r="F1122" t="str">
        <f>TRIM(PROPER(TTrainingSource[[#This Row],[Training_Status2]]))</f>
        <v>In Progress</v>
      </c>
      <c r="G1122" t="s">
        <v>8</v>
      </c>
      <c r="H1122" t="str">
        <f>TRIM(PROPER(TTrainingSource[[#This Row],[Training_Title2]]))</f>
        <v>Power Bi Reporting</v>
      </c>
      <c r="I1122" t="s">
        <v>142</v>
      </c>
      <c r="J1122" s="1">
        <v>45846</v>
      </c>
      <c r="K1122" t="s">
        <v>12</v>
      </c>
      <c r="L1122" s="7">
        <v>6</v>
      </c>
      <c r="M1122">
        <f>ROUND(TTrainingSource[[#This Row],[Satisfaction_Score2]],0)</f>
        <v>4</v>
      </c>
      <c r="N1122">
        <v>3.7</v>
      </c>
    </row>
    <row r="1123" spans="1:14" x14ac:dyDescent="0.3">
      <c r="A1123" t="s">
        <v>389</v>
      </c>
      <c r="B1123" t="str">
        <f>TRIM(TTrainingSource[[#This Row],[EMPloyee_ID2]])</f>
        <v>EMP10555</v>
      </c>
      <c r="C1123" t="str">
        <f>IFERROR(VLOOKUP(TTrainingSource[[#This Row],[Employee_ID]],THrList[],3,FALSE),"")</f>
        <v>CHEN</v>
      </c>
      <c r="D1123" t="str">
        <f>IFERROR(VLOOKUP(TTrainingSource[[#This Row],[Employee_ID]],THrList[],4,FALSE),"")</f>
        <v>Isabella</v>
      </c>
      <c r="E1123" t="str">
        <f>IFERROR(VLOOKUP(TTrainingSource[[#This Row],[Employee_ID]],THrList[],10,FALSE),"")</f>
        <v>Marketing</v>
      </c>
      <c r="F1123" t="str">
        <f>TRIM(PROPER(TTrainingSource[[#This Row],[Training_Status2]]))</f>
        <v>Completed</v>
      </c>
      <c r="G1123" t="s">
        <v>17</v>
      </c>
      <c r="H1123" t="str">
        <f>TRIM(PROPER(TTrainingSource[[#This Row],[Training_Title2]]))</f>
        <v>Advanced Excel For Business</v>
      </c>
      <c r="I1123" t="s">
        <v>52</v>
      </c>
      <c r="J1123" s="1">
        <v>45471</v>
      </c>
      <c r="K1123" t="s">
        <v>42</v>
      </c>
      <c r="L1123" s="7">
        <v>4</v>
      </c>
      <c r="M1123">
        <f>ROUND(TTrainingSource[[#This Row],[Satisfaction_Score2]],0)</f>
        <v>3</v>
      </c>
      <c r="N1123">
        <v>2.7</v>
      </c>
    </row>
    <row r="1124" spans="1:14" x14ac:dyDescent="0.3">
      <c r="A1124" t="s">
        <v>389</v>
      </c>
      <c r="B1124" t="str">
        <f>TRIM(TTrainingSource[[#This Row],[EMPloyee_ID2]])</f>
        <v>EMP10555</v>
      </c>
      <c r="C1124" t="str">
        <f>IFERROR(VLOOKUP(TTrainingSource[[#This Row],[Employee_ID]],THrList[],3,FALSE),"")</f>
        <v>CHEN</v>
      </c>
      <c r="D1124" t="str">
        <f>IFERROR(VLOOKUP(TTrainingSource[[#This Row],[Employee_ID]],THrList[],4,FALSE),"")</f>
        <v>Isabella</v>
      </c>
      <c r="E1124" t="str">
        <f>IFERROR(VLOOKUP(TTrainingSource[[#This Row],[Employee_ID]],THrList[],10,FALSE),"")</f>
        <v>Marketing</v>
      </c>
      <c r="F1124" t="str">
        <f>TRIM(PROPER(TTrainingSource[[#This Row],[Training_Status2]]))</f>
        <v>Completed</v>
      </c>
      <c r="G1124" t="s">
        <v>17</v>
      </c>
      <c r="H1124" t="str">
        <f>TRIM(PROPER(TTrainingSource[[#This Row],[Training_Title2]]))</f>
        <v>Advanced Excel For Business</v>
      </c>
      <c r="I1124" t="s">
        <v>346</v>
      </c>
      <c r="J1124" s="1">
        <v>45710</v>
      </c>
      <c r="K1124" t="s">
        <v>29</v>
      </c>
      <c r="L1124" s="7">
        <v>12</v>
      </c>
      <c r="M1124">
        <f>ROUND(TTrainingSource[[#This Row],[Satisfaction_Score2]],0)</f>
        <v>5</v>
      </c>
      <c r="N1124">
        <v>4.7</v>
      </c>
    </row>
    <row r="1125" spans="1:14" x14ac:dyDescent="0.3">
      <c r="A1125" t="s">
        <v>733</v>
      </c>
      <c r="B1125" t="str">
        <f>TRIM(TTrainingSource[[#This Row],[EMPloyee_ID2]])</f>
        <v>EMP10557</v>
      </c>
      <c r="C1125" t="str">
        <f>IFERROR(VLOOKUP(TTrainingSource[[#This Row],[Employee_ID]],THrList[],3,FALSE),"")</f>
        <v>NGUYEN</v>
      </c>
      <c r="D1125" t="str">
        <f>IFERROR(VLOOKUP(TTrainingSource[[#This Row],[Employee_ID]],THrList[],4,FALSE),"")</f>
        <v>Amina</v>
      </c>
      <c r="E1125" t="str">
        <f>IFERROR(VLOOKUP(TTrainingSource[[#This Row],[Employee_ID]],THrList[],10,FALSE),"")</f>
        <v>Human Resources</v>
      </c>
      <c r="F1125" t="str">
        <f>TRIM(PROPER(TTrainingSource[[#This Row],[Training_Status2]]))</f>
        <v>In Progress</v>
      </c>
      <c r="G1125" t="s">
        <v>8</v>
      </c>
      <c r="H1125" t="str">
        <f>TRIM(PROPER(TTrainingSource[[#This Row],[Training_Title2]]))</f>
        <v>Project Management Essentials</v>
      </c>
      <c r="I1125" t="s">
        <v>224</v>
      </c>
      <c r="J1125" s="1">
        <v>44567</v>
      </c>
      <c r="K1125" t="s">
        <v>42</v>
      </c>
      <c r="L1125" s="7">
        <v>32</v>
      </c>
      <c r="M1125">
        <f>ROUND(TTrainingSource[[#This Row],[Satisfaction_Score2]],0)</f>
        <v>4</v>
      </c>
      <c r="N1125">
        <v>3.5</v>
      </c>
    </row>
    <row r="1126" spans="1:14" x14ac:dyDescent="0.3">
      <c r="A1126" t="s">
        <v>90</v>
      </c>
      <c r="B1126" t="str">
        <f>TRIM(TTrainingSource[[#This Row],[EMPloyee_ID2]])</f>
        <v>EMP10558</v>
      </c>
      <c r="C1126" t="str">
        <f>IFERROR(VLOOKUP(TTrainingSource[[#This Row],[Employee_ID]],THrList[],3,FALSE),"")</f>
        <v>MOREAU</v>
      </c>
      <c r="D1126" t="str">
        <f>IFERROR(VLOOKUP(TTrainingSource[[#This Row],[Employee_ID]],THrList[],4,FALSE),"")</f>
        <v>Yaw</v>
      </c>
      <c r="E1126" t="str">
        <f>IFERROR(VLOOKUP(TTrainingSource[[#This Row],[Employee_ID]],THrList[],10,FALSE),"")</f>
        <v>IT</v>
      </c>
      <c r="F1126" t="str">
        <f>TRIM(PROPER(TTrainingSource[[#This Row],[Training_Status2]]))</f>
        <v>Completed</v>
      </c>
      <c r="G1126" t="s">
        <v>17</v>
      </c>
      <c r="H1126" t="str">
        <f>TRIM(PROPER(TTrainingSource[[#This Row],[Training_Title2]]))</f>
        <v>Sql For Data Analytics</v>
      </c>
      <c r="I1126" t="s">
        <v>26</v>
      </c>
      <c r="J1126" s="1">
        <v>45329</v>
      </c>
      <c r="K1126" t="s">
        <v>39</v>
      </c>
      <c r="L1126" s="7">
        <v>6</v>
      </c>
      <c r="M1126">
        <f>ROUND(TTrainingSource[[#This Row],[Satisfaction_Score2]],0)</f>
        <v>5</v>
      </c>
      <c r="N1126">
        <v>4.9000000000000004</v>
      </c>
    </row>
    <row r="1127" spans="1:14" x14ac:dyDescent="0.3">
      <c r="A1127" t="s">
        <v>775</v>
      </c>
      <c r="B1127" t="str">
        <f>TRIM(TTrainingSource[[#This Row],[EMPloyee_ID2]])</f>
        <v>EMP10558</v>
      </c>
      <c r="C1127" t="str">
        <f>IFERROR(VLOOKUP(TTrainingSource[[#This Row],[Employee_ID]],THrList[],3,FALSE),"")</f>
        <v>MOREAU</v>
      </c>
      <c r="D1127" t="str">
        <f>IFERROR(VLOOKUP(TTrainingSource[[#This Row],[Employee_ID]],THrList[],4,FALSE),"")</f>
        <v>Yaw</v>
      </c>
      <c r="E1127" t="str">
        <f>IFERROR(VLOOKUP(TTrainingSource[[#This Row],[Employee_ID]],THrList[],10,FALSE),"")</f>
        <v>IT</v>
      </c>
      <c r="F1127" t="str">
        <f>TRIM(PROPER(TTrainingSource[[#This Row],[Training_Status2]]))</f>
        <v>Completed</v>
      </c>
      <c r="G1127" t="s">
        <v>17</v>
      </c>
      <c r="H1127" t="str">
        <f>TRIM(PROPER(TTrainingSource[[#This Row],[Training_Title2]]))</f>
        <v>Introduction To Python For Data</v>
      </c>
      <c r="I1127" t="s">
        <v>62</v>
      </c>
      <c r="J1127" s="1">
        <v>45851</v>
      </c>
      <c r="K1127" t="s">
        <v>39</v>
      </c>
      <c r="L1127" s="7">
        <v>12</v>
      </c>
      <c r="M1127">
        <f>ROUND(TTrainingSource[[#This Row],[Satisfaction_Score2]],0)</f>
        <v>3</v>
      </c>
      <c r="N1127">
        <v>3.2</v>
      </c>
    </row>
    <row r="1128" spans="1:14" x14ac:dyDescent="0.3">
      <c r="A1128" t="s">
        <v>356</v>
      </c>
      <c r="B1128" t="str">
        <f>TRIM(TTrainingSource[[#This Row],[EMPloyee_ID2]])</f>
        <v>EMP10559</v>
      </c>
      <c r="C1128" t="str">
        <f>IFERROR(VLOOKUP(TTrainingSource[[#This Row],[Employee_ID]],THrList[],3,FALSE),"")</f>
        <v>CHEN</v>
      </c>
      <c r="D1128" t="str">
        <f>IFERROR(VLOOKUP(TTrainingSource[[#This Row],[Employee_ID]],THrList[],4,FALSE),"")</f>
        <v>Ada</v>
      </c>
      <c r="E1128" t="str">
        <f>IFERROR(VLOOKUP(TTrainingSource[[#This Row],[Employee_ID]],THrList[],10,FALSE),"")</f>
        <v>IT</v>
      </c>
      <c r="F1128" t="str">
        <f>TRIM(PROPER(TTrainingSource[[#This Row],[Training_Status2]]))</f>
        <v>Completed</v>
      </c>
      <c r="G1128" t="s">
        <v>17</v>
      </c>
      <c r="H1128" t="str">
        <f>TRIM(PROPER(TTrainingSource[[#This Row],[Training_Title2]]))</f>
        <v>Data Analysis Fundamentals</v>
      </c>
      <c r="I1128" t="s">
        <v>9</v>
      </c>
      <c r="J1128" s="1">
        <v>45193</v>
      </c>
      <c r="K1128" t="s">
        <v>46</v>
      </c>
      <c r="L1128" s="7">
        <v>12</v>
      </c>
      <c r="M1128">
        <f>ROUND(TTrainingSource[[#This Row],[Satisfaction_Score2]],0)</f>
        <v>4</v>
      </c>
      <c r="N1128">
        <v>3.7</v>
      </c>
    </row>
    <row r="1129" spans="1:14" x14ac:dyDescent="0.3">
      <c r="A1129" t="s">
        <v>469</v>
      </c>
      <c r="B1129" t="str">
        <f>TRIM(TTrainingSource[[#This Row],[EMPloyee_ID2]])</f>
        <v>EMP10559</v>
      </c>
      <c r="C1129" t="str">
        <f>IFERROR(VLOOKUP(TTrainingSource[[#This Row],[Employee_ID]],THrList[],3,FALSE),"")</f>
        <v>CHEN</v>
      </c>
      <c r="D1129" t="str">
        <f>IFERROR(VLOOKUP(TTrainingSource[[#This Row],[Employee_ID]],THrList[],4,FALSE),"")</f>
        <v>Ada</v>
      </c>
      <c r="E1129" t="str">
        <f>IFERROR(VLOOKUP(TTrainingSource[[#This Row],[Employee_ID]],THrList[],10,FALSE),"")</f>
        <v>IT</v>
      </c>
      <c r="F1129" t="str">
        <f>TRIM(PROPER(TTrainingSource[[#This Row],[Training_Status2]]))</f>
        <v>Completed</v>
      </c>
      <c r="G1129" t="s">
        <v>35</v>
      </c>
      <c r="H1129" t="str">
        <f>TRIM(PROPER(TTrainingSource[[#This Row],[Training_Title2]]))</f>
        <v>Customer Data Analysis</v>
      </c>
      <c r="I1129" t="s">
        <v>50</v>
      </c>
      <c r="J1129" s="1">
        <v>45913</v>
      </c>
      <c r="K1129" t="s">
        <v>42</v>
      </c>
      <c r="L1129" s="7">
        <v>12</v>
      </c>
      <c r="M1129">
        <f>ROUND(TTrainingSource[[#This Row],[Satisfaction_Score2]],0)</f>
        <v>4</v>
      </c>
      <c r="N1129">
        <v>3.6</v>
      </c>
    </row>
    <row r="1130" spans="1:14" x14ac:dyDescent="0.3">
      <c r="A1130" t="s">
        <v>536</v>
      </c>
      <c r="B1130" t="str">
        <f>TRIM(TTrainingSource[[#This Row],[EMPloyee_ID2]])</f>
        <v>EMP10560</v>
      </c>
      <c r="C1130" t="str">
        <f>IFERROR(VLOOKUP(TTrainingSource[[#This Row],[Employee_ID]],THrList[],3,FALSE),"")</f>
        <v>THOMAS</v>
      </c>
      <c r="D1130" t="str">
        <f>IFERROR(VLOOKUP(TTrainingSource[[#This Row],[Employee_ID]],THrList[],4,FALSE),"")</f>
        <v>Jean</v>
      </c>
      <c r="E1130" t="str">
        <f>IFERROR(VLOOKUP(TTrainingSource[[#This Row],[Employee_ID]],THrList[],10,FALSE),"")</f>
        <v>Customer Support</v>
      </c>
      <c r="F1130" t="str">
        <f>TRIM(PROPER(TTrainingSource[[#This Row],[Training_Status2]]))</f>
        <v>In Progress</v>
      </c>
      <c r="G1130" t="s">
        <v>8</v>
      </c>
      <c r="H1130" t="str">
        <f>TRIM(PROPER(TTrainingSource[[#This Row],[Training_Title2]]))</f>
        <v>Data Analysis Fundamentals</v>
      </c>
      <c r="I1130" t="s">
        <v>9</v>
      </c>
      <c r="J1130" s="1">
        <v>45088</v>
      </c>
      <c r="K1130" t="s">
        <v>42</v>
      </c>
      <c r="L1130" s="7">
        <v>4</v>
      </c>
      <c r="M1130">
        <f>ROUND(TTrainingSource[[#This Row],[Satisfaction_Score2]],0)</f>
        <v>3</v>
      </c>
      <c r="N1130">
        <v>2.6</v>
      </c>
    </row>
    <row r="1131" spans="1:14" x14ac:dyDescent="0.3">
      <c r="A1131" t="s">
        <v>192</v>
      </c>
      <c r="B1131" t="str">
        <f>TRIM(TTrainingSource[[#This Row],[EMPloyee_ID2]])</f>
        <v>EMP10561</v>
      </c>
      <c r="C1131" t="str">
        <f>IFERROR(VLOOKUP(TTrainingSource[[#This Row],[Employee_ID]],THrList[],3,FALSE),"")</f>
        <v>ALI</v>
      </c>
      <c r="D1131" t="str">
        <f>IFERROR(VLOOKUP(TTrainingSource[[#This Row],[Employee_ID]],THrList[],4,FALSE),"")</f>
        <v>Harper</v>
      </c>
      <c r="E1131" t="str">
        <f>IFERROR(VLOOKUP(TTrainingSource[[#This Row],[Employee_ID]],THrList[],10,FALSE),"")</f>
        <v>Procurement</v>
      </c>
      <c r="F1131" t="str">
        <f>TRIM(PROPER(TTrainingSource[[#This Row],[Training_Status2]]))</f>
        <v>Completed</v>
      </c>
      <c r="G1131" t="s">
        <v>17</v>
      </c>
      <c r="H1131" t="str">
        <f>TRIM(PROPER(TTrainingSource[[#This Row],[Training_Title2]]))</f>
        <v>Communication For Analysts</v>
      </c>
      <c r="I1131" t="s">
        <v>106</v>
      </c>
      <c r="J1131" s="1">
        <v>45423</v>
      </c>
      <c r="K1131" t="s">
        <v>132</v>
      </c>
      <c r="L1131" s="7">
        <v>4</v>
      </c>
      <c r="M1131">
        <f>ROUND(TTrainingSource[[#This Row],[Satisfaction_Score2]],0)</f>
        <v>4</v>
      </c>
      <c r="N1131">
        <v>4.3</v>
      </c>
    </row>
    <row r="1132" spans="1:14" x14ac:dyDescent="0.3">
      <c r="A1132" t="s">
        <v>192</v>
      </c>
      <c r="B1132" t="str">
        <f>TRIM(TTrainingSource[[#This Row],[EMPloyee_ID2]])</f>
        <v>EMP10561</v>
      </c>
      <c r="C1132" t="str">
        <f>IFERROR(VLOOKUP(TTrainingSource[[#This Row],[Employee_ID]],THrList[],3,FALSE),"")</f>
        <v>ALI</v>
      </c>
      <c r="D1132" t="str">
        <f>IFERROR(VLOOKUP(TTrainingSource[[#This Row],[Employee_ID]],THrList[],4,FALSE),"")</f>
        <v>Harper</v>
      </c>
      <c r="E1132" t="str">
        <f>IFERROR(VLOOKUP(TTrainingSource[[#This Row],[Employee_ID]],THrList[],10,FALSE),"")</f>
        <v>Procurement</v>
      </c>
      <c r="F1132" t="str">
        <f>TRIM(PROPER(TTrainingSource[[#This Row],[Training_Status2]]))</f>
        <v>Completed</v>
      </c>
      <c r="G1132" t="s">
        <v>17</v>
      </c>
      <c r="H1132" t="str">
        <f>TRIM(PROPER(TTrainingSource[[#This Row],[Training_Title2]]))</f>
        <v>Sql For Data Analytics</v>
      </c>
      <c r="I1132" t="s">
        <v>26</v>
      </c>
      <c r="J1132" s="1">
        <v>44678</v>
      </c>
      <c r="K1132" t="s">
        <v>44</v>
      </c>
      <c r="L1132" s="7">
        <v>32</v>
      </c>
      <c r="M1132">
        <f>ROUND(TTrainingSource[[#This Row],[Satisfaction_Score2]],0)</f>
        <v>5</v>
      </c>
      <c r="N1132">
        <v>4.5999999999999996</v>
      </c>
    </row>
    <row r="1133" spans="1:14" x14ac:dyDescent="0.3">
      <c r="A1133" t="s">
        <v>169</v>
      </c>
      <c r="B1133" t="str">
        <f>TRIM(TTrainingSource[[#This Row],[EMPloyee_ID2]])</f>
        <v>EMP10562</v>
      </c>
      <c r="C1133" t="str">
        <f>IFERROR(VLOOKUP(TTrainingSource[[#This Row],[Employee_ID]],THrList[],3,FALSE),"")</f>
        <v>MARTINEZ</v>
      </c>
      <c r="D1133" t="str">
        <f>IFERROR(VLOOKUP(TTrainingSource[[#This Row],[Employee_ID]],THrList[],4,FALSE),"")</f>
        <v>Abigail</v>
      </c>
      <c r="E1133" t="str">
        <f>IFERROR(VLOOKUP(TTrainingSource[[#This Row],[Employee_ID]],THrList[],10,FALSE),"")</f>
        <v>Human Resources</v>
      </c>
      <c r="F1133" t="str">
        <f>TRIM(PROPER(TTrainingSource[[#This Row],[Training_Status2]]))</f>
        <v>Completed</v>
      </c>
      <c r="G1133" t="s">
        <v>17</v>
      </c>
      <c r="H1133" t="str">
        <f>TRIM(PROPER(TTrainingSource[[#This Row],[Training_Title2]]))</f>
        <v>Introduction To Python For Data</v>
      </c>
      <c r="I1133" t="s">
        <v>62</v>
      </c>
      <c r="J1133" s="1">
        <v>44904</v>
      </c>
      <c r="K1133" t="s">
        <v>71</v>
      </c>
      <c r="L1133" s="7">
        <v>12</v>
      </c>
      <c r="M1133">
        <f>ROUND(TTrainingSource[[#This Row],[Satisfaction_Score2]],0)</f>
        <v>3</v>
      </c>
      <c r="N1133">
        <v>2.8</v>
      </c>
    </row>
    <row r="1134" spans="1:14" x14ac:dyDescent="0.3">
      <c r="A1134" t="s">
        <v>169</v>
      </c>
      <c r="B1134" t="str">
        <f>TRIM(TTrainingSource[[#This Row],[EMPloyee_ID2]])</f>
        <v>EMP10562</v>
      </c>
      <c r="C1134" t="str">
        <f>IFERROR(VLOOKUP(TTrainingSource[[#This Row],[Employee_ID]],THrList[],3,FALSE),"")</f>
        <v>MARTINEZ</v>
      </c>
      <c r="D1134" t="str">
        <f>IFERROR(VLOOKUP(TTrainingSource[[#This Row],[Employee_ID]],THrList[],4,FALSE),"")</f>
        <v>Abigail</v>
      </c>
      <c r="E1134" t="str">
        <f>IFERROR(VLOOKUP(TTrainingSource[[#This Row],[Employee_ID]],THrList[],10,FALSE),"")</f>
        <v>Human Resources</v>
      </c>
      <c r="F1134" t="str">
        <f>TRIM(PROPER(TTrainingSource[[#This Row],[Training_Status2]]))</f>
        <v>Completed</v>
      </c>
      <c r="G1134" t="s">
        <v>17</v>
      </c>
      <c r="H1134" t="str">
        <f>TRIM(PROPER(TTrainingSource[[#This Row],[Training_Title2]]))</f>
        <v>Communication For Analysts</v>
      </c>
      <c r="I1134" t="s">
        <v>28</v>
      </c>
      <c r="J1134" s="1">
        <v>45054</v>
      </c>
      <c r="K1134" t="s">
        <v>42</v>
      </c>
      <c r="L1134" s="7">
        <v>32</v>
      </c>
      <c r="M1134">
        <f>ROUND(TTrainingSource[[#This Row],[Satisfaction_Score2]],0)</f>
        <v>4</v>
      </c>
      <c r="N1134">
        <v>3.6</v>
      </c>
    </row>
    <row r="1135" spans="1:14" x14ac:dyDescent="0.3">
      <c r="A1135" t="s">
        <v>646</v>
      </c>
      <c r="B1135" t="str">
        <f>TRIM(TTrainingSource[[#This Row],[EMPloyee_ID2]])</f>
        <v>EMP10562</v>
      </c>
      <c r="C1135" t="str">
        <f>IFERROR(VLOOKUP(TTrainingSource[[#This Row],[Employee_ID]],THrList[],3,FALSE),"")</f>
        <v>MARTINEZ</v>
      </c>
      <c r="D1135" t="str">
        <f>IFERROR(VLOOKUP(TTrainingSource[[#This Row],[Employee_ID]],THrList[],4,FALSE),"")</f>
        <v>Abigail</v>
      </c>
      <c r="E1135" t="str">
        <f>IFERROR(VLOOKUP(TTrainingSource[[#This Row],[Employee_ID]],THrList[],10,FALSE),"")</f>
        <v>Human Resources</v>
      </c>
      <c r="F1135" t="str">
        <f>TRIM(PROPER(TTrainingSource[[#This Row],[Training_Status2]]))</f>
        <v>Completed</v>
      </c>
      <c r="G1135" t="s">
        <v>17</v>
      </c>
      <c r="H1135" t="str">
        <f>TRIM(PROPER(TTrainingSource[[#This Row],[Training_Title2]]))</f>
        <v>Data Analysis Fundamentals</v>
      </c>
      <c r="I1135" t="s">
        <v>9</v>
      </c>
      <c r="J1135" s="1">
        <v>45111</v>
      </c>
      <c r="K1135" t="s">
        <v>12</v>
      </c>
      <c r="L1135" s="7">
        <v>4</v>
      </c>
      <c r="M1135">
        <f>ROUND(TTrainingSource[[#This Row],[Satisfaction_Score2]],0)</f>
        <v>5</v>
      </c>
      <c r="N1135">
        <v>4.5999999999999996</v>
      </c>
    </row>
    <row r="1136" spans="1:14" x14ac:dyDescent="0.3">
      <c r="A1136" t="s">
        <v>169</v>
      </c>
      <c r="B1136" t="str">
        <f>TRIM(TTrainingSource[[#This Row],[EMPloyee_ID2]])</f>
        <v>EMP10562</v>
      </c>
      <c r="C1136" t="str">
        <f>IFERROR(VLOOKUP(TTrainingSource[[#This Row],[Employee_ID]],THrList[],3,FALSE),"")</f>
        <v>MARTINEZ</v>
      </c>
      <c r="D1136" t="str">
        <f>IFERROR(VLOOKUP(TTrainingSource[[#This Row],[Employee_ID]],THrList[],4,FALSE),"")</f>
        <v>Abigail</v>
      </c>
      <c r="E1136" t="str">
        <f>IFERROR(VLOOKUP(TTrainingSource[[#This Row],[Employee_ID]],THrList[],10,FALSE),"")</f>
        <v>Human Resources</v>
      </c>
      <c r="F1136" t="str">
        <f>TRIM(PROPER(TTrainingSource[[#This Row],[Training_Status2]]))</f>
        <v>Completed</v>
      </c>
      <c r="G1136" t="s">
        <v>17</v>
      </c>
      <c r="H1136" t="str">
        <f>TRIM(PROPER(TTrainingSource[[#This Row],[Training_Title2]]))</f>
        <v>Advanced Excel For Business</v>
      </c>
      <c r="I1136" t="s">
        <v>52</v>
      </c>
      <c r="J1136" s="1">
        <v>45210</v>
      </c>
      <c r="K1136" t="s">
        <v>32</v>
      </c>
      <c r="L1136" s="7">
        <v>6</v>
      </c>
      <c r="M1136">
        <f>ROUND(TTrainingSource[[#This Row],[Satisfaction_Score2]],0)</f>
        <v>5</v>
      </c>
      <c r="N1136">
        <v>4.5999999999999996</v>
      </c>
    </row>
    <row r="1137" spans="1:14" x14ac:dyDescent="0.3">
      <c r="A1137" t="s">
        <v>646</v>
      </c>
      <c r="B1137" t="str">
        <f>TRIM(TTrainingSource[[#This Row],[EMPloyee_ID2]])</f>
        <v>EMP10562</v>
      </c>
      <c r="C1137" t="str">
        <f>IFERROR(VLOOKUP(TTrainingSource[[#This Row],[Employee_ID]],THrList[],3,FALSE),"")</f>
        <v>MARTINEZ</v>
      </c>
      <c r="D1137" t="str">
        <f>IFERROR(VLOOKUP(TTrainingSource[[#This Row],[Employee_ID]],THrList[],4,FALSE),"")</f>
        <v>Abigail</v>
      </c>
      <c r="E1137" t="str">
        <f>IFERROR(VLOOKUP(TTrainingSource[[#This Row],[Employee_ID]],THrList[],10,FALSE),"")</f>
        <v>Human Resources</v>
      </c>
      <c r="F1137" t="str">
        <f>TRIM(PROPER(TTrainingSource[[#This Row],[Training_Status2]]))</f>
        <v>Completed</v>
      </c>
      <c r="G1137" t="s">
        <v>17</v>
      </c>
      <c r="H1137" t="str">
        <f>TRIM(PROPER(TTrainingSource[[#This Row],[Training_Title2]]))</f>
        <v>Advanced Excel For Business</v>
      </c>
      <c r="I1137" t="s">
        <v>52</v>
      </c>
      <c r="J1137" s="1">
        <v>45571</v>
      </c>
      <c r="K1137" t="s">
        <v>42</v>
      </c>
      <c r="L1137" s="7">
        <v>8</v>
      </c>
      <c r="M1137">
        <f>ROUND(TTrainingSource[[#This Row],[Satisfaction_Score2]],0)</f>
        <v>5</v>
      </c>
      <c r="N1137">
        <v>4.8</v>
      </c>
    </row>
    <row r="1138" spans="1:14" x14ac:dyDescent="0.3">
      <c r="A1138" t="s">
        <v>430</v>
      </c>
      <c r="B1138" t="str">
        <f>TRIM(TTrainingSource[[#This Row],[EMPloyee_ID2]])</f>
        <v>EMP10563</v>
      </c>
      <c r="C1138" t="str">
        <f>IFERROR(VLOOKUP(TTrainingSource[[#This Row],[Employee_ID]],THrList[],3,FALSE),"")</f>
        <v>IBRAHIM</v>
      </c>
      <c r="D1138" t="str">
        <f>IFERROR(VLOOKUP(TTrainingSource[[#This Row],[Employee_ID]],THrList[],4,FALSE),"")</f>
        <v>Ama</v>
      </c>
      <c r="E1138" t="str">
        <f>IFERROR(VLOOKUP(TTrainingSource[[#This Row],[Employee_ID]],THrList[],10,FALSE),"")</f>
        <v>Operations</v>
      </c>
      <c r="F1138" t="str">
        <f>TRIM(PROPER(TTrainingSource[[#This Row],[Training_Status2]]))</f>
        <v>Completed</v>
      </c>
      <c r="G1138" t="s">
        <v>17</v>
      </c>
      <c r="H1138" t="str">
        <f>TRIM(PROPER(TTrainingSource[[#This Row],[Training_Title2]]))</f>
        <v>Customer Data Analysis</v>
      </c>
      <c r="I1138" t="s">
        <v>31</v>
      </c>
      <c r="J1138" s="1">
        <v>45940</v>
      </c>
      <c r="K1138" t="s">
        <v>29</v>
      </c>
      <c r="L1138" s="7">
        <v>20</v>
      </c>
      <c r="M1138">
        <f>ROUND(TTrainingSource[[#This Row],[Satisfaction_Score2]],0)</f>
        <v>5</v>
      </c>
      <c r="N1138">
        <v>4.8</v>
      </c>
    </row>
    <row r="1139" spans="1:14" x14ac:dyDescent="0.3">
      <c r="A1139" t="s">
        <v>430</v>
      </c>
      <c r="B1139" t="str">
        <f>TRIM(TTrainingSource[[#This Row],[EMPloyee_ID2]])</f>
        <v>EMP10563</v>
      </c>
      <c r="C1139" t="str">
        <f>IFERROR(VLOOKUP(TTrainingSource[[#This Row],[Employee_ID]],THrList[],3,FALSE),"")</f>
        <v>IBRAHIM</v>
      </c>
      <c r="D1139" t="str">
        <f>IFERROR(VLOOKUP(TTrainingSource[[#This Row],[Employee_ID]],THrList[],4,FALSE),"")</f>
        <v>Ama</v>
      </c>
      <c r="E1139" t="str">
        <f>IFERROR(VLOOKUP(TTrainingSource[[#This Row],[Employee_ID]],THrList[],10,FALSE),"")</f>
        <v>Operations</v>
      </c>
      <c r="F1139" t="str">
        <f>TRIM(PROPER(TTrainingSource[[#This Row],[Training_Status2]]))</f>
        <v>Completed</v>
      </c>
      <c r="G1139" t="s">
        <v>17</v>
      </c>
      <c r="H1139" t="str">
        <f>TRIM(PROPER(TTrainingSource[[#This Row],[Training_Title2]]))</f>
        <v>Advanced Excel For Business</v>
      </c>
      <c r="I1139" t="s">
        <v>52</v>
      </c>
      <c r="J1139" s="1">
        <v>45904</v>
      </c>
      <c r="K1139" t="s">
        <v>1072</v>
      </c>
      <c r="L1139" s="7">
        <v>32</v>
      </c>
      <c r="M1139">
        <f>ROUND(TTrainingSource[[#This Row],[Satisfaction_Score2]],0)</f>
        <v>5</v>
      </c>
      <c r="N1139">
        <v>4.9000000000000004</v>
      </c>
    </row>
    <row r="1140" spans="1:14" x14ac:dyDescent="0.3">
      <c r="A1140" t="s">
        <v>430</v>
      </c>
      <c r="B1140" t="str">
        <f>TRIM(TTrainingSource[[#This Row],[EMPloyee_ID2]])</f>
        <v>EMP10563</v>
      </c>
      <c r="C1140" t="str">
        <f>IFERROR(VLOOKUP(TTrainingSource[[#This Row],[Employee_ID]],THrList[],3,FALSE),"")</f>
        <v>IBRAHIM</v>
      </c>
      <c r="D1140" t="str">
        <f>IFERROR(VLOOKUP(TTrainingSource[[#This Row],[Employee_ID]],THrList[],4,FALSE),"")</f>
        <v>Ama</v>
      </c>
      <c r="E1140" t="str">
        <f>IFERROR(VLOOKUP(TTrainingSource[[#This Row],[Employee_ID]],THrList[],10,FALSE),"")</f>
        <v>Operations</v>
      </c>
      <c r="F1140" t="str">
        <f>TRIM(PROPER(TTrainingSource[[#This Row],[Training_Status2]]))</f>
        <v>Planned</v>
      </c>
      <c r="G1140" t="s">
        <v>19</v>
      </c>
      <c r="H1140" t="str">
        <f>TRIM(PROPER(TTrainingSource[[#This Row],[Training_Title2]]))</f>
        <v>Sql For Data Analytics</v>
      </c>
      <c r="I1140" t="s">
        <v>26</v>
      </c>
      <c r="J1140" s="1">
        <v>45919</v>
      </c>
      <c r="K1140" t="s">
        <v>32</v>
      </c>
      <c r="L1140" s="7">
        <v>24</v>
      </c>
      <c r="M1140">
        <f>ROUND(TTrainingSource[[#This Row],[Satisfaction_Score2]],0)</f>
        <v>4</v>
      </c>
      <c r="N1140">
        <v>4</v>
      </c>
    </row>
    <row r="1141" spans="1:14" x14ac:dyDescent="0.3">
      <c r="A1141" t="s">
        <v>330</v>
      </c>
      <c r="B1141" t="str">
        <f>TRIM(TTrainingSource[[#This Row],[EMPloyee_ID2]])</f>
        <v>EMP10565</v>
      </c>
      <c r="C1141" t="str">
        <f>IFERROR(VLOOKUP(TTrainingSource[[#This Row],[Employee_ID]],THrList[],3,FALSE),"")</f>
        <v>DAVIS</v>
      </c>
      <c r="D1141" t="str">
        <f>IFERROR(VLOOKUP(TTrainingSource[[#This Row],[Employee_ID]],THrList[],4,FALSE),"")</f>
        <v>Ama</v>
      </c>
      <c r="E1141" t="str">
        <f>IFERROR(VLOOKUP(TTrainingSource[[#This Row],[Employee_ID]],THrList[],10,FALSE),"")</f>
        <v>IT</v>
      </c>
      <c r="F1141" t="str">
        <f>TRIM(PROPER(TTrainingSource[[#This Row],[Training_Status2]]))</f>
        <v>In Progress</v>
      </c>
      <c r="G1141" t="s">
        <v>8</v>
      </c>
      <c r="H1141" t="str">
        <f>TRIM(PROPER(TTrainingSource[[#This Row],[Training_Title2]]))</f>
        <v>Financial Modeling Basics</v>
      </c>
      <c r="I1141" t="s">
        <v>331</v>
      </c>
      <c r="J1141" s="1">
        <v>45711</v>
      </c>
      <c r="K1141" t="s">
        <v>42</v>
      </c>
      <c r="L1141" s="7">
        <v>8</v>
      </c>
      <c r="M1141">
        <f>ROUND(TTrainingSource[[#This Row],[Satisfaction_Score2]],0)</f>
        <v>3</v>
      </c>
      <c r="N1141">
        <v>2.7</v>
      </c>
    </row>
    <row r="1142" spans="1:14" x14ac:dyDescent="0.3">
      <c r="A1142" t="s">
        <v>330</v>
      </c>
      <c r="B1142" t="str">
        <f>TRIM(TTrainingSource[[#This Row],[EMPloyee_ID2]])</f>
        <v>EMP10565</v>
      </c>
      <c r="C1142" t="str">
        <f>IFERROR(VLOOKUP(TTrainingSource[[#This Row],[Employee_ID]],THrList[],3,FALSE),"")</f>
        <v>DAVIS</v>
      </c>
      <c r="D1142" t="str">
        <f>IFERROR(VLOOKUP(TTrainingSource[[#This Row],[Employee_ID]],THrList[],4,FALSE),"")</f>
        <v>Ama</v>
      </c>
      <c r="E1142" t="str">
        <f>IFERROR(VLOOKUP(TTrainingSource[[#This Row],[Employee_ID]],THrList[],10,FALSE),"")</f>
        <v>IT</v>
      </c>
      <c r="F1142" t="str">
        <f>TRIM(PROPER(TTrainingSource[[#This Row],[Training_Status2]]))</f>
        <v>Completed</v>
      </c>
      <c r="G1142" t="s">
        <v>69</v>
      </c>
      <c r="H1142" t="str">
        <f>TRIM(PROPER(TTrainingSource[[#This Row],[Training_Title2]]))</f>
        <v>Data Analysis Fundamentals</v>
      </c>
      <c r="I1142" t="s">
        <v>9</v>
      </c>
      <c r="J1142" s="1">
        <v>45232</v>
      </c>
      <c r="K1142" t="s">
        <v>29</v>
      </c>
      <c r="L1142" s="7">
        <v>24</v>
      </c>
      <c r="M1142">
        <f>ROUND(TTrainingSource[[#This Row],[Satisfaction_Score2]],0)</f>
        <v>3</v>
      </c>
      <c r="N1142">
        <v>2.9</v>
      </c>
    </row>
    <row r="1143" spans="1:14" x14ac:dyDescent="0.3">
      <c r="A1143" t="s">
        <v>76</v>
      </c>
      <c r="B1143" t="str">
        <f>TRIM(TTrainingSource[[#This Row],[EMPloyee_ID2]])</f>
        <v>EMP10566</v>
      </c>
      <c r="C1143" t="str">
        <f>IFERROR(VLOOKUP(TTrainingSource[[#This Row],[Employee_ID]],THrList[],3,FALSE),"")</f>
        <v>MERCIER</v>
      </c>
      <c r="D1143" t="str">
        <f>IFERROR(VLOOKUP(TTrainingSource[[#This Row],[Employee_ID]],THrList[],4,FALSE),"")</f>
        <v>Kwame</v>
      </c>
      <c r="E1143" t="str">
        <f>IFERROR(VLOOKUP(TTrainingSource[[#This Row],[Employee_ID]],THrList[],10,FALSE),"")</f>
        <v>N/A</v>
      </c>
      <c r="F1143" t="str">
        <f>TRIM(PROPER(TTrainingSource[[#This Row],[Training_Status2]]))</f>
        <v>Completed</v>
      </c>
      <c r="G1143" t="s">
        <v>17</v>
      </c>
      <c r="H1143" t="str">
        <f>TRIM(PROPER(TTrainingSource[[#This Row],[Training_Title2]]))</f>
        <v>Business Intelligence With Tableau</v>
      </c>
      <c r="I1143" t="s">
        <v>22</v>
      </c>
      <c r="J1143" s="1">
        <v>45926</v>
      </c>
      <c r="K1143" t="s">
        <v>1072</v>
      </c>
      <c r="L1143" s="7">
        <v>24</v>
      </c>
      <c r="M1143">
        <f>ROUND(TTrainingSource[[#This Row],[Satisfaction_Score2]],0)</f>
        <v>5</v>
      </c>
      <c r="N1143">
        <v>4.9000000000000004</v>
      </c>
    </row>
    <row r="1144" spans="1:14" x14ac:dyDescent="0.3">
      <c r="A1144" t="s">
        <v>76</v>
      </c>
      <c r="B1144" t="str">
        <f>TRIM(TTrainingSource[[#This Row],[EMPloyee_ID2]])</f>
        <v>EMP10566</v>
      </c>
      <c r="C1144" t="str">
        <f>IFERROR(VLOOKUP(TTrainingSource[[#This Row],[Employee_ID]],THrList[],3,FALSE),"")</f>
        <v>MERCIER</v>
      </c>
      <c r="D1144" t="str">
        <f>IFERROR(VLOOKUP(TTrainingSource[[#This Row],[Employee_ID]],THrList[],4,FALSE),"")</f>
        <v>Kwame</v>
      </c>
      <c r="E1144" t="str">
        <f>IFERROR(VLOOKUP(TTrainingSource[[#This Row],[Employee_ID]],THrList[],10,FALSE),"")</f>
        <v>N/A</v>
      </c>
      <c r="F1144" t="str">
        <f>TRIM(PROPER(TTrainingSource[[#This Row],[Training_Status2]]))</f>
        <v>Planned</v>
      </c>
      <c r="G1144" t="s">
        <v>19</v>
      </c>
      <c r="H1144" t="str">
        <f>TRIM(PROPER(TTrainingSource[[#This Row],[Training_Title2]]))</f>
        <v>Digital Marketing Strategy</v>
      </c>
      <c r="I1144" t="s">
        <v>398</v>
      </c>
      <c r="J1144" s="1">
        <v>45467</v>
      </c>
      <c r="K1144" t="s">
        <v>98</v>
      </c>
      <c r="L1144" s="7">
        <v>20</v>
      </c>
      <c r="M1144">
        <f>ROUND(TTrainingSource[[#This Row],[Satisfaction_Score2]],0)</f>
        <v>4</v>
      </c>
      <c r="N1144">
        <v>4.3</v>
      </c>
    </row>
    <row r="1145" spans="1:14" x14ac:dyDescent="0.3">
      <c r="A1145" t="s">
        <v>191</v>
      </c>
      <c r="B1145" t="str">
        <f>TRIM(TTrainingSource[[#This Row],[EMPloyee_ID2]])</f>
        <v>EMP10567</v>
      </c>
      <c r="C1145" t="str">
        <f>IFERROR(VLOOKUP(TTrainingSource[[#This Row],[Employee_ID]],THrList[],3,FALSE),"")</f>
        <v>JOHNSON</v>
      </c>
      <c r="D1145" t="str">
        <f>IFERROR(VLOOKUP(TTrainingSource[[#This Row],[Employee_ID]],THrList[],4,FALSE),"")</f>
        <v>Evelyn</v>
      </c>
      <c r="E1145" t="str">
        <f>IFERROR(VLOOKUP(TTrainingSource[[#This Row],[Employee_ID]],THrList[],10,FALSE),"")</f>
        <v>Finance</v>
      </c>
      <c r="F1145" t="str">
        <f>TRIM(PROPER(TTrainingSource[[#This Row],[Training_Status2]]))</f>
        <v>Planned</v>
      </c>
      <c r="G1145" t="s">
        <v>19</v>
      </c>
      <c r="H1145" t="str">
        <f>TRIM(PROPER(TTrainingSource[[#This Row],[Training_Title2]]))</f>
        <v>Data Visualization Best Practices</v>
      </c>
      <c r="I1145" t="s">
        <v>20</v>
      </c>
      <c r="J1145" s="1">
        <v>44605</v>
      </c>
      <c r="K1145" t="s">
        <v>44</v>
      </c>
      <c r="L1145" s="7">
        <v>16</v>
      </c>
      <c r="M1145">
        <f>ROUND(TTrainingSource[[#This Row],[Satisfaction_Score2]],0)</f>
        <v>3</v>
      </c>
      <c r="N1145">
        <v>2.8</v>
      </c>
    </row>
    <row r="1146" spans="1:14" x14ac:dyDescent="0.3">
      <c r="A1146" t="s">
        <v>191</v>
      </c>
      <c r="B1146" t="str">
        <f>TRIM(TTrainingSource[[#This Row],[EMPloyee_ID2]])</f>
        <v>EMP10567</v>
      </c>
      <c r="C1146" t="str">
        <f>IFERROR(VLOOKUP(TTrainingSource[[#This Row],[Employee_ID]],THrList[],3,FALSE),"")</f>
        <v>JOHNSON</v>
      </c>
      <c r="D1146" t="str">
        <f>IFERROR(VLOOKUP(TTrainingSource[[#This Row],[Employee_ID]],THrList[],4,FALSE),"")</f>
        <v>Evelyn</v>
      </c>
      <c r="E1146" t="str">
        <f>IFERROR(VLOOKUP(TTrainingSource[[#This Row],[Employee_ID]],THrList[],10,FALSE),"")</f>
        <v>Finance</v>
      </c>
      <c r="F1146" t="str">
        <f>TRIM(PROPER(TTrainingSource[[#This Row],[Training_Status2]]))</f>
        <v>Completed</v>
      </c>
      <c r="G1146" t="s">
        <v>17</v>
      </c>
      <c r="H1146" t="str">
        <f>TRIM(PROPER(TTrainingSource[[#This Row],[Training_Title2]]))</f>
        <v>Communication For Analysts</v>
      </c>
      <c r="I1146" t="s">
        <v>28</v>
      </c>
      <c r="J1146" s="1">
        <v>45260</v>
      </c>
      <c r="K1146" t="s">
        <v>32</v>
      </c>
      <c r="L1146" s="7">
        <v>16</v>
      </c>
      <c r="M1146">
        <f>ROUND(TTrainingSource[[#This Row],[Satisfaction_Score2]],0)</f>
        <v>3</v>
      </c>
      <c r="N1146">
        <v>3.2</v>
      </c>
    </row>
    <row r="1147" spans="1:14" x14ac:dyDescent="0.3">
      <c r="A1147" t="s">
        <v>63</v>
      </c>
      <c r="B1147" t="str">
        <f>TRIM(TTrainingSource[[#This Row],[EMPloyee_ID2]])</f>
        <v>EMP10570</v>
      </c>
      <c r="C1147" t="str">
        <f>IFERROR(VLOOKUP(TTrainingSource[[#This Row],[Employee_ID]],THrList[],3,FALSE),"")</f>
        <v>KHAN</v>
      </c>
      <c r="D1147" t="str">
        <f>IFERROR(VLOOKUP(TTrainingSource[[#This Row],[Employee_ID]],THrList[],4,FALSE),"")</f>
        <v>Mariama</v>
      </c>
      <c r="E1147" t="str">
        <f>IFERROR(VLOOKUP(TTrainingSource[[#This Row],[Employee_ID]],THrList[],10,FALSE),"")</f>
        <v>Marketing</v>
      </c>
      <c r="F1147" t="str">
        <f>TRIM(PROPER(TTrainingSource[[#This Row],[Training_Status2]]))</f>
        <v>In Progress</v>
      </c>
      <c r="G1147" t="s">
        <v>8</v>
      </c>
      <c r="H1147" t="str">
        <f>TRIM(PROPER(TTrainingSource[[#This Row],[Training_Title2]]))</f>
        <v>Communication For Analysts</v>
      </c>
      <c r="I1147" t="s">
        <v>28</v>
      </c>
      <c r="J1147" s="1">
        <v>45239</v>
      </c>
      <c r="K1147" t="s">
        <v>44</v>
      </c>
      <c r="L1147" s="7">
        <v>40</v>
      </c>
      <c r="M1147">
        <f>ROUND(TTrainingSource[[#This Row],[Satisfaction_Score2]],0)</f>
        <v>4</v>
      </c>
      <c r="N1147">
        <v>4.0999999999999996</v>
      </c>
    </row>
    <row r="1148" spans="1:14" x14ac:dyDescent="0.3">
      <c r="A1148" t="s">
        <v>1039</v>
      </c>
      <c r="B1148" t="str">
        <f>TRIM(TTrainingSource[[#This Row],[EMPloyee_ID2]])</f>
        <v>EMP10570</v>
      </c>
      <c r="C1148" t="str">
        <f>IFERROR(VLOOKUP(TTrainingSource[[#This Row],[Employee_ID]],THrList[],3,FALSE),"")</f>
        <v>KHAN</v>
      </c>
      <c r="D1148" t="str">
        <f>IFERROR(VLOOKUP(TTrainingSource[[#This Row],[Employee_ID]],THrList[],4,FALSE),"")</f>
        <v>Mariama</v>
      </c>
      <c r="E1148" t="str">
        <f>IFERROR(VLOOKUP(TTrainingSource[[#This Row],[Employee_ID]],THrList[],10,FALSE),"")</f>
        <v>Marketing</v>
      </c>
      <c r="F1148" t="str">
        <f>TRIM(PROPER(TTrainingSource[[#This Row],[Training_Status2]]))</f>
        <v>Completed</v>
      </c>
      <c r="G1148" t="s">
        <v>17</v>
      </c>
      <c r="H1148" t="str">
        <f>TRIM(PROPER(TTrainingSource[[#This Row],[Training_Title2]]))</f>
        <v>Business Intelligence With Tableau</v>
      </c>
      <c r="I1148" t="s">
        <v>22</v>
      </c>
      <c r="J1148" s="1">
        <v>45150</v>
      </c>
      <c r="K1148" t="s">
        <v>39</v>
      </c>
      <c r="L1148" s="7">
        <v>20</v>
      </c>
      <c r="M1148">
        <f>ROUND(TTrainingSource[[#This Row],[Satisfaction_Score2]],0)</f>
        <v>3</v>
      </c>
      <c r="N1148">
        <v>2.6</v>
      </c>
    </row>
    <row r="1149" spans="1:14" x14ac:dyDescent="0.3">
      <c r="A1149" t="s">
        <v>328</v>
      </c>
      <c r="B1149" t="str">
        <f>TRIM(TTrainingSource[[#This Row],[EMPloyee_ID2]])</f>
        <v>EMP10571</v>
      </c>
      <c r="C1149" t="str">
        <f>IFERROR(VLOOKUP(TTrainingSource[[#This Row],[Employee_ID]],THrList[],3,FALSE),"")</f>
        <v>FOURNIER</v>
      </c>
      <c r="D1149" t="str">
        <f>IFERROR(VLOOKUP(TTrainingSource[[#This Row],[Employee_ID]],THrList[],4,FALSE),"")</f>
        <v>Henry</v>
      </c>
      <c r="E1149" t="str">
        <f>IFERROR(VLOOKUP(TTrainingSource[[#This Row],[Employee_ID]],THrList[],10,FALSE),"")</f>
        <v>IT</v>
      </c>
      <c r="F1149" t="str">
        <f>TRIM(PROPER(TTrainingSource[[#This Row],[Training_Status2]]))</f>
        <v>Completed</v>
      </c>
      <c r="G1149" t="s">
        <v>17</v>
      </c>
      <c r="H1149" t="str">
        <f>TRIM(PROPER(TTrainingSource[[#This Row],[Training_Title2]]))</f>
        <v>Sql For Data Analytics</v>
      </c>
      <c r="I1149" t="s">
        <v>26</v>
      </c>
      <c r="J1149" s="1">
        <v>45757</v>
      </c>
      <c r="K1149" t="s">
        <v>39</v>
      </c>
      <c r="L1149" s="7">
        <v>0</v>
      </c>
      <c r="M1149">
        <f>ROUND(TTrainingSource[[#This Row],[Satisfaction_Score2]],0)</f>
        <v>3</v>
      </c>
      <c r="N1149">
        <v>2.7</v>
      </c>
    </row>
    <row r="1150" spans="1:14" x14ac:dyDescent="0.3">
      <c r="A1150" t="s">
        <v>328</v>
      </c>
      <c r="B1150" t="str">
        <f>TRIM(TTrainingSource[[#This Row],[EMPloyee_ID2]])</f>
        <v>EMP10571</v>
      </c>
      <c r="C1150" t="str">
        <f>IFERROR(VLOOKUP(TTrainingSource[[#This Row],[Employee_ID]],THrList[],3,FALSE),"")</f>
        <v>FOURNIER</v>
      </c>
      <c r="D1150" t="str">
        <f>IFERROR(VLOOKUP(TTrainingSource[[#This Row],[Employee_ID]],THrList[],4,FALSE),"")</f>
        <v>Henry</v>
      </c>
      <c r="E1150" t="str">
        <f>IFERROR(VLOOKUP(TTrainingSource[[#This Row],[Employee_ID]],THrList[],10,FALSE),"")</f>
        <v>IT</v>
      </c>
      <c r="F1150" t="str">
        <f>TRIM(PROPER(TTrainingSource[[#This Row],[Training_Status2]]))</f>
        <v>Completed</v>
      </c>
      <c r="G1150" t="s">
        <v>17</v>
      </c>
      <c r="H1150" t="str">
        <f>TRIM(PROPER(TTrainingSource[[#This Row],[Training_Title2]]))</f>
        <v>Sql For Data Analytics</v>
      </c>
      <c r="I1150" t="s">
        <v>26</v>
      </c>
      <c r="J1150" s="1">
        <v>45452</v>
      </c>
      <c r="K1150" t="s">
        <v>1072</v>
      </c>
      <c r="L1150" s="7">
        <v>0</v>
      </c>
      <c r="M1150">
        <f>ROUND(TTrainingSource[[#This Row],[Satisfaction_Score2]],0)</f>
        <v>3</v>
      </c>
      <c r="N1150">
        <v>2.6</v>
      </c>
    </row>
    <row r="1151" spans="1:14" x14ac:dyDescent="0.3">
      <c r="A1151" t="s">
        <v>328</v>
      </c>
      <c r="B1151" t="str">
        <f>TRIM(TTrainingSource[[#This Row],[EMPloyee_ID2]])</f>
        <v>EMP10571</v>
      </c>
      <c r="C1151" t="str">
        <f>IFERROR(VLOOKUP(TTrainingSource[[#This Row],[Employee_ID]],THrList[],3,FALSE),"")</f>
        <v>FOURNIER</v>
      </c>
      <c r="D1151" t="str">
        <f>IFERROR(VLOOKUP(TTrainingSource[[#This Row],[Employee_ID]],THrList[],4,FALSE),"")</f>
        <v>Henry</v>
      </c>
      <c r="E1151" t="str">
        <f>IFERROR(VLOOKUP(TTrainingSource[[#This Row],[Employee_ID]],THrList[],10,FALSE),"")</f>
        <v>IT</v>
      </c>
      <c r="F1151" t="str">
        <f>TRIM(PROPER(TTrainingSource[[#This Row],[Training_Status2]]))</f>
        <v>Completed</v>
      </c>
      <c r="G1151" t="s">
        <v>17</v>
      </c>
      <c r="H1151" t="str">
        <f>TRIM(PROPER(TTrainingSource[[#This Row],[Training_Title2]]))</f>
        <v>Financial Modeling Basics</v>
      </c>
      <c r="I1151" t="s">
        <v>38</v>
      </c>
      <c r="J1151" s="1">
        <v>44631</v>
      </c>
      <c r="K1151" t="s">
        <v>42</v>
      </c>
      <c r="L1151" s="7">
        <v>12</v>
      </c>
      <c r="M1151">
        <f>ROUND(TTrainingSource[[#This Row],[Satisfaction_Score2]],0)</f>
        <v>3</v>
      </c>
      <c r="N1151">
        <v>3.4</v>
      </c>
    </row>
    <row r="1152" spans="1:14" x14ac:dyDescent="0.3">
      <c r="A1152" t="s">
        <v>214</v>
      </c>
      <c r="B1152" t="str">
        <f>TRIM(TTrainingSource[[#This Row],[EMPloyee_ID2]])</f>
        <v>EMP10572</v>
      </c>
      <c r="C1152" t="str">
        <f>IFERROR(VLOOKUP(TTrainingSource[[#This Row],[Employee_ID]],THrList[],3,FALSE),"")</f>
        <v>SINGH</v>
      </c>
      <c r="D1152" t="str">
        <f>IFERROR(VLOOKUP(TTrainingSource[[#This Row],[Employee_ID]],THrList[],4,FALSE),"")</f>
        <v>Isabella</v>
      </c>
      <c r="E1152" t="str">
        <f>IFERROR(VLOOKUP(TTrainingSource[[#This Row],[Employee_ID]],THrList[],10,FALSE),"")</f>
        <v>Finance</v>
      </c>
      <c r="F1152" t="str">
        <f>TRIM(PROPER(TTrainingSource[[#This Row],[Training_Status2]]))</f>
        <v>Planned</v>
      </c>
      <c r="G1152" t="s">
        <v>19</v>
      </c>
      <c r="H1152" t="str">
        <f>TRIM(PROPER(TTrainingSource[[#This Row],[Training_Title2]]))</f>
        <v>Business Intelligence With Tableau</v>
      </c>
      <c r="I1152" t="s">
        <v>22</v>
      </c>
      <c r="J1152" s="1">
        <v>45629</v>
      </c>
      <c r="K1152" t="s">
        <v>46</v>
      </c>
      <c r="L1152" s="7">
        <v>6</v>
      </c>
      <c r="M1152">
        <f>ROUND(TTrainingSource[[#This Row],[Satisfaction_Score2]],0)</f>
        <v>5</v>
      </c>
      <c r="N1152">
        <v>4.5999999999999996</v>
      </c>
    </row>
    <row r="1153" spans="1:14" x14ac:dyDescent="0.3">
      <c r="A1153" t="s">
        <v>214</v>
      </c>
      <c r="B1153" t="str">
        <f>TRIM(TTrainingSource[[#This Row],[EMPloyee_ID2]])</f>
        <v>EMP10572</v>
      </c>
      <c r="C1153" t="str">
        <f>IFERROR(VLOOKUP(TTrainingSource[[#This Row],[Employee_ID]],THrList[],3,FALSE),"")</f>
        <v>SINGH</v>
      </c>
      <c r="D1153" t="str">
        <f>IFERROR(VLOOKUP(TTrainingSource[[#This Row],[Employee_ID]],THrList[],4,FALSE),"")</f>
        <v>Isabella</v>
      </c>
      <c r="E1153" t="str">
        <f>IFERROR(VLOOKUP(TTrainingSource[[#This Row],[Employee_ID]],THrList[],10,FALSE),"")</f>
        <v>Finance</v>
      </c>
      <c r="F1153" t="str">
        <f>TRIM(PROPER(TTrainingSource[[#This Row],[Training_Status2]]))</f>
        <v>Completed</v>
      </c>
      <c r="G1153" t="s">
        <v>17</v>
      </c>
      <c r="H1153" t="str">
        <f>TRIM(PROPER(TTrainingSource[[#This Row],[Training_Title2]]))</f>
        <v>Customer Data Analysis</v>
      </c>
      <c r="I1153" t="s">
        <v>31</v>
      </c>
      <c r="J1153" s="1">
        <v>45012</v>
      </c>
      <c r="K1153" t="s">
        <v>46</v>
      </c>
      <c r="L1153" s="7">
        <v>40</v>
      </c>
      <c r="M1153">
        <f>ROUND(TTrainingSource[[#This Row],[Satisfaction_Score2]],0)</f>
        <v>5</v>
      </c>
      <c r="N1153">
        <v>4.5</v>
      </c>
    </row>
    <row r="1154" spans="1:14" x14ac:dyDescent="0.3">
      <c r="A1154" t="s">
        <v>214</v>
      </c>
      <c r="B1154" t="str">
        <f>TRIM(TTrainingSource[[#This Row],[EMPloyee_ID2]])</f>
        <v>EMP10572</v>
      </c>
      <c r="C1154" t="str">
        <f>IFERROR(VLOOKUP(TTrainingSource[[#This Row],[Employee_ID]],THrList[],3,FALSE),"")</f>
        <v>SINGH</v>
      </c>
      <c r="D1154" t="str">
        <f>IFERROR(VLOOKUP(TTrainingSource[[#This Row],[Employee_ID]],THrList[],4,FALSE),"")</f>
        <v>Isabella</v>
      </c>
      <c r="E1154" t="str">
        <f>IFERROR(VLOOKUP(TTrainingSource[[#This Row],[Employee_ID]],THrList[],10,FALSE),"")</f>
        <v>Finance</v>
      </c>
      <c r="F1154" t="str">
        <f>TRIM(PROPER(TTrainingSource[[#This Row],[Training_Status2]]))</f>
        <v>Completed</v>
      </c>
      <c r="G1154" t="s">
        <v>17</v>
      </c>
      <c r="H1154" t="str">
        <f>TRIM(PROPER(TTrainingSource[[#This Row],[Training_Title2]]))</f>
        <v>Power Bi Reporting</v>
      </c>
      <c r="I1154" t="s">
        <v>24</v>
      </c>
      <c r="J1154" s="1">
        <v>44647</v>
      </c>
      <c r="K1154" t="s">
        <v>32</v>
      </c>
      <c r="L1154" s="7">
        <v>16</v>
      </c>
      <c r="M1154">
        <f>ROUND(TTrainingSource[[#This Row],[Satisfaction_Score2]],0)</f>
        <v>4</v>
      </c>
      <c r="N1154">
        <v>4.0999999999999996</v>
      </c>
    </row>
    <row r="1155" spans="1:14" x14ac:dyDescent="0.3">
      <c r="A1155" t="s">
        <v>214</v>
      </c>
      <c r="B1155" t="str">
        <f>TRIM(TTrainingSource[[#This Row],[EMPloyee_ID2]])</f>
        <v>EMP10572</v>
      </c>
      <c r="C1155" t="str">
        <f>IFERROR(VLOOKUP(TTrainingSource[[#This Row],[Employee_ID]],THrList[],3,FALSE),"")</f>
        <v>SINGH</v>
      </c>
      <c r="D1155" t="str">
        <f>IFERROR(VLOOKUP(TTrainingSource[[#This Row],[Employee_ID]],THrList[],4,FALSE),"")</f>
        <v>Isabella</v>
      </c>
      <c r="E1155" t="str">
        <f>IFERROR(VLOOKUP(TTrainingSource[[#This Row],[Employee_ID]],THrList[],10,FALSE),"")</f>
        <v>Finance</v>
      </c>
      <c r="F1155" t="str">
        <f>TRIM(PROPER(TTrainingSource[[#This Row],[Training_Status2]]))</f>
        <v>In Progress</v>
      </c>
      <c r="G1155" t="s">
        <v>8</v>
      </c>
      <c r="H1155" t="str">
        <f>TRIM(PROPER(TTrainingSource[[#This Row],[Training_Title2]]))</f>
        <v>Data Analysis Fundamentals</v>
      </c>
      <c r="I1155" t="s">
        <v>238</v>
      </c>
      <c r="J1155" s="1">
        <v>45540</v>
      </c>
      <c r="K1155" t="s">
        <v>132</v>
      </c>
      <c r="L1155" s="7">
        <v>8</v>
      </c>
      <c r="M1155">
        <f>ROUND(TTrainingSource[[#This Row],[Satisfaction_Score2]],0)</f>
        <v>4</v>
      </c>
      <c r="N1155">
        <v>3.7</v>
      </c>
    </row>
    <row r="1156" spans="1:14" x14ac:dyDescent="0.3">
      <c r="A1156" t="s">
        <v>539</v>
      </c>
      <c r="B1156" t="str">
        <f>TRIM(TTrainingSource[[#This Row],[EMPloyee_ID2]])</f>
        <v>EMP10574</v>
      </c>
      <c r="C1156" t="str">
        <f>IFERROR(VLOOKUP(TTrainingSource[[#This Row],[Employee_ID]],THrList[],3,FALSE),"")</f>
        <v>DAVIS</v>
      </c>
      <c r="D1156" t="str">
        <f>IFERROR(VLOOKUP(TTrainingSource[[#This Row],[Employee_ID]],THrList[],4,FALSE),"")</f>
        <v>Amelia</v>
      </c>
      <c r="E1156" t="str">
        <f>IFERROR(VLOOKUP(TTrainingSource[[#This Row],[Employee_ID]],THrList[],10,FALSE),"")</f>
        <v>Compliance</v>
      </c>
      <c r="F1156" t="str">
        <f>TRIM(PROPER(TTrainingSource[[#This Row],[Training_Status2]]))</f>
        <v>Completed</v>
      </c>
      <c r="G1156" t="s">
        <v>17</v>
      </c>
      <c r="H1156" t="str">
        <f>TRIM(PROPER(TTrainingSource[[#This Row],[Training_Title2]]))</f>
        <v>Communication For Analysts</v>
      </c>
      <c r="I1156" t="s">
        <v>28</v>
      </c>
      <c r="J1156" s="1">
        <v>45131</v>
      </c>
      <c r="K1156" t="s">
        <v>39</v>
      </c>
      <c r="L1156" s="7">
        <v>24</v>
      </c>
      <c r="M1156">
        <f>ROUND(TTrainingSource[[#This Row],[Satisfaction_Score2]],0)</f>
        <v>5</v>
      </c>
      <c r="N1156">
        <v>4.9000000000000004</v>
      </c>
    </row>
    <row r="1157" spans="1:14" x14ac:dyDescent="0.3">
      <c r="A1157" t="s">
        <v>539</v>
      </c>
      <c r="B1157" t="str">
        <f>TRIM(TTrainingSource[[#This Row],[EMPloyee_ID2]])</f>
        <v>EMP10574</v>
      </c>
      <c r="C1157" t="str">
        <f>IFERROR(VLOOKUP(TTrainingSource[[#This Row],[Employee_ID]],THrList[],3,FALSE),"")</f>
        <v>DAVIS</v>
      </c>
      <c r="D1157" t="str">
        <f>IFERROR(VLOOKUP(TTrainingSource[[#This Row],[Employee_ID]],THrList[],4,FALSE),"")</f>
        <v>Amelia</v>
      </c>
      <c r="E1157" t="str">
        <f>IFERROR(VLOOKUP(TTrainingSource[[#This Row],[Employee_ID]],THrList[],10,FALSE),"")</f>
        <v>Compliance</v>
      </c>
      <c r="F1157" t="str">
        <f>TRIM(PROPER(TTrainingSource[[#This Row],[Training_Status2]]))</f>
        <v>Completed</v>
      </c>
      <c r="G1157" t="s">
        <v>17</v>
      </c>
      <c r="H1157" t="str">
        <f>TRIM(PROPER(TTrainingSource[[#This Row],[Training_Title2]]))</f>
        <v>Data Analysis Fundamentals</v>
      </c>
      <c r="I1157" t="s">
        <v>9</v>
      </c>
      <c r="J1157" s="1">
        <v>45874</v>
      </c>
      <c r="K1157" t="s">
        <v>39</v>
      </c>
      <c r="L1157" s="7">
        <v>6</v>
      </c>
      <c r="M1157">
        <f>ROUND(TTrainingSource[[#This Row],[Satisfaction_Score2]],0)</f>
        <v>3</v>
      </c>
      <c r="N1157">
        <v>3.3</v>
      </c>
    </row>
    <row r="1158" spans="1:14" x14ac:dyDescent="0.3">
      <c r="A1158" t="s">
        <v>539</v>
      </c>
      <c r="B1158" t="str">
        <f>TRIM(TTrainingSource[[#This Row],[EMPloyee_ID2]])</f>
        <v>EMP10574</v>
      </c>
      <c r="C1158" t="str">
        <f>IFERROR(VLOOKUP(TTrainingSource[[#This Row],[Employee_ID]],THrList[],3,FALSE),"")</f>
        <v>DAVIS</v>
      </c>
      <c r="D1158" t="str">
        <f>IFERROR(VLOOKUP(TTrainingSource[[#This Row],[Employee_ID]],THrList[],4,FALSE),"")</f>
        <v>Amelia</v>
      </c>
      <c r="E1158" t="str">
        <f>IFERROR(VLOOKUP(TTrainingSource[[#This Row],[Employee_ID]],THrList[],10,FALSE),"")</f>
        <v>Compliance</v>
      </c>
      <c r="F1158" t="str">
        <f>TRIM(PROPER(TTrainingSource[[#This Row],[Training_Status2]]))</f>
        <v>In Progress</v>
      </c>
      <c r="G1158" t="s">
        <v>8</v>
      </c>
      <c r="H1158" t="str">
        <f>TRIM(PROPER(TTrainingSource[[#This Row],[Training_Title2]]))</f>
        <v>Financial Modeling Basics</v>
      </c>
      <c r="I1158" t="s">
        <v>38</v>
      </c>
      <c r="J1158" s="1">
        <v>44586</v>
      </c>
      <c r="K1158" t="s">
        <v>39</v>
      </c>
      <c r="L1158" s="7">
        <v>6</v>
      </c>
      <c r="M1158">
        <f>ROUND(TTrainingSource[[#This Row],[Satisfaction_Score2]],0)</f>
        <v>4</v>
      </c>
      <c r="N1158">
        <v>3.7</v>
      </c>
    </row>
    <row r="1159" spans="1:14" x14ac:dyDescent="0.3">
      <c r="A1159" t="s">
        <v>586</v>
      </c>
      <c r="B1159" t="str">
        <f>TRIM(TTrainingSource[[#This Row],[EMPloyee_ID2]])</f>
        <v>EMP10575</v>
      </c>
      <c r="C1159" t="str">
        <f>IFERROR(VLOOKUP(TTrainingSource[[#This Row],[Employee_ID]],THrList[],3,FALSE),"")</f>
        <v>KONE</v>
      </c>
      <c r="D1159" t="str">
        <f>IFERROR(VLOOKUP(TTrainingSource[[#This Row],[Employee_ID]],THrList[],4,FALSE),"")</f>
        <v>Evelyn</v>
      </c>
      <c r="E1159" t="str">
        <f>IFERROR(VLOOKUP(TTrainingSource[[#This Row],[Employee_ID]],THrList[],10,FALSE),"")</f>
        <v>Human Resources</v>
      </c>
      <c r="F1159" t="str">
        <f>TRIM(PROPER(TTrainingSource[[#This Row],[Training_Status2]]))</f>
        <v>Completed</v>
      </c>
      <c r="G1159" t="s">
        <v>17</v>
      </c>
      <c r="H1159" t="str">
        <f>TRIM(PROPER(TTrainingSource[[#This Row],[Training_Title2]]))</f>
        <v>Business Intelligence With Tableau</v>
      </c>
      <c r="I1159" t="s">
        <v>162</v>
      </c>
      <c r="J1159" s="1">
        <v>45072</v>
      </c>
      <c r="K1159" t="s">
        <v>44</v>
      </c>
      <c r="L1159" s="7">
        <v>32</v>
      </c>
      <c r="M1159">
        <f>ROUND(TTrainingSource[[#This Row],[Satisfaction_Score2]],0)</f>
        <v>4</v>
      </c>
      <c r="N1159">
        <v>4</v>
      </c>
    </row>
    <row r="1160" spans="1:14" x14ac:dyDescent="0.3">
      <c r="A1160" t="s">
        <v>586</v>
      </c>
      <c r="B1160" t="str">
        <f>TRIM(TTrainingSource[[#This Row],[EMPloyee_ID2]])</f>
        <v>EMP10575</v>
      </c>
      <c r="C1160" t="str">
        <f>IFERROR(VLOOKUP(TTrainingSource[[#This Row],[Employee_ID]],THrList[],3,FALSE),"")</f>
        <v>KONE</v>
      </c>
      <c r="D1160" t="str">
        <f>IFERROR(VLOOKUP(TTrainingSource[[#This Row],[Employee_ID]],THrList[],4,FALSE),"")</f>
        <v>Evelyn</v>
      </c>
      <c r="E1160" t="str">
        <f>IFERROR(VLOOKUP(TTrainingSource[[#This Row],[Employee_ID]],THrList[],10,FALSE),"")</f>
        <v>Human Resources</v>
      </c>
      <c r="F1160" t="str">
        <f>TRIM(PROPER(TTrainingSource[[#This Row],[Training_Status2]]))</f>
        <v>In Progress</v>
      </c>
      <c r="G1160" t="s">
        <v>8</v>
      </c>
      <c r="H1160" t="str">
        <f>TRIM(PROPER(TTrainingSource[[#This Row],[Training_Title2]]))</f>
        <v>Digital Marketing Strategy</v>
      </c>
      <c r="I1160" t="s">
        <v>43</v>
      </c>
      <c r="J1160" s="1">
        <v>45264</v>
      </c>
      <c r="K1160" t="s">
        <v>46</v>
      </c>
      <c r="L1160" s="7">
        <v>6</v>
      </c>
      <c r="M1160">
        <f>ROUND(TTrainingSource[[#This Row],[Satisfaction_Score2]],0)</f>
        <v>4</v>
      </c>
      <c r="N1160">
        <v>3.8</v>
      </c>
    </row>
    <row r="1161" spans="1:14" x14ac:dyDescent="0.3">
      <c r="A1161" t="s">
        <v>250</v>
      </c>
      <c r="B1161" t="str">
        <f>TRIM(TTrainingSource[[#This Row],[EMPloyee_ID2]])</f>
        <v>EMP10576</v>
      </c>
      <c r="C1161" t="str">
        <f>IFERROR(VLOOKUP(TTrainingSource[[#This Row],[Employee_ID]],THrList[],3,FALSE),"")</f>
        <v>JOHNSON</v>
      </c>
      <c r="D1161" t="str">
        <f>IFERROR(VLOOKUP(TTrainingSource[[#This Row],[Employee_ID]],THrList[],4,FALSE),"")</f>
        <v>Zainab</v>
      </c>
      <c r="E1161" t="str">
        <f>IFERROR(VLOOKUP(TTrainingSource[[#This Row],[Employee_ID]],THrList[],10,FALSE),"")</f>
        <v>Marketing</v>
      </c>
      <c r="F1161" t="str">
        <f>TRIM(PROPER(TTrainingSource[[#This Row],[Training_Status2]]))</f>
        <v>Completed</v>
      </c>
      <c r="G1161" t="s">
        <v>17</v>
      </c>
      <c r="H1161" t="str">
        <f>TRIM(PROPER(TTrainingSource[[#This Row],[Training_Title2]]))</f>
        <v>Project Management Essentials</v>
      </c>
      <c r="I1161" t="s">
        <v>14</v>
      </c>
      <c r="J1161" s="1">
        <v>45561</v>
      </c>
      <c r="K1161" t="s">
        <v>98</v>
      </c>
      <c r="L1161" s="7">
        <v>40</v>
      </c>
      <c r="M1161">
        <f>ROUND(TTrainingSource[[#This Row],[Satisfaction_Score2]],0)</f>
        <v>5</v>
      </c>
      <c r="N1161">
        <v>4.5999999999999996</v>
      </c>
    </row>
    <row r="1162" spans="1:14" x14ac:dyDescent="0.3">
      <c r="A1162" t="s">
        <v>250</v>
      </c>
      <c r="B1162" t="str">
        <f>TRIM(TTrainingSource[[#This Row],[EMPloyee_ID2]])</f>
        <v>EMP10576</v>
      </c>
      <c r="C1162" t="str">
        <f>IFERROR(VLOOKUP(TTrainingSource[[#This Row],[Employee_ID]],THrList[],3,FALSE),"")</f>
        <v>JOHNSON</v>
      </c>
      <c r="D1162" t="str">
        <f>IFERROR(VLOOKUP(TTrainingSource[[#This Row],[Employee_ID]],THrList[],4,FALSE),"")</f>
        <v>Zainab</v>
      </c>
      <c r="E1162" t="str">
        <f>IFERROR(VLOOKUP(TTrainingSource[[#This Row],[Employee_ID]],THrList[],10,FALSE),"")</f>
        <v>Marketing</v>
      </c>
      <c r="F1162" t="str">
        <f>TRIM(PROPER(TTrainingSource[[#This Row],[Training_Status2]]))</f>
        <v>In Progress</v>
      </c>
      <c r="G1162" t="s">
        <v>8</v>
      </c>
      <c r="H1162" t="str">
        <f>TRIM(PROPER(TTrainingSource[[#This Row],[Training_Title2]]))</f>
        <v>Financial Modeling Basics</v>
      </c>
      <c r="I1162" t="s">
        <v>331</v>
      </c>
      <c r="J1162" s="1">
        <v>45194</v>
      </c>
      <c r="K1162" t="s">
        <v>32</v>
      </c>
      <c r="L1162" s="7">
        <v>4</v>
      </c>
      <c r="M1162">
        <f>ROUND(TTrainingSource[[#This Row],[Satisfaction_Score2]],0)</f>
        <v>3</v>
      </c>
      <c r="N1162">
        <v>2.6</v>
      </c>
    </row>
    <row r="1163" spans="1:14" x14ac:dyDescent="0.3">
      <c r="A1163" t="s">
        <v>56</v>
      </c>
      <c r="B1163" t="str">
        <f>TRIM(TTrainingSource[[#This Row],[EMPloyee_ID2]])</f>
        <v>EMP10578</v>
      </c>
      <c r="C1163" t="str">
        <f>IFERROR(VLOOKUP(TTrainingSource[[#This Row],[Employee_ID]],THrList[],3,FALSE),"")</f>
        <v>ABDULLAH</v>
      </c>
      <c r="D1163" t="str">
        <f>IFERROR(VLOOKUP(TTrainingSource[[#This Row],[Employee_ID]],THrList[],4,FALSE),"")</f>
        <v>Mia</v>
      </c>
      <c r="E1163" t="str">
        <f>IFERROR(VLOOKUP(TTrainingSource[[#This Row],[Employee_ID]],THrList[],10,FALSE),"")</f>
        <v>Sales</v>
      </c>
      <c r="F1163" t="str">
        <f>TRIM(PROPER(TTrainingSource[[#This Row],[Training_Status2]]))</f>
        <v>Completed</v>
      </c>
      <c r="G1163" t="s">
        <v>17</v>
      </c>
      <c r="H1163" t="str">
        <f>TRIM(PROPER(TTrainingSource[[#This Row],[Training_Title2]]))</f>
        <v>Business Intelligence With Tableau</v>
      </c>
      <c r="I1163" t="s">
        <v>22</v>
      </c>
      <c r="J1163" s="1">
        <v>45703</v>
      </c>
      <c r="K1163" t="s">
        <v>32</v>
      </c>
      <c r="L1163" s="7">
        <v>20</v>
      </c>
      <c r="M1163">
        <f>ROUND(TTrainingSource[[#This Row],[Satisfaction_Score2]],0)</f>
        <v>3</v>
      </c>
      <c r="N1163">
        <v>2.8</v>
      </c>
    </row>
    <row r="1164" spans="1:14" x14ac:dyDescent="0.3">
      <c r="A1164" t="s">
        <v>56</v>
      </c>
      <c r="B1164" t="str">
        <f>TRIM(TTrainingSource[[#This Row],[EMPloyee_ID2]])</f>
        <v>EMP10578</v>
      </c>
      <c r="C1164" t="str">
        <f>IFERROR(VLOOKUP(TTrainingSource[[#This Row],[Employee_ID]],THrList[],3,FALSE),"")</f>
        <v>ABDULLAH</v>
      </c>
      <c r="D1164" t="str">
        <f>IFERROR(VLOOKUP(TTrainingSource[[#This Row],[Employee_ID]],THrList[],4,FALSE),"")</f>
        <v>Mia</v>
      </c>
      <c r="E1164" t="str">
        <f>IFERROR(VLOOKUP(TTrainingSource[[#This Row],[Employee_ID]],THrList[],10,FALSE),"")</f>
        <v>Sales</v>
      </c>
      <c r="F1164" t="str">
        <f>TRIM(PROPER(TTrainingSource[[#This Row],[Training_Status2]]))</f>
        <v>Completed</v>
      </c>
      <c r="G1164" t="s">
        <v>17</v>
      </c>
      <c r="H1164" t="str">
        <f>TRIM(PROPER(TTrainingSource[[#This Row],[Training_Title2]]))</f>
        <v>Digital Marketing Strategy</v>
      </c>
      <c r="I1164" t="s">
        <v>299</v>
      </c>
      <c r="J1164" s="1">
        <v>44695</v>
      </c>
      <c r="K1164" t="s">
        <v>39</v>
      </c>
      <c r="L1164" s="7">
        <v>16</v>
      </c>
      <c r="M1164">
        <f>ROUND(TTrainingSource[[#This Row],[Satisfaction_Score2]],0)</f>
        <v>4</v>
      </c>
      <c r="N1164">
        <v>4.2</v>
      </c>
    </row>
    <row r="1165" spans="1:14" x14ac:dyDescent="0.3">
      <c r="A1165" t="s">
        <v>280</v>
      </c>
      <c r="B1165" t="str">
        <f>TRIM(TTrainingSource[[#This Row],[EMPloyee_ID2]])</f>
        <v>EMP10579</v>
      </c>
      <c r="C1165" t="str">
        <f>IFERROR(VLOOKUP(TTrainingSource[[#This Row],[Employee_ID]],THrList[],3,FALSE),"")</f>
        <v>LOPEZ</v>
      </c>
      <c r="D1165" t="str">
        <f>IFERROR(VLOOKUP(TTrainingSource[[#This Row],[Employee_ID]],THrList[],4,FALSE),"")</f>
        <v>Ngozi</v>
      </c>
      <c r="E1165" t="str">
        <f>IFERROR(VLOOKUP(TTrainingSource[[#This Row],[Employee_ID]],THrList[],10,FALSE),"")</f>
        <v>Customer Support</v>
      </c>
      <c r="F1165" t="str">
        <f>TRIM(PROPER(TTrainingSource[[#This Row],[Training_Status2]]))</f>
        <v>In Progress</v>
      </c>
      <c r="G1165" t="s">
        <v>8</v>
      </c>
      <c r="H1165" t="str">
        <f>TRIM(PROPER(TTrainingSource[[#This Row],[Training_Title2]]))</f>
        <v>Business Intelligence With Tableau</v>
      </c>
      <c r="I1165" t="s">
        <v>220</v>
      </c>
      <c r="J1165" s="1">
        <v>44942</v>
      </c>
      <c r="K1165" t="s">
        <v>32</v>
      </c>
      <c r="L1165" s="7">
        <v>20</v>
      </c>
      <c r="M1165">
        <f>ROUND(TTrainingSource[[#This Row],[Satisfaction_Score2]],0)</f>
        <v>5</v>
      </c>
      <c r="N1165">
        <v>4.5</v>
      </c>
    </row>
    <row r="1166" spans="1:14" x14ac:dyDescent="0.3">
      <c r="A1166" t="s">
        <v>280</v>
      </c>
      <c r="B1166" t="str">
        <f>TRIM(TTrainingSource[[#This Row],[EMPloyee_ID2]])</f>
        <v>EMP10579</v>
      </c>
      <c r="C1166" t="str">
        <f>IFERROR(VLOOKUP(TTrainingSource[[#This Row],[Employee_ID]],THrList[],3,FALSE),"")</f>
        <v>LOPEZ</v>
      </c>
      <c r="D1166" t="str">
        <f>IFERROR(VLOOKUP(TTrainingSource[[#This Row],[Employee_ID]],THrList[],4,FALSE),"")</f>
        <v>Ngozi</v>
      </c>
      <c r="E1166" t="str">
        <f>IFERROR(VLOOKUP(TTrainingSource[[#This Row],[Employee_ID]],THrList[],10,FALSE),"")</f>
        <v>Customer Support</v>
      </c>
      <c r="F1166" t="str">
        <f>TRIM(PROPER(TTrainingSource[[#This Row],[Training_Status2]]))</f>
        <v>In Progress</v>
      </c>
      <c r="G1166" t="s">
        <v>8</v>
      </c>
      <c r="H1166" t="str">
        <f>TRIM(PROPER(TTrainingSource[[#This Row],[Training_Title2]]))</f>
        <v>Business Intelligence With Tableau</v>
      </c>
      <c r="I1166" t="s">
        <v>22</v>
      </c>
      <c r="J1166" s="1">
        <v>45323</v>
      </c>
      <c r="K1166" t="s">
        <v>42</v>
      </c>
      <c r="L1166" s="7">
        <v>40</v>
      </c>
      <c r="M1166">
        <f>ROUND(TTrainingSource[[#This Row],[Satisfaction_Score2]],0)</f>
        <v>5</v>
      </c>
      <c r="N1166">
        <v>4.9000000000000004</v>
      </c>
    </row>
    <row r="1167" spans="1:14" x14ac:dyDescent="0.3">
      <c r="A1167" t="s">
        <v>280</v>
      </c>
      <c r="B1167" t="str">
        <f>TRIM(TTrainingSource[[#This Row],[EMPloyee_ID2]])</f>
        <v>EMP10579</v>
      </c>
      <c r="C1167" t="str">
        <f>IFERROR(VLOOKUP(TTrainingSource[[#This Row],[Employee_ID]],THrList[],3,FALSE),"")</f>
        <v>LOPEZ</v>
      </c>
      <c r="D1167" t="str">
        <f>IFERROR(VLOOKUP(TTrainingSource[[#This Row],[Employee_ID]],THrList[],4,FALSE),"")</f>
        <v>Ngozi</v>
      </c>
      <c r="E1167" t="str">
        <f>IFERROR(VLOOKUP(TTrainingSource[[#This Row],[Employee_ID]],THrList[],10,FALSE),"")</f>
        <v>Customer Support</v>
      </c>
      <c r="F1167" t="str">
        <f>TRIM(PROPER(TTrainingSource[[#This Row],[Training_Status2]]))</f>
        <v>Planned</v>
      </c>
      <c r="G1167" t="s">
        <v>19</v>
      </c>
      <c r="H1167" t="str">
        <f>TRIM(PROPER(TTrainingSource[[#This Row],[Training_Title2]]))</f>
        <v>Sql For Data Analytics</v>
      </c>
      <c r="I1167" t="s">
        <v>26</v>
      </c>
      <c r="J1167" s="1">
        <v>44844</v>
      </c>
      <c r="K1167" t="s">
        <v>15</v>
      </c>
      <c r="L1167" s="7">
        <v>8</v>
      </c>
      <c r="M1167">
        <f>ROUND(TTrainingSource[[#This Row],[Satisfaction_Score2]],0)</f>
        <v>4</v>
      </c>
      <c r="N1167">
        <v>4.0999999999999996</v>
      </c>
    </row>
    <row r="1168" spans="1:14" x14ac:dyDescent="0.3">
      <c r="A1168" t="s">
        <v>280</v>
      </c>
      <c r="B1168" t="str">
        <f>TRIM(TTrainingSource[[#This Row],[EMPloyee_ID2]])</f>
        <v>EMP10579</v>
      </c>
      <c r="C1168" t="str">
        <f>IFERROR(VLOOKUP(TTrainingSource[[#This Row],[Employee_ID]],THrList[],3,FALSE),"")</f>
        <v>LOPEZ</v>
      </c>
      <c r="D1168" t="str">
        <f>IFERROR(VLOOKUP(TTrainingSource[[#This Row],[Employee_ID]],THrList[],4,FALSE),"")</f>
        <v>Ngozi</v>
      </c>
      <c r="E1168" t="str">
        <f>IFERROR(VLOOKUP(TTrainingSource[[#This Row],[Employee_ID]],THrList[],10,FALSE),"")</f>
        <v>Customer Support</v>
      </c>
      <c r="F1168" t="str">
        <f>TRIM(PROPER(TTrainingSource[[#This Row],[Training_Status2]]))</f>
        <v>Completed</v>
      </c>
      <c r="G1168" t="s">
        <v>17</v>
      </c>
      <c r="H1168" t="str">
        <f>TRIM(PROPER(TTrainingSource[[#This Row],[Training_Title2]]))</f>
        <v>Introduction To Python For Data</v>
      </c>
      <c r="I1168" t="s">
        <v>62</v>
      </c>
      <c r="J1168" s="1">
        <v>44684</v>
      </c>
      <c r="K1168" t="s">
        <v>29</v>
      </c>
      <c r="L1168" s="7">
        <v>16</v>
      </c>
      <c r="M1168">
        <f>ROUND(TTrainingSource[[#This Row],[Satisfaction_Score2]],0)</f>
        <v>3</v>
      </c>
      <c r="N1168">
        <v>2.6</v>
      </c>
    </row>
    <row r="1169" spans="1:14" x14ac:dyDescent="0.3">
      <c r="A1169" t="s">
        <v>527</v>
      </c>
      <c r="B1169" t="str">
        <f>TRIM(TTrainingSource[[#This Row],[EMPloyee_ID2]])</f>
        <v>EMP10581</v>
      </c>
      <c r="C1169" t="str">
        <f>IFERROR(VLOOKUP(TTrainingSource[[#This Row],[Employee_ID]],THrList[],3,FALSE),"")</f>
        <v>SOW</v>
      </c>
      <c r="D1169" t="str">
        <f>IFERROR(VLOOKUP(TTrainingSource[[#This Row],[Employee_ID]],THrList[],4,FALSE),"")</f>
        <v>Sophia</v>
      </c>
      <c r="E1169" t="str">
        <f>IFERROR(VLOOKUP(TTrainingSource[[#This Row],[Employee_ID]],THrList[],10,FALSE),"")</f>
        <v>Operations</v>
      </c>
      <c r="F1169" t="str">
        <f>TRIM(PROPER(TTrainingSource[[#This Row],[Training_Status2]]))</f>
        <v>Completed</v>
      </c>
      <c r="G1169" t="s">
        <v>17</v>
      </c>
      <c r="H1169" t="str">
        <f>TRIM(PROPER(TTrainingSource[[#This Row],[Training_Title2]]))</f>
        <v>Customer Data Analysis</v>
      </c>
      <c r="I1169" t="s">
        <v>31</v>
      </c>
      <c r="J1169" s="1">
        <v>45166</v>
      </c>
      <c r="K1169" t="s">
        <v>98</v>
      </c>
      <c r="L1169" s="7">
        <v>24</v>
      </c>
      <c r="M1169">
        <f>ROUND(TTrainingSource[[#This Row],[Satisfaction_Score2]],0)</f>
        <v>3</v>
      </c>
      <c r="N1169">
        <v>3.3</v>
      </c>
    </row>
    <row r="1170" spans="1:14" x14ac:dyDescent="0.3">
      <c r="A1170" t="s">
        <v>527</v>
      </c>
      <c r="B1170" t="str">
        <f>TRIM(TTrainingSource[[#This Row],[EMPloyee_ID2]])</f>
        <v>EMP10581</v>
      </c>
      <c r="C1170" t="str">
        <f>IFERROR(VLOOKUP(TTrainingSource[[#This Row],[Employee_ID]],THrList[],3,FALSE),"")</f>
        <v>SOW</v>
      </c>
      <c r="D1170" t="str">
        <f>IFERROR(VLOOKUP(TTrainingSource[[#This Row],[Employee_ID]],THrList[],4,FALSE),"")</f>
        <v>Sophia</v>
      </c>
      <c r="E1170" t="str">
        <f>IFERROR(VLOOKUP(TTrainingSource[[#This Row],[Employee_ID]],THrList[],10,FALSE),"")</f>
        <v>Operations</v>
      </c>
      <c r="F1170" t="str">
        <f>TRIM(PROPER(TTrainingSource[[#This Row],[Training_Status2]]))</f>
        <v>Completed</v>
      </c>
      <c r="G1170" t="s">
        <v>17</v>
      </c>
      <c r="H1170" t="str">
        <f>TRIM(PROPER(TTrainingSource[[#This Row],[Training_Title2]]))</f>
        <v>Advanced Excel For Business</v>
      </c>
      <c r="I1170" t="s">
        <v>52</v>
      </c>
      <c r="J1170" s="1">
        <v>45393</v>
      </c>
      <c r="K1170" t="s">
        <v>32</v>
      </c>
      <c r="L1170" s="7">
        <v>40</v>
      </c>
      <c r="M1170">
        <f>ROUND(TTrainingSource[[#This Row],[Satisfaction_Score2]],0)</f>
        <v>5</v>
      </c>
      <c r="N1170">
        <v>4.5</v>
      </c>
    </row>
    <row r="1171" spans="1:14" x14ac:dyDescent="0.3">
      <c r="A1171" t="s">
        <v>77</v>
      </c>
      <c r="B1171" t="str">
        <f>TRIM(TTrainingSource[[#This Row],[EMPloyee_ID2]])</f>
        <v>EMP10582</v>
      </c>
      <c r="C1171" t="str">
        <f>IFERROR(VLOOKUP(TTrainingSource[[#This Row],[Employee_ID]],THrList[],3,FALSE),"")</f>
        <v>DAVIS</v>
      </c>
      <c r="D1171" t="str">
        <f>IFERROR(VLOOKUP(TTrainingSource[[#This Row],[Employee_ID]],THrList[],4,FALSE),"")</f>
        <v>Emily</v>
      </c>
      <c r="E1171" t="str">
        <f>IFERROR(VLOOKUP(TTrainingSource[[#This Row],[Employee_ID]],THrList[],10,FALSE),"")</f>
        <v>Procurement</v>
      </c>
      <c r="F1171" t="str">
        <f>TRIM(PROPER(TTrainingSource[[#This Row],[Training_Status2]]))</f>
        <v>Planned</v>
      </c>
      <c r="G1171" t="s">
        <v>19</v>
      </c>
      <c r="H1171" t="str">
        <f>TRIM(PROPER(TTrainingSource[[#This Row],[Training_Title2]]))</f>
        <v>Introduction To Python For Data</v>
      </c>
      <c r="I1171" t="s">
        <v>62</v>
      </c>
      <c r="J1171" s="1">
        <v>45504</v>
      </c>
      <c r="K1171" t="s">
        <v>44</v>
      </c>
      <c r="L1171" s="7">
        <v>4</v>
      </c>
      <c r="M1171">
        <f>ROUND(TTrainingSource[[#This Row],[Satisfaction_Score2]],0)</f>
        <v>4</v>
      </c>
      <c r="N1171">
        <v>3.5</v>
      </c>
    </row>
    <row r="1172" spans="1:14" x14ac:dyDescent="0.3">
      <c r="A1172" t="s">
        <v>77</v>
      </c>
      <c r="B1172" t="str">
        <f>TRIM(TTrainingSource[[#This Row],[EMPloyee_ID2]])</f>
        <v>EMP10582</v>
      </c>
      <c r="C1172" t="str">
        <f>IFERROR(VLOOKUP(TTrainingSource[[#This Row],[Employee_ID]],THrList[],3,FALSE),"")</f>
        <v>DAVIS</v>
      </c>
      <c r="D1172" t="str">
        <f>IFERROR(VLOOKUP(TTrainingSource[[#This Row],[Employee_ID]],THrList[],4,FALSE),"")</f>
        <v>Emily</v>
      </c>
      <c r="E1172" t="str">
        <f>IFERROR(VLOOKUP(TTrainingSource[[#This Row],[Employee_ID]],THrList[],10,FALSE),"")</f>
        <v>Procurement</v>
      </c>
      <c r="F1172" t="str">
        <f>TRIM(PROPER(TTrainingSource[[#This Row],[Training_Status2]]))</f>
        <v>Completed</v>
      </c>
      <c r="G1172" t="s">
        <v>17</v>
      </c>
      <c r="H1172" t="str">
        <f>TRIM(PROPER(TTrainingSource[[#This Row],[Training_Title2]]))</f>
        <v>Introduction To Python For Data</v>
      </c>
      <c r="I1172" t="s">
        <v>62</v>
      </c>
      <c r="J1172" s="1">
        <v>45098</v>
      </c>
      <c r="K1172" t="s">
        <v>46</v>
      </c>
      <c r="L1172" s="7">
        <v>20</v>
      </c>
      <c r="M1172">
        <f>ROUND(TTrainingSource[[#This Row],[Satisfaction_Score2]],0)</f>
        <v>3</v>
      </c>
      <c r="N1172">
        <v>2.7</v>
      </c>
    </row>
    <row r="1173" spans="1:14" x14ac:dyDescent="0.3">
      <c r="A1173" t="s">
        <v>77</v>
      </c>
      <c r="B1173" t="str">
        <f>TRIM(TTrainingSource[[#This Row],[EMPloyee_ID2]])</f>
        <v>EMP10582</v>
      </c>
      <c r="C1173" t="str">
        <f>IFERROR(VLOOKUP(TTrainingSource[[#This Row],[Employee_ID]],THrList[],3,FALSE),"")</f>
        <v>DAVIS</v>
      </c>
      <c r="D1173" t="str">
        <f>IFERROR(VLOOKUP(TTrainingSource[[#This Row],[Employee_ID]],THrList[],4,FALSE),"")</f>
        <v>Emily</v>
      </c>
      <c r="E1173" t="str">
        <f>IFERROR(VLOOKUP(TTrainingSource[[#This Row],[Employee_ID]],THrList[],10,FALSE),"")</f>
        <v>Procurement</v>
      </c>
      <c r="F1173" t="str">
        <f>TRIM(PROPER(TTrainingSource[[#This Row],[Training_Status2]]))</f>
        <v>Completed</v>
      </c>
      <c r="G1173" t="s">
        <v>17</v>
      </c>
      <c r="H1173" t="str">
        <f>TRIM(PROPER(TTrainingSource[[#This Row],[Training_Title2]]))</f>
        <v>Customer Data Analysis</v>
      </c>
      <c r="I1173" t="s">
        <v>31</v>
      </c>
      <c r="J1173" s="1">
        <v>44724</v>
      </c>
      <c r="K1173" t="s">
        <v>42</v>
      </c>
      <c r="L1173" s="7">
        <v>24</v>
      </c>
      <c r="M1173">
        <f>ROUND(TTrainingSource[[#This Row],[Satisfaction_Score2]],0)</f>
        <v>3</v>
      </c>
      <c r="N1173">
        <v>2.7</v>
      </c>
    </row>
    <row r="1174" spans="1:14" x14ac:dyDescent="0.3">
      <c r="A1174" t="s">
        <v>77</v>
      </c>
      <c r="B1174" t="str">
        <f>TRIM(TTrainingSource[[#This Row],[EMPloyee_ID2]])</f>
        <v>EMP10582</v>
      </c>
      <c r="C1174" t="str">
        <f>IFERROR(VLOOKUP(TTrainingSource[[#This Row],[Employee_ID]],THrList[],3,FALSE),"")</f>
        <v>DAVIS</v>
      </c>
      <c r="D1174" t="str">
        <f>IFERROR(VLOOKUP(TTrainingSource[[#This Row],[Employee_ID]],THrList[],4,FALSE),"")</f>
        <v>Emily</v>
      </c>
      <c r="E1174" t="str">
        <f>IFERROR(VLOOKUP(TTrainingSource[[#This Row],[Employee_ID]],THrList[],10,FALSE),"")</f>
        <v>Procurement</v>
      </c>
      <c r="F1174" t="str">
        <f>TRIM(PROPER(TTrainingSource[[#This Row],[Training_Status2]]))</f>
        <v>Completed</v>
      </c>
      <c r="G1174" t="s">
        <v>35</v>
      </c>
      <c r="H1174" t="str">
        <f>TRIM(PROPER(TTrainingSource[[#This Row],[Training_Title2]]))</f>
        <v>Sql For Data Analytics</v>
      </c>
      <c r="I1174" t="s">
        <v>26</v>
      </c>
      <c r="J1174" s="1">
        <v>44714</v>
      </c>
      <c r="K1174" t="s">
        <v>42</v>
      </c>
      <c r="L1174" s="7">
        <v>32</v>
      </c>
      <c r="M1174">
        <f>ROUND(TTrainingSource[[#This Row],[Satisfaction_Score2]],0)</f>
        <v>4</v>
      </c>
      <c r="N1174">
        <v>3.5</v>
      </c>
    </row>
    <row r="1175" spans="1:14" x14ac:dyDescent="0.3">
      <c r="A1175" t="s">
        <v>386</v>
      </c>
      <c r="B1175" t="str">
        <f>TRIM(TTrainingSource[[#This Row],[EMPloyee_ID2]])</f>
        <v>EMP10583</v>
      </c>
      <c r="C1175" t="str">
        <f>IFERROR(VLOOKUP(TTrainingSource[[#This Row],[Employee_ID]],THrList[],3,FALSE),"")</f>
        <v>ALI</v>
      </c>
      <c r="D1175" t="str">
        <f>IFERROR(VLOOKUP(TTrainingSource[[#This Row],[Employee_ID]],THrList[],4,FALSE),"")</f>
        <v>Abigail</v>
      </c>
      <c r="E1175" t="str">
        <f>IFERROR(VLOOKUP(TTrainingSource[[#This Row],[Employee_ID]],THrList[],10,FALSE),"")</f>
        <v>Operations</v>
      </c>
      <c r="F1175" t="str">
        <f>TRIM(PROPER(TTrainingSource[[#This Row],[Training_Status2]]))</f>
        <v>In Progress</v>
      </c>
      <c r="G1175" t="s">
        <v>67</v>
      </c>
      <c r="H1175" t="str">
        <f>TRIM(PROPER(TTrainingSource[[#This Row],[Training_Title2]]))</f>
        <v>Business Intelligence With Tableau</v>
      </c>
      <c r="I1175" t="s">
        <v>22</v>
      </c>
      <c r="J1175" s="1">
        <v>45573</v>
      </c>
      <c r="K1175" t="s">
        <v>98</v>
      </c>
      <c r="L1175" s="7">
        <v>12</v>
      </c>
      <c r="M1175">
        <f>ROUND(TTrainingSource[[#This Row],[Satisfaction_Score2]],0)</f>
        <v>3</v>
      </c>
      <c r="N1175">
        <v>2.6</v>
      </c>
    </row>
    <row r="1176" spans="1:14" x14ac:dyDescent="0.3">
      <c r="A1176" t="s">
        <v>386</v>
      </c>
      <c r="B1176" t="str">
        <f>TRIM(TTrainingSource[[#This Row],[EMPloyee_ID2]])</f>
        <v>EMP10583</v>
      </c>
      <c r="C1176" t="str">
        <f>IFERROR(VLOOKUP(TTrainingSource[[#This Row],[Employee_ID]],THrList[],3,FALSE),"")</f>
        <v>ALI</v>
      </c>
      <c r="D1176" t="str">
        <f>IFERROR(VLOOKUP(TTrainingSource[[#This Row],[Employee_ID]],THrList[],4,FALSE),"")</f>
        <v>Abigail</v>
      </c>
      <c r="E1176" t="str">
        <f>IFERROR(VLOOKUP(TTrainingSource[[#This Row],[Employee_ID]],THrList[],10,FALSE),"")</f>
        <v>Operations</v>
      </c>
      <c r="F1176" t="str">
        <f>TRIM(PROPER(TTrainingSource[[#This Row],[Training_Status2]]))</f>
        <v>Completed</v>
      </c>
      <c r="G1176" t="s">
        <v>17</v>
      </c>
      <c r="H1176" t="str">
        <f>TRIM(PROPER(TTrainingSource[[#This Row],[Training_Title2]]))</f>
        <v>Advanced Excel For Business</v>
      </c>
      <c r="I1176" t="s">
        <v>52</v>
      </c>
      <c r="J1176" s="1">
        <v>45649</v>
      </c>
      <c r="K1176" t="s">
        <v>32</v>
      </c>
      <c r="L1176" s="7">
        <v>20</v>
      </c>
      <c r="M1176">
        <f>ROUND(TTrainingSource[[#This Row],[Satisfaction_Score2]],0)</f>
        <v>4</v>
      </c>
      <c r="N1176">
        <v>4</v>
      </c>
    </row>
    <row r="1177" spans="1:14" x14ac:dyDescent="0.3">
      <c r="A1177" t="s">
        <v>574</v>
      </c>
      <c r="B1177" t="str">
        <f>TRIM(TTrainingSource[[#This Row],[EMPloyee_ID2]])</f>
        <v>EMP10584</v>
      </c>
      <c r="C1177" t="str">
        <f>IFERROR(VLOOKUP(TTrainingSource[[#This Row],[Employee_ID]],THrList[],3,FALSE),"")</f>
        <v>TAYLOR</v>
      </c>
      <c r="D1177" t="str">
        <f>IFERROR(VLOOKUP(TTrainingSource[[#This Row],[Employee_ID]],THrList[],4,FALSE),"")</f>
        <v>Hugo</v>
      </c>
      <c r="E1177" t="str">
        <f>IFERROR(VLOOKUP(TTrainingSource[[#This Row],[Employee_ID]],THrList[],10,FALSE),"")</f>
        <v>Procurement</v>
      </c>
      <c r="F1177" t="str">
        <f>TRIM(PROPER(TTrainingSource[[#This Row],[Training_Status2]]))</f>
        <v>Completed</v>
      </c>
      <c r="G1177" t="s">
        <v>17</v>
      </c>
      <c r="H1177" t="str">
        <f>TRIM(PROPER(TTrainingSource[[#This Row],[Training_Title2]]))</f>
        <v>Financial Modeling Basics</v>
      </c>
      <c r="I1177" t="s">
        <v>38</v>
      </c>
      <c r="J1177" s="1">
        <v>45691</v>
      </c>
      <c r="K1177" t="s">
        <v>42</v>
      </c>
      <c r="L1177" s="7">
        <v>4</v>
      </c>
      <c r="M1177">
        <f>ROUND(TTrainingSource[[#This Row],[Satisfaction_Score2]],0)</f>
        <v>4</v>
      </c>
      <c r="N1177">
        <v>3.8</v>
      </c>
    </row>
    <row r="1178" spans="1:14" x14ac:dyDescent="0.3">
      <c r="A1178" t="s">
        <v>574</v>
      </c>
      <c r="B1178" t="str">
        <f>TRIM(TTrainingSource[[#This Row],[EMPloyee_ID2]])</f>
        <v>EMP10584</v>
      </c>
      <c r="C1178" t="str">
        <f>IFERROR(VLOOKUP(TTrainingSource[[#This Row],[Employee_ID]],THrList[],3,FALSE),"")</f>
        <v>TAYLOR</v>
      </c>
      <c r="D1178" t="str">
        <f>IFERROR(VLOOKUP(TTrainingSource[[#This Row],[Employee_ID]],THrList[],4,FALSE),"")</f>
        <v>Hugo</v>
      </c>
      <c r="E1178" t="str">
        <f>IFERROR(VLOOKUP(TTrainingSource[[#This Row],[Employee_ID]],THrList[],10,FALSE),"")</f>
        <v>Procurement</v>
      </c>
      <c r="F1178" t="str">
        <f>TRIM(PROPER(TTrainingSource[[#This Row],[Training_Status2]]))</f>
        <v>Completed</v>
      </c>
      <c r="G1178" t="s">
        <v>17</v>
      </c>
      <c r="H1178" t="str">
        <f>TRIM(PROPER(TTrainingSource[[#This Row],[Training_Title2]]))</f>
        <v>Project Management Essentials</v>
      </c>
      <c r="I1178" t="s">
        <v>14</v>
      </c>
      <c r="J1178" s="1">
        <v>44704</v>
      </c>
      <c r="K1178" t="s">
        <v>98</v>
      </c>
      <c r="L1178" s="7">
        <v>16</v>
      </c>
      <c r="M1178">
        <f>ROUND(TTrainingSource[[#This Row],[Satisfaction_Score2]],0)</f>
        <v>3</v>
      </c>
      <c r="N1178">
        <v>2.9</v>
      </c>
    </row>
    <row r="1179" spans="1:14" x14ac:dyDescent="0.3">
      <c r="A1179" t="s">
        <v>99</v>
      </c>
      <c r="B1179" t="str">
        <f>TRIM(TTrainingSource[[#This Row],[EMPloyee_ID2]])</f>
        <v>EMP10585</v>
      </c>
      <c r="C1179" t="str">
        <f>IFERROR(VLOOKUP(TTrainingSource[[#This Row],[Employee_ID]],THrList[],3,FALSE),"")</f>
        <v>MENSAH</v>
      </c>
      <c r="D1179" t="str">
        <f>IFERROR(VLOOKUP(TTrainingSource[[#This Row],[Employee_ID]],THrList[],4,FALSE),"")</f>
        <v>Emma</v>
      </c>
      <c r="E1179" t="str">
        <f>IFERROR(VLOOKUP(TTrainingSource[[#This Row],[Employee_ID]],THrList[],10,FALSE),"")</f>
        <v>Compliance</v>
      </c>
      <c r="F1179" t="str">
        <f>TRIM(PROPER(TTrainingSource[[#This Row],[Training_Status2]]))</f>
        <v>Planned</v>
      </c>
      <c r="G1179" t="s">
        <v>10</v>
      </c>
      <c r="H1179" t="str">
        <f>TRIM(PROPER(TTrainingSource[[#This Row],[Training_Title2]]))</f>
        <v>Data Analysis Fundamentals</v>
      </c>
      <c r="I1179" t="s">
        <v>9</v>
      </c>
      <c r="J1179" s="1">
        <v>44636</v>
      </c>
      <c r="K1179" t="s">
        <v>98</v>
      </c>
      <c r="L1179" s="7">
        <v>32</v>
      </c>
      <c r="M1179">
        <f>ROUND(TTrainingSource[[#This Row],[Satisfaction_Score2]],0)</f>
        <v>3</v>
      </c>
      <c r="N1179">
        <v>2.7</v>
      </c>
    </row>
    <row r="1180" spans="1:14" x14ac:dyDescent="0.3">
      <c r="A1180" t="s">
        <v>99</v>
      </c>
      <c r="B1180" t="str">
        <f>TRIM(TTrainingSource[[#This Row],[EMPloyee_ID2]])</f>
        <v>EMP10585</v>
      </c>
      <c r="C1180" t="str">
        <f>IFERROR(VLOOKUP(TTrainingSource[[#This Row],[Employee_ID]],THrList[],3,FALSE),"")</f>
        <v>MENSAH</v>
      </c>
      <c r="D1180" t="str">
        <f>IFERROR(VLOOKUP(TTrainingSource[[#This Row],[Employee_ID]],THrList[],4,FALSE),"")</f>
        <v>Emma</v>
      </c>
      <c r="E1180" t="str">
        <f>IFERROR(VLOOKUP(TTrainingSource[[#This Row],[Employee_ID]],THrList[],10,FALSE),"")</f>
        <v>Compliance</v>
      </c>
      <c r="F1180" t="str">
        <f>TRIM(PROPER(TTrainingSource[[#This Row],[Training_Status2]]))</f>
        <v>Completed</v>
      </c>
      <c r="G1180" t="s">
        <v>17</v>
      </c>
      <c r="H1180" t="str">
        <f>TRIM(PROPER(TTrainingSource[[#This Row],[Training_Title2]]))</f>
        <v>Power Bi Reporting</v>
      </c>
      <c r="I1180" t="s">
        <v>332</v>
      </c>
      <c r="J1180" s="1">
        <v>45557</v>
      </c>
      <c r="K1180" t="s">
        <v>39</v>
      </c>
      <c r="L1180" s="7">
        <v>40</v>
      </c>
      <c r="M1180">
        <f>ROUND(TTrainingSource[[#This Row],[Satisfaction_Score2]],0)</f>
        <v>4</v>
      </c>
      <c r="N1180">
        <v>3.9</v>
      </c>
    </row>
    <row r="1181" spans="1:14" x14ac:dyDescent="0.3">
      <c r="A1181" t="s">
        <v>133</v>
      </c>
      <c r="B1181" t="str">
        <f>TRIM(TTrainingSource[[#This Row],[EMPloyee_ID2]])</f>
        <v>EMP10586</v>
      </c>
      <c r="C1181" t="str">
        <f>IFERROR(VLOOKUP(TTrainingSource[[#This Row],[Employee_ID]],THrList[],3,FALSE),"")</f>
        <v>GONZALEZ</v>
      </c>
      <c r="D1181" t="str">
        <f>IFERROR(VLOOKUP(TTrainingSource[[#This Row],[Employee_ID]],THrList[],4,FALSE),"")</f>
        <v>Yusuf</v>
      </c>
      <c r="E1181" t="str">
        <f>IFERROR(VLOOKUP(TTrainingSource[[#This Row],[Employee_ID]],THrList[],10,FALSE),"")</f>
        <v>Finance</v>
      </c>
      <c r="F1181" t="str">
        <f>TRIM(PROPER(TTrainingSource[[#This Row],[Training_Status2]]))</f>
        <v>Completed</v>
      </c>
      <c r="G1181" t="s">
        <v>69</v>
      </c>
      <c r="H1181" t="str">
        <f>TRIM(PROPER(TTrainingSource[[#This Row],[Training_Title2]]))</f>
        <v>Data Visualization Best Practices</v>
      </c>
      <c r="I1181" t="s">
        <v>20</v>
      </c>
      <c r="J1181" s="1">
        <v>45655</v>
      </c>
      <c r="K1181" t="s">
        <v>132</v>
      </c>
      <c r="L1181" s="7">
        <v>20</v>
      </c>
      <c r="M1181">
        <f>ROUND(TTrainingSource[[#This Row],[Satisfaction_Score2]],0)</f>
        <v>5</v>
      </c>
      <c r="N1181">
        <v>4.7</v>
      </c>
    </row>
    <row r="1182" spans="1:14" x14ac:dyDescent="0.3">
      <c r="A1182" t="s">
        <v>599</v>
      </c>
      <c r="B1182" t="str">
        <f>TRIM(TTrainingSource[[#This Row],[EMPloyee_ID2]])</f>
        <v>EMP10586</v>
      </c>
      <c r="C1182" t="str">
        <f>IFERROR(VLOOKUP(TTrainingSource[[#This Row],[Employee_ID]],THrList[],3,FALSE),"")</f>
        <v>GONZALEZ</v>
      </c>
      <c r="D1182" t="str">
        <f>IFERROR(VLOOKUP(TTrainingSource[[#This Row],[Employee_ID]],THrList[],4,FALSE),"")</f>
        <v>Yusuf</v>
      </c>
      <c r="E1182" t="str">
        <f>IFERROR(VLOOKUP(TTrainingSource[[#This Row],[Employee_ID]],THrList[],10,FALSE),"")</f>
        <v>Finance</v>
      </c>
      <c r="F1182" t="str">
        <f>TRIM(PROPER(TTrainingSource[[#This Row],[Training_Status2]]))</f>
        <v>In Progress</v>
      </c>
      <c r="G1182" t="s">
        <v>8</v>
      </c>
      <c r="H1182" t="str">
        <f>TRIM(PROPER(TTrainingSource[[#This Row],[Training_Title2]]))</f>
        <v>Business Intelligence With Tableau</v>
      </c>
      <c r="I1182" t="s">
        <v>22</v>
      </c>
      <c r="J1182" s="1">
        <v>44803</v>
      </c>
      <c r="K1182" t="s">
        <v>71</v>
      </c>
      <c r="L1182" s="7">
        <v>32</v>
      </c>
      <c r="M1182">
        <f>ROUND(TTrainingSource[[#This Row],[Satisfaction_Score2]],0)</f>
        <v>4</v>
      </c>
      <c r="N1182">
        <v>4.0999999999999996</v>
      </c>
    </row>
    <row r="1183" spans="1:14" x14ac:dyDescent="0.3">
      <c r="A1183" t="s">
        <v>133</v>
      </c>
      <c r="B1183" t="str">
        <f>TRIM(TTrainingSource[[#This Row],[EMPloyee_ID2]])</f>
        <v>EMP10586</v>
      </c>
      <c r="C1183" t="str">
        <f>IFERROR(VLOOKUP(TTrainingSource[[#This Row],[Employee_ID]],THrList[],3,FALSE),"")</f>
        <v>GONZALEZ</v>
      </c>
      <c r="D1183" t="str">
        <f>IFERROR(VLOOKUP(TTrainingSource[[#This Row],[Employee_ID]],THrList[],4,FALSE),"")</f>
        <v>Yusuf</v>
      </c>
      <c r="E1183" t="str">
        <f>IFERROR(VLOOKUP(TTrainingSource[[#This Row],[Employee_ID]],THrList[],10,FALSE),"")</f>
        <v>Finance</v>
      </c>
      <c r="F1183" t="str">
        <f>TRIM(PROPER(TTrainingSource[[#This Row],[Training_Status2]]))</f>
        <v>Completed</v>
      </c>
      <c r="G1183" t="s">
        <v>17</v>
      </c>
      <c r="H1183" t="str">
        <f>TRIM(PROPER(TTrainingSource[[#This Row],[Training_Title2]]))</f>
        <v>Data Visualization Best Practices</v>
      </c>
      <c r="I1183" t="s">
        <v>20</v>
      </c>
      <c r="J1183" s="1">
        <v>45555</v>
      </c>
      <c r="K1183" t="s">
        <v>39</v>
      </c>
      <c r="L1183" s="7">
        <v>8</v>
      </c>
      <c r="M1183">
        <f>ROUND(TTrainingSource[[#This Row],[Satisfaction_Score2]],0)</f>
        <v>3</v>
      </c>
      <c r="N1183">
        <v>3.2</v>
      </c>
    </row>
    <row r="1184" spans="1:14" x14ac:dyDescent="0.3">
      <c r="A1184" t="s">
        <v>336</v>
      </c>
      <c r="B1184" t="str">
        <f>TRIM(TTrainingSource[[#This Row],[EMPloyee_ID2]])</f>
        <v>EMP10587</v>
      </c>
      <c r="C1184" t="str">
        <f>IFERROR(VLOOKUP(TTrainingSource[[#This Row],[Employee_ID]],THrList[],3,FALSE),"")</f>
        <v>ROUSSEAU</v>
      </c>
      <c r="D1184" t="str">
        <f>IFERROR(VLOOKUP(TTrainingSource[[#This Row],[Employee_ID]],THrList[],4,FALSE),"")</f>
        <v>Ava</v>
      </c>
      <c r="E1184" t="str">
        <f>IFERROR(VLOOKUP(TTrainingSource[[#This Row],[Employee_ID]],THrList[],10,FALSE),"")</f>
        <v>Compliance</v>
      </c>
      <c r="F1184" t="str">
        <f>TRIM(PROPER(TTrainingSource[[#This Row],[Training_Status2]]))</f>
        <v>Planned</v>
      </c>
      <c r="G1184" t="s">
        <v>19</v>
      </c>
      <c r="H1184" t="str">
        <f>TRIM(PROPER(TTrainingSource[[#This Row],[Training_Title2]]))</f>
        <v>Financial Modeling Basics</v>
      </c>
      <c r="I1184" t="s">
        <v>164</v>
      </c>
      <c r="J1184" s="1">
        <v>45646</v>
      </c>
      <c r="K1184" t="s">
        <v>98</v>
      </c>
      <c r="L1184" s="7">
        <v>4</v>
      </c>
      <c r="M1184">
        <f>ROUND(TTrainingSource[[#This Row],[Satisfaction_Score2]],0)</f>
        <v>4</v>
      </c>
      <c r="N1184">
        <v>4.4000000000000004</v>
      </c>
    </row>
    <row r="1185" spans="1:14" x14ac:dyDescent="0.3">
      <c r="A1185" t="s">
        <v>753</v>
      </c>
      <c r="B1185" t="str">
        <f>TRIM(TTrainingSource[[#This Row],[EMPloyee_ID2]])</f>
        <v>EMP10587</v>
      </c>
      <c r="C1185" t="str">
        <f>IFERROR(VLOOKUP(TTrainingSource[[#This Row],[Employee_ID]],THrList[],3,FALSE),"")</f>
        <v>ROUSSEAU</v>
      </c>
      <c r="D1185" t="str">
        <f>IFERROR(VLOOKUP(TTrainingSource[[#This Row],[Employee_ID]],THrList[],4,FALSE),"")</f>
        <v>Ava</v>
      </c>
      <c r="E1185" t="str">
        <f>IFERROR(VLOOKUP(TTrainingSource[[#This Row],[Employee_ID]],THrList[],10,FALSE),"")</f>
        <v>Compliance</v>
      </c>
      <c r="F1185" t="str">
        <f>TRIM(PROPER(TTrainingSource[[#This Row],[Training_Status2]]))</f>
        <v>Completed</v>
      </c>
      <c r="G1185" t="s">
        <v>17</v>
      </c>
      <c r="H1185" t="str">
        <f>TRIM(PROPER(TTrainingSource[[#This Row],[Training_Title2]]))</f>
        <v>Data Analysis Fundamentals</v>
      </c>
      <c r="I1185" t="s">
        <v>461</v>
      </c>
      <c r="J1185" s="1">
        <v>44710</v>
      </c>
      <c r="K1185" t="s">
        <v>46</v>
      </c>
      <c r="L1185" s="7">
        <v>12</v>
      </c>
      <c r="M1185">
        <f>ROUND(TTrainingSource[[#This Row],[Satisfaction_Score2]],0)</f>
        <v>3</v>
      </c>
      <c r="N1185">
        <v>3.4</v>
      </c>
    </row>
    <row r="1186" spans="1:14" x14ac:dyDescent="0.3">
      <c r="A1186" t="s">
        <v>524</v>
      </c>
      <c r="B1186" t="str">
        <f>TRIM(TTrainingSource[[#This Row],[EMPloyee_ID2]])</f>
        <v>EMP10588</v>
      </c>
      <c r="C1186" t="str">
        <f>IFERROR(VLOOKUP(TTrainingSource[[#This Row],[Employee_ID]],THrList[],3,FALSE),"")</f>
        <v>TAYLOR</v>
      </c>
      <c r="D1186" t="str">
        <f>IFERROR(VLOOKUP(TTrainingSource[[#This Row],[Employee_ID]],THrList[],4,FALSE),"")</f>
        <v>Lucas</v>
      </c>
      <c r="E1186" t="str">
        <f>IFERROR(VLOOKUP(TTrainingSource[[#This Row],[Employee_ID]],THrList[],10,FALSE),"")</f>
        <v>Procurement</v>
      </c>
      <c r="F1186" t="str">
        <f>TRIM(PROPER(TTrainingSource[[#This Row],[Training_Status2]]))</f>
        <v>Completed</v>
      </c>
      <c r="G1186" t="s">
        <v>17</v>
      </c>
      <c r="H1186" t="str">
        <f>TRIM(PROPER(TTrainingSource[[#This Row],[Training_Title2]]))</f>
        <v>Data Visualization Best Practices</v>
      </c>
      <c r="I1186" t="s">
        <v>20</v>
      </c>
      <c r="J1186" s="1">
        <v>44832</v>
      </c>
      <c r="K1186" t="s">
        <v>44</v>
      </c>
      <c r="L1186" s="7">
        <v>4</v>
      </c>
      <c r="M1186">
        <f>ROUND(TTrainingSource[[#This Row],[Satisfaction_Score2]],0)</f>
        <v>4</v>
      </c>
      <c r="N1186">
        <v>4.2</v>
      </c>
    </row>
    <row r="1187" spans="1:14" x14ac:dyDescent="0.3">
      <c r="A1187" t="s">
        <v>204</v>
      </c>
      <c r="B1187" t="str">
        <f>TRIM(TTrainingSource[[#This Row],[EMPloyee_ID2]])</f>
        <v>EMP10589</v>
      </c>
      <c r="C1187" t="str">
        <f>IFERROR(VLOOKUP(TTrainingSource[[#This Row],[Employee_ID]],THrList[],3,FALSE),"")</f>
        <v>MARTIN</v>
      </c>
      <c r="D1187" t="str">
        <f>IFERROR(VLOOKUP(TTrainingSource[[#This Row],[Employee_ID]],THrList[],4,FALSE),"")</f>
        <v>Amina</v>
      </c>
      <c r="E1187" t="str">
        <f>IFERROR(VLOOKUP(TTrainingSource[[#This Row],[Employee_ID]],THrList[],10,FALSE),"")</f>
        <v>IT</v>
      </c>
      <c r="F1187" t="str">
        <f>TRIM(PROPER(TTrainingSource[[#This Row],[Training_Status2]]))</f>
        <v>Completed</v>
      </c>
      <c r="G1187" t="s">
        <v>17</v>
      </c>
      <c r="H1187" t="str">
        <f>TRIM(PROPER(TTrainingSource[[#This Row],[Training_Title2]]))</f>
        <v>Introduction To Python For Data</v>
      </c>
      <c r="I1187" t="s">
        <v>62</v>
      </c>
      <c r="J1187" s="1">
        <v>45080</v>
      </c>
      <c r="K1187" t="s">
        <v>32</v>
      </c>
      <c r="L1187" s="7">
        <v>20</v>
      </c>
      <c r="M1187">
        <f>ROUND(TTrainingSource[[#This Row],[Satisfaction_Score2]],0)</f>
        <v>3</v>
      </c>
      <c r="N1187">
        <v>3.2</v>
      </c>
    </row>
    <row r="1188" spans="1:14" x14ac:dyDescent="0.3">
      <c r="A1188" t="s">
        <v>204</v>
      </c>
      <c r="B1188" t="str">
        <f>TRIM(TTrainingSource[[#This Row],[EMPloyee_ID2]])</f>
        <v>EMP10589</v>
      </c>
      <c r="C1188" t="str">
        <f>IFERROR(VLOOKUP(TTrainingSource[[#This Row],[Employee_ID]],THrList[],3,FALSE),"")</f>
        <v>MARTIN</v>
      </c>
      <c r="D1188" t="str">
        <f>IFERROR(VLOOKUP(TTrainingSource[[#This Row],[Employee_ID]],THrList[],4,FALSE),"")</f>
        <v>Amina</v>
      </c>
      <c r="E1188" t="str">
        <f>IFERROR(VLOOKUP(TTrainingSource[[#This Row],[Employee_ID]],THrList[],10,FALSE),"")</f>
        <v>IT</v>
      </c>
      <c r="F1188" t="str">
        <f>TRIM(PROPER(TTrainingSource[[#This Row],[Training_Status2]]))</f>
        <v>Planned</v>
      </c>
      <c r="G1188" t="s">
        <v>128</v>
      </c>
      <c r="H1188" t="str">
        <f>TRIM(PROPER(TTrainingSource[[#This Row],[Training_Title2]]))</f>
        <v>Sql For Data Analytics</v>
      </c>
      <c r="I1188" t="s">
        <v>26</v>
      </c>
      <c r="J1188" s="1">
        <v>45529</v>
      </c>
      <c r="K1188" t="s">
        <v>29</v>
      </c>
      <c r="L1188" s="7">
        <v>6</v>
      </c>
      <c r="M1188">
        <f>ROUND(TTrainingSource[[#This Row],[Satisfaction_Score2]],0)</f>
        <v>4</v>
      </c>
      <c r="N1188">
        <v>4.2</v>
      </c>
    </row>
    <row r="1189" spans="1:14" x14ac:dyDescent="0.3">
      <c r="A1189" t="s">
        <v>204</v>
      </c>
      <c r="B1189" t="str">
        <f>TRIM(TTrainingSource[[#This Row],[EMPloyee_ID2]])</f>
        <v>EMP10589</v>
      </c>
      <c r="C1189" t="str">
        <f>IFERROR(VLOOKUP(TTrainingSource[[#This Row],[Employee_ID]],THrList[],3,FALSE),"")</f>
        <v>MARTIN</v>
      </c>
      <c r="D1189" t="str">
        <f>IFERROR(VLOOKUP(TTrainingSource[[#This Row],[Employee_ID]],THrList[],4,FALSE),"")</f>
        <v>Amina</v>
      </c>
      <c r="E1189" t="str">
        <f>IFERROR(VLOOKUP(TTrainingSource[[#This Row],[Employee_ID]],THrList[],10,FALSE),"")</f>
        <v>IT</v>
      </c>
      <c r="F1189" t="str">
        <f>TRIM(PROPER(TTrainingSource[[#This Row],[Training_Status2]]))</f>
        <v>In Progress</v>
      </c>
      <c r="G1189" t="s">
        <v>8</v>
      </c>
      <c r="H1189" t="str">
        <f>TRIM(PROPER(TTrainingSource[[#This Row],[Training_Title2]]))</f>
        <v>Financial Modeling Basics</v>
      </c>
      <c r="I1189" t="s">
        <v>38</v>
      </c>
      <c r="J1189" s="1">
        <v>44611</v>
      </c>
      <c r="K1189" t="s">
        <v>44</v>
      </c>
      <c r="L1189" s="7">
        <v>20</v>
      </c>
      <c r="M1189">
        <f>ROUND(TTrainingSource[[#This Row],[Satisfaction_Score2]],0)</f>
        <v>4</v>
      </c>
      <c r="N1189">
        <v>4.0999999999999996</v>
      </c>
    </row>
    <row r="1190" spans="1:14" x14ac:dyDescent="0.3">
      <c r="A1190" t="s">
        <v>204</v>
      </c>
      <c r="B1190" t="str">
        <f>TRIM(TTrainingSource[[#This Row],[EMPloyee_ID2]])</f>
        <v>EMP10589</v>
      </c>
      <c r="C1190" t="str">
        <f>IFERROR(VLOOKUP(TTrainingSource[[#This Row],[Employee_ID]],THrList[],3,FALSE),"")</f>
        <v>MARTIN</v>
      </c>
      <c r="D1190" t="str">
        <f>IFERROR(VLOOKUP(TTrainingSource[[#This Row],[Employee_ID]],THrList[],4,FALSE),"")</f>
        <v>Amina</v>
      </c>
      <c r="E1190" t="str">
        <f>IFERROR(VLOOKUP(TTrainingSource[[#This Row],[Employee_ID]],THrList[],10,FALSE),"")</f>
        <v>IT</v>
      </c>
      <c r="F1190" t="str">
        <f>TRIM(PROPER(TTrainingSource[[#This Row],[Training_Status2]]))</f>
        <v>Planned</v>
      </c>
      <c r="G1190" t="s">
        <v>19</v>
      </c>
      <c r="H1190" t="str">
        <f>TRIM(PROPER(TTrainingSource[[#This Row],[Training_Title2]]))</f>
        <v>Power Bi Reporting</v>
      </c>
      <c r="I1190" t="s">
        <v>24</v>
      </c>
      <c r="J1190" s="1">
        <v>45737</v>
      </c>
      <c r="K1190" t="s">
        <v>71</v>
      </c>
      <c r="L1190" s="7">
        <v>40</v>
      </c>
      <c r="M1190">
        <f>ROUND(TTrainingSource[[#This Row],[Satisfaction_Score2]],0)</f>
        <v>5</v>
      </c>
      <c r="N1190">
        <v>4.9000000000000004</v>
      </c>
    </row>
    <row r="1191" spans="1:14" x14ac:dyDescent="0.3">
      <c r="A1191" t="s">
        <v>1044</v>
      </c>
      <c r="B1191" t="str">
        <f>TRIM(TTrainingSource[[#This Row],[EMPloyee_ID2]])</f>
        <v>EMP10591</v>
      </c>
      <c r="C1191" t="str">
        <f>IFERROR(VLOOKUP(TTrainingSource[[#This Row],[Employee_ID]],THrList[],3,FALSE),"")</f>
        <v>ANDERSON</v>
      </c>
      <c r="D1191" t="str">
        <f>IFERROR(VLOOKUP(TTrainingSource[[#This Row],[Employee_ID]],THrList[],4,FALSE),"")</f>
        <v>Liam</v>
      </c>
      <c r="E1191" t="str">
        <f>IFERROR(VLOOKUP(TTrainingSource[[#This Row],[Employee_ID]],THrList[],10,FALSE),"")</f>
        <v>Marketing</v>
      </c>
      <c r="F1191" t="str">
        <f>TRIM(PROPER(TTrainingSource[[#This Row],[Training_Status2]]))</f>
        <v>In Progress</v>
      </c>
      <c r="G1191" t="s">
        <v>8</v>
      </c>
      <c r="H1191" t="str">
        <f>TRIM(PROPER(TTrainingSource[[#This Row],[Training_Title2]]))</f>
        <v>Communication For Analysts</v>
      </c>
      <c r="I1191" t="s">
        <v>119</v>
      </c>
      <c r="J1191" s="1">
        <v>45607</v>
      </c>
      <c r="K1191" t="s">
        <v>98</v>
      </c>
      <c r="L1191" s="7">
        <v>24</v>
      </c>
      <c r="M1191">
        <f>ROUND(TTrainingSource[[#This Row],[Satisfaction_Score2]],0)</f>
        <v>4</v>
      </c>
      <c r="N1191">
        <v>4.3</v>
      </c>
    </row>
    <row r="1192" spans="1:14" x14ac:dyDescent="0.3">
      <c r="A1192" t="s">
        <v>298</v>
      </c>
      <c r="B1192" t="str">
        <f>TRIM(TTrainingSource[[#This Row],[EMPloyee_ID2]])</f>
        <v>EMP10592</v>
      </c>
      <c r="C1192" t="str">
        <f>IFERROR(VLOOKUP(TTrainingSource[[#This Row],[Employee_ID]],THrList[],3,FALSE),"")</f>
        <v>TOURE</v>
      </c>
      <c r="D1192" t="str">
        <f>IFERROR(VLOOKUP(TTrainingSource[[#This Row],[Employee_ID]],THrList[],4,FALSE),"")</f>
        <v>Antoine</v>
      </c>
      <c r="E1192" t="str">
        <f>IFERROR(VLOOKUP(TTrainingSource[[#This Row],[Employee_ID]],THrList[],10,FALSE),"")</f>
        <v>Procurement</v>
      </c>
      <c r="F1192" t="str">
        <f>TRIM(PROPER(TTrainingSource[[#This Row],[Training_Status2]]))</f>
        <v>Completed</v>
      </c>
      <c r="G1192" t="s">
        <v>17</v>
      </c>
      <c r="H1192" t="str">
        <f>TRIM(PROPER(TTrainingSource[[#This Row],[Training_Title2]]))</f>
        <v>Digital Marketing Strategy</v>
      </c>
      <c r="I1192" t="s">
        <v>299</v>
      </c>
      <c r="J1192" s="1">
        <v>44984</v>
      </c>
      <c r="K1192" t="s">
        <v>44</v>
      </c>
      <c r="L1192" s="7">
        <v>12</v>
      </c>
      <c r="M1192">
        <f>ROUND(TTrainingSource[[#This Row],[Satisfaction_Score2]],0)</f>
        <v>4</v>
      </c>
      <c r="N1192">
        <v>4.0999999999999996</v>
      </c>
    </row>
    <row r="1193" spans="1:14" x14ac:dyDescent="0.3">
      <c r="A1193" t="s">
        <v>298</v>
      </c>
      <c r="B1193" t="str">
        <f>TRIM(TTrainingSource[[#This Row],[EMPloyee_ID2]])</f>
        <v>EMP10592</v>
      </c>
      <c r="C1193" t="str">
        <f>IFERROR(VLOOKUP(TTrainingSource[[#This Row],[Employee_ID]],THrList[],3,FALSE),"")</f>
        <v>TOURE</v>
      </c>
      <c r="D1193" t="str">
        <f>IFERROR(VLOOKUP(TTrainingSource[[#This Row],[Employee_ID]],THrList[],4,FALSE),"")</f>
        <v>Antoine</v>
      </c>
      <c r="E1193" t="str">
        <f>IFERROR(VLOOKUP(TTrainingSource[[#This Row],[Employee_ID]],THrList[],10,FALSE),"")</f>
        <v>Procurement</v>
      </c>
      <c r="F1193" t="str">
        <f>TRIM(PROPER(TTrainingSource[[#This Row],[Training_Status2]]))</f>
        <v>Planned</v>
      </c>
      <c r="G1193" t="s">
        <v>19</v>
      </c>
      <c r="H1193" t="str">
        <f>TRIM(PROPER(TTrainingSource[[#This Row],[Training_Title2]]))</f>
        <v>Business Intelligence With Tableau</v>
      </c>
      <c r="I1193" t="s">
        <v>22</v>
      </c>
      <c r="J1193" s="1">
        <v>45432</v>
      </c>
      <c r="K1193" t="s">
        <v>42</v>
      </c>
      <c r="L1193" s="7">
        <v>32</v>
      </c>
      <c r="M1193">
        <f>ROUND(TTrainingSource[[#This Row],[Satisfaction_Score2]],0)</f>
        <v>3</v>
      </c>
      <c r="N1193">
        <v>3.2</v>
      </c>
    </row>
    <row r="1194" spans="1:14" x14ac:dyDescent="0.3">
      <c r="A1194" t="s">
        <v>242</v>
      </c>
      <c r="B1194" t="str">
        <f>TRIM(TTrainingSource[[#This Row],[EMPloyee_ID2]])</f>
        <v>EMP10593</v>
      </c>
      <c r="C1194" t="str">
        <f>IFERROR(VLOOKUP(TTrainingSource[[#This Row],[Employee_ID]],THrList[],3,FALSE),"")</f>
        <v>GARCIA</v>
      </c>
      <c r="D1194" t="str">
        <f>IFERROR(VLOOKUP(TTrainingSource[[#This Row],[Employee_ID]],THrList[],4,FALSE),"")</f>
        <v>Ngozi</v>
      </c>
      <c r="E1194" t="str">
        <f>IFERROR(VLOOKUP(TTrainingSource[[#This Row],[Employee_ID]],THrList[],10,FALSE),"")</f>
        <v>Procurement</v>
      </c>
      <c r="F1194" t="str">
        <f>TRIM(PROPER(TTrainingSource[[#This Row],[Training_Status2]]))</f>
        <v>Planned</v>
      </c>
      <c r="G1194" t="s">
        <v>19</v>
      </c>
      <c r="H1194" t="str">
        <f>TRIM(PROPER(TTrainingSource[[#This Row],[Training_Title2]]))</f>
        <v>Financial Modeling Basics</v>
      </c>
      <c r="I1194" t="s">
        <v>38</v>
      </c>
      <c r="J1194" s="1">
        <v>45687</v>
      </c>
      <c r="K1194" t="s">
        <v>15</v>
      </c>
      <c r="L1194" s="7">
        <v>8</v>
      </c>
      <c r="M1194">
        <f>ROUND(TTrainingSource[[#This Row],[Satisfaction_Score2]],0)</f>
        <v>3</v>
      </c>
      <c r="N1194">
        <v>2.7</v>
      </c>
    </row>
    <row r="1195" spans="1:14" x14ac:dyDescent="0.3">
      <c r="A1195" t="s">
        <v>242</v>
      </c>
      <c r="B1195" t="str">
        <f>TRIM(TTrainingSource[[#This Row],[EMPloyee_ID2]])</f>
        <v>EMP10593</v>
      </c>
      <c r="C1195" t="str">
        <f>IFERROR(VLOOKUP(TTrainingSource[[#This Row],[Employee_ID]],THrList[],3,FALSE),"")</f>
        <v>GARCIA</v>
      </c>
      <c r="D1195" t="str">
        <f>IFERROR(VLOOKUP(TTrainingSource[[#This Row],[Employee_ID]],THrList[],4,FALSE),"")</f>
        <v>Ngozi</v>
      </c>
      <c r="E1195" t="str">
        <f>IFERROR(VLOOKUP(TTrainingSource[[#This Row],[Employee_ID]],THrList[],10,FALSE),"")</f>
        <v>Procurement</v>
      </c>
      <c r="F1195" t="str">
        <f>TRIM(PROPER(TTrainingSource[[#This Row],[Training_Status2]]))</f>
        <v>Completed</v>
      </c>
      <c r="G1195" t="s">
        <v>17</v>
      </c>
      <c r="H1195" t="str">
        <f>TRIM(PROPER(TTrainingSource[[#This Row],[Training_Title2]]))</f>
        <v>Communication For Analysts</v>
      </c>
      <c r="I1195" t="s">
        <v>28</v>
      </c>
      <c r="J1195" s="1">
        <v>44828</v>
      </c>
      <c r="K1195" t="s">
        <v>42</v>
      </c>
      <c r="L1195" s="7">
        <v>40</v>
      </c>
      <c r="M1195">
        <f>ROUND(TTrainingSource[[#This Row],[Satisfaction_Score2]],0)</f>
        <v>5</v>
      </c>
      <c r="N1195">
        <v>4.9000000000000004</v>
      </c>
    </row>
    <row r="1196" spans="1:14" x14ac:dyDescent="0.3">
      <c r="A1196" t="s">
        <v>242</v>
      </c>
      <c r="B1196" t="str">
        <f>TRIM(TTrainingSource[[#This Row],[EMPloyee_ID2]])</f>
        <v>EMP10593</v>
      </c>
      <c r="C1196" t="str">
        <f>IFERROR(VLOOKUP(TTrainingSource[[#This Row],[Employee_ID]],THrList[],3,FALSE),"")</f>
        <v>GARCIA</v>
      </c>
      <c r="D1196" t="str">
        <f>IFERROR(VLOOKUP(TTrainingSource[[#This Row],[Employee_ID]],THrList[],4,FALSE),"")</f>
        <v>Ngozi</v>
      </c>
      <c r="E1196" t="str">
        <f>IFERROR(VLOOKUP(TTrainingSource[[#This Row],[Employee_ID]],THrList[],10,FALSE),"")</f>
        <v>Procurement</v>
      </c>
      <c r="F1196" t="str">
        <f>TRIM(PROPER(TTrainingSource[[#This Row],[Training_Status2]]))</f>
        <v>In Progress</v>
      </c>
      <c r="G1196" t="s">
        <v>8</v>
      </c>
      <c r="H1196" t="str">
        <f>TRIM(PROPER(TTrainingSource[[#This Row],[Training_Title2]]))</f>
        <v>Advanced Excel For Business</v>
      </c>
      <c r="I1196" t="s">
        <v>52</v>
      </c>
      <c r="J1196" s="1">
        <v>45555</v>
      </c>
      <c r="K1196" t="s">
        <v>42</v>
      </c>
      <c r="L1196" s="7">
        <v>6</v>
      </c>
      <c r="M1196">
        <f>ROUND(TTrainingSource[[#This Row],[Satisfaction_Score2]],0)</f>
        <v>3</v>
      </c>
      <c r="N1196">
        <v>3.2</v>
      </c>
    </row>
    <row r="1197" spans="1:14" x14ac:dyDescent="0.3">
      <c r="A1197" t="s">
        <v>732</v>
      </c>
      <c r="B1197" t="str">
        <f>TRIM(TTrainingSource[[#This Row],[EMPloyee_ID2]])</f>
        <v>EMP10594</v>
      </c>
      <c r="C1197" t="str">
        <f>IFERROR(VLOOKUP(TTrainingSource[[#This Row],[Employee_ID]],THrList[],3,FALSE),"")</f>
        <v>GARCIA</v>
      </c>
      <c r="D1197" t="str">
        <f>IFERROR(VLOOKUP(TTrainingSource[[#This Row],[Employee_ID]],THrList[],4,FALSE),"")</f>
        <v>Khalid</v>
      </c>
      <c r="E1197" t="str">
        <f>IFERROR(VLOOKUP(TTrainingSource[[#This Row],[Employee_ID]],THrList[],10,FALSE),"")</f>
        <v>Finance</v>
      </c>
      <c r="F1197" t="str">
        <f>TRIM(PROPER(TTrainingSource[[#This Row],[Training_Status2]]))</f>
        <v>In Progress</v>
      </c>
      <c r="G1197" t="s">
        <v>8</v>
      </c>
      <c r="H1197" t="str">
        <f>TRIM(PROPER(TTrainingSource[[#This Row],[Training_Title2]]))</f>
        <v>Business Intelligence With Tableau</v>
      </c>
      <c r="I1197" t="s">
        <v>22</v>
      </c>
      <c r="J1197" s="1">
        <v>44675</v>
      </c>
      <c r="K1197" t="s">
        <v>29</v>
      </c>
      <c r="L1197" s="7">
        <v>8</v>
      </c>
      <c r="M1197">
        <f>ROUND(TTrainingSource[[#This Row],[Satisfaction_Score2]],0)</f>
        <v>3</v>
      </c>
      <c r="N1197">
        <v>2.8</v>
      </c>
    </row>
    <row r="1198" spans="1:14" x14ac:dyDescent="0.3">
      <c r="A1198" t="s">
        <v>273</v>
      </c>
      <c r="B1198" t="str">
        <f>TRIM(TTrainingSource[[#This Row],[EMPloyee_ID2]])</f>
        <v>EMP10595</v>
      </c>
      <c r="C1198" t="str">
        <f>IFERROR(VLOOKUP(TTrainingSource[[#This Row],[Employee_ID]],THrList[],3,FALSE),"")</f>
        <v>MERCIER</v>
      </c>
      <c r="D1198" t="str">
        <f>IFERROR(VLOOKUP(TTrainingSource[[#This Row],[Employee_ID]],THrList[],4,FALSE),"")</f>
        <v>Julien</v>
      </c>
      <c r="E1198" t="str">
        <f>IFERROR(VLOOKUP(TTrainingSource[[#This Row],[Employee_ID]],THrList[],10,FALSE),"")</f>
        <v>IT</v>
      </c>
      <c r="F1198" t="str">
        <f>TRIM(PROPER(TTrainingSource[[#This Row],[Training_Status2]]))</f>
        <v>Planned</v>
      </c>
      <c r="G1198" t="s">
        <v>19</v>
      </c>
      <c r="H1198" t="str">
        <f>TRIM(PROPER(TTrainingSource[[#This Row],[Training_Title2]]))</f>
        <v>Introduction To Python For Data</v>
      </c>
      <c r="I1198" t="s">
        <v>62</v>
      </c>
      <c r="J1198" s="1">
        <v>45415</v>
      </c>
      <c r="K1198" t="s">
        <v>44</v>
      </c>
      <c r="L1198" s="7">
        <v>24</v>
      </c>
      <c r="M1198">
        <f>ROUND(TTrainingSource[[#This Row],[Satisfaction_Score2]],0)</f>
        <v>5</v>
      </c>
      <c r="N1198">
        <v>4.5</v>
      </c>
    </row>
    <row r="1199" spans="1:14" x14ac:dyDescent="0.3">
      <c r="A1199" t="s">
        <v>571</v>
      </c>
      <c r="B1199" t="str">
        <f>TRIM(TTrainingSource[[#This Row],[EMPloyee_ID2]])</f>
        <v>EMP10596</v>
      </c>
      <c r="C1199" t="str">
        <f>IFERROR(VLOOKUP(TTrainingSource[[#This Row],[Employee_ID]],THrList[],3,FALSE),"")</f>
        <v>TRAORE</v>
      </c>
      <c r="D1199" t="str">
        <f>IFERROR(VLOOKUP(TTrainingSource[[#This Row],[Employee_ID]],THrList[],4,FALSE),"")</f>
        <v>Claire</v>
      </c>
      <c r="E1199" t="str">
        <f>IFERROR(VLOOKUP(TTrainingSource[[#This Row],[Employee_ID]],THrList[],10,FALSE),"")</f>
        <v>Procurement</v>
      </c>
      <c r="F1199" t="str">
        <f>TRIM(PROPER(TTrainingSource[[#This Row],[Training_Status2]]))</f>
        <v>In Progress</v>
      </c>
      <c r="G1199" t="s">
        <v>8</v>
      </c>
      <c r="H1199" t="str">
        <f>TRIM(PROPER(TTrainingSource[[#This Row],[Training_Title2]]))</f>
        <v>Business Intelligence With Tableau</v>
      </c>
      <c r="I1199" t="s">
        <v>22</v>
      </c>
      <c r="J1199" s="1">
        <v>44714</v>
      </c>
      <c r="K1199" t="s">
        <v>44</v>
      </c>
      <c r="L1199" s="7">
        <v>24</v>
      </c>
      <c r="M1199">
        <f>ROUND(TTrainingSource[[#This Row],[Satisfaction_Score2]],0)</f>
        <v>3</v>
      </c>
      <c r="N1199">
        <v>2.6</v>
      </c>
    </row>
    <row r="1200" spans="1:14" x14ac:dyDescent="0.3">
      <c r="A1200" t="s">
        <v>644</v>
      </c>
      <c r="B1200" t="str">
        <f>TRIM(TTrainingSource[[#This Row],[EMPloyee_ID2]])</f>
        <v>EMP10597</v>
      </c>
      <c r="C1200" t="str">
        <f>IFERROR(VLOOKUP(TTrainingSource[[#This Row],[Employee_ID]],THrList[],3,FALSE),"")</f>
        <v>JACKSON</v>
      </c>
      <c r="D1200" t="str">
        <f>IFERROR(VLOOKUP(TTrainingSource[[#This Row],[Employee_ID]],THrList[],4,FALSE),"")</f>
        <v>Kofi</v>
      </c>
      <c r="E1200" t="str">
        <f>IFERROR(VLOOKUP(TTrainingSource[[#This Row],[Employee_ID]],THrList[],10,FALSE),"")</f>
        <v>Procurement</v>
      </c>
      <c r="F1200" t="str">
        <f>TRIM(PROPER(TTrainingSource[[#This Row],[Training_Status2]]))</f>
        <v>In Progress</v>
      </c>
      <c r="G1200" t="s">
        <v>156</v>
      </c>
      <c r="H1200" t="str">
        <f>TRIM(PROPER(TTrainingSource[[#This Row],[Training_Title2]]))</f>
        <v>Power Bi Reporting</v>
      </c>
      <c r="I1200" t="s">
        <v>24</v>
      </c>
      <c r="J1200" s="1">
        <v>45814</v>
      </c>
      <c r="K1200" t="s">
        <v>42</v>
      </c>
      <c r="L1200" s="7">
        <v>4</v>
      </c>
      <c r="M1200">
        <f>ROUND(TTrainingSource[[#This Row],[Satisfaction_Score2]],0)</f>
        <v>4</v>
      </c>
      <c r="N1200">
        <v>3.6</v>
      </c>
    </row>
    <row r="1201" spans="1:14" x14ac:dyDescent="0.3">
      <c r="A1201" t="s">
        <v>161</v>
      </c>
      <c r="B1201" t="str">
        <f>TRIM(TTrainingSource[[#This Row],[EMPloyee_ID2]])</f>
        <v>EMP10598</v>
      </c>
      <c r="C1201" t="str">
        <f>IFERROR(VLOOKUP(TTrainingSource[[#This Row],[Employee_ID]],THrList[],3,FALSE),"")</f>
        <v>SMITH</v>
      </c>
      <c r="D1201" t="str">
        <f>IFERROR(VLOOKUP(TTrainingSource[[#This Row],[Employee_ID]],THrList[],4,FALSE),"")</f>
        <v>Amelia</v>
      </c>
      <c r="E1201" t="str">
        <f>IFERROR(VLOOKUP(TTrainingSource[[#This Row],[Employee_ID]],THrList[],10,FALSE),"")</f>
        <v>Operations</v>
      </c>
      <c r="F1201" t="str">
        <f>TRIM(PROPER(TTrainingSource[[#This Row],[Training_Status2]]))</f>
        <v>In Progress</v>
      </c>
      <c r="G1201" t="s">
        <v>8</v>
      </c>
      <c r="H1201" t="str">
        <f>TRIM(PROPER(TTrainingSource[[#This Row],[Training_Title2]]))</f>
        <v>Business Intelligence With Tableau</v>
      </c>
      <c r="I1201" t="s">
        <v>162</v>
      </c>
      <c r="J1201" s="1">
        <v>44892</v>
      </c>
      <c r="K1201" t="s">
        <v>29</v>
      </c>
      <c r="L1201" s="7">
        <v>16</v>
      </c>
      <c r="M1201">
        <f>ROUND(TTrainingSource[[#This Row],[Satisfaction_Score2]],0)</f>
        <v>3</v>
      </c>
      <c r="N1201">
        <v>2.7</v>
      </c>
    </row>
    <row r="1202" spans="1:14" x14ac:dyDescent="0.3">
      <c r="A1202" t="s">
        <v>161</v>
      </c>
      <c r="B1202" t="str">
        <f>TRIM(TTrainingSource[[#This Row],[EMPloyee_ID2]])</f>
        <v>EMP10598</v>
      </c>
      <c r="C1202" t="str">
        <f>IFERROR(VLOOKUP(TTrainingSource[[#This Row],[Employee_ID]],THrList[],3,FALSE),"")</f>
        <v>SMITH</v>
      </c>
      <c r="D1202" t="str">
        <f>IFERROR(VLOOKUP(TTrainingSource[[#This Row],[Employee_ID]],THrList[],4,FALSE),"")</f>
        <v>Amelia</v>
      </c>
      <c r="E1202" t="str">
        <f>IFERROR(VLOOKUP(TTrainingSource[[#This Row],[Employee_ID]],THrList[],10,FALSE),"")</f>
        <v>Operations</v>
      </c>
      <c r="F1202" t="str">
        <f>TRIM(PROPER(TTrainingSource[[#This Row],[Training_Status2]]))</f>
        <v>Completed</v>
      </c>
      <c r="G1202" t="s">
        <v>17</v>
      </c>
      <c r="H1202" t="str">
        <f>TRIM(PROPER(TTrainingSource[[#This Row],[Training_Title2]]))</f>
        <v>Sql For Data Analytics</v>
      </c>
      <c r="I1202" t="s">
        <v>26</v>
      </c>
      <c r="J1202" s="1">
        <v>45229</v>
      </c>
      <c r="K1202" t="s">
        <v>1072</v>
      </c>
      <c r="L1202" s="7">
        <v>24</v>
      </c>
      <c r="M1202">
        <f>ROUND(TTrainingSource[[#This Row],[Satisfaction_Score2]],0)</f>
        <v>4</v>
      </c>
      <c r="N1202">
        <v>3.9</v>
      </c>
    </row>
    <row r="1203" spans="1:14" x14ac:dyDescent="0.3">
      <c r="A1203" t="s">
        <v>676</v>
      </c>
      <c r="B1203" t="str">
        <f>TRIM(TTrainingSource[[#This Row],[EMPloyee_ID2]])</f>
        <v>EMP10599</v>
      </c>
      <c r="C1203" t="str">
        <f>IFERROR(VLOOKUP(TTrainingSource[[#This Row],[Employee_ID]],THrList[],3,FALSE),"")</f>
        <v>SINGH</v>
      </c>
      <c r="D1203" t="str">
        <f>IFERROR(VLOOKUP(TTrainingSource[[#This Row],[Employee_ID]],THrList[],4,FALSE),"")</f>
        <v>Amina</v>
      </c>
      <c r="E1203" t="str">
        <f>IFERROR(VLOOKUP(TTrainingSource[[#This Row],[Employee_ID]],THrList[],10,FALSE),"")</f>
        <v>Operations</v>
      </c>
      <c r="F1203" t="str">
        <f>TRIM(PROPER(TTrainingSource[[#This Row],[Training_Status2]]))</f>
        <v>Completed</v>
      </c>
      <c r="G1203" t="s">
        <v>17</v>
      </c>
      <c r="H1203" t="str">
        <f>TRIM(PROPER(TTrainingSource[[#This Row],[Training_Title2]]))</f>
        <v>Sql For Data Analytics</v>
      </c>
      <c r="I1203" t="s">
        <v>26</v>
      </c>
      <c r="J1203" s="1">
        <v>45949</v>
      </c>
      <c r="K1203" t="s">
        <v>42</v>
      </c>
      <c r="L1203" s="7">
        <v>24</v>
      </c>
      <c r="M1203">
        <f>ROUND(TTrainingSource[[#This Row],[Satisfaction_Score2]],0)</f>
        <v>4</v>
      </c>
      <c r="N1203">
        <v>4.4000000000000004</v>
      </c>
    </row>
    <row r="1204" spans="1:14" x14ac:dyDescent="0.3">
      <c r="A1204" t="s">
        <v>676</v>
      </c>
      <c r="B1204" t="str">
        <f>TRIM(TTrainingSource[[#This Row],[EMPloyee_ID2]])</f>
        <v>EMP10599</v>
      </c>
      <c r="C1204" t="str">
        <f>IFERROR(VLOOKUP(TTrainingSource[[#This Row],[Employee_ID]],THrList[],3,FALSE),"")</f>
        <v>SINGH</v>
      </c>
      <c r="D1204" t="str">
        <f>IFERROR(VLOOKUP(TTrainingSource[[#This Row],[Employee_ID]],THrList[],4,FALSE),"")</f>
        <v>Amina</v>
      </c>
      <c r="E1204" t="str">
        <f>IFERROR(VLOOKUP(TTrainingSource[[#This Row],[Employee_ID]],THrList[],10,FALSE),"")</f>
        <v>Operations</v>
      </c>
      <c r="F1204" t="str">
        <f>TRIM(PROPER(TTrainingSource[[#This Row],[Training_Status2]]))</f>
        <v>In Progress</v>
      </c>
      <c r="G1204" t="s">
        <v>8</v>
      </c>
      <c r="H1204" t="str">
        <f>TRIM(PROPER(TTrainingSource[[#This Row],[Training_Title2]]))</f>
        <v>Financial Modeling Basics</v>
      </c>
      <c r="I1204" t="s">
        <v>38</v>
      </c>
      <c r="J1204" s="1">
        <v>44859</v>
      </c>
      <c r="K1204" t="s">
        <v>32</v>
      </c>
      <c r="L1204" s="7">
        <v>6</v>
      </c>
      <c r="M1204">
        <f>ROUND(TTrainingSource[[#This Row],[Satisfaction_Score2]],0)</f>
        <v>5</v>
      </c>
      <c r="N1204">
        <v>4.7</v>
      </c>
    </row>
    <row r="1205" spans="1:14" x14ac:dyDescent="0.3">
      <c r="A1205" t="s">
        <v>333</v>
      </c>
      <c r="B1205" t="str">
        <f>TRIM(TTrainingSource[[#This Row],[EMPloyee_ID2]])</f>
        <v>EMP10600</v>
      </c>
      <c r="C1205" t="str">
        <f>IFERROR(VLOOKUP(TTrainingSource[[#This Row],[Employee_ID]],THrList[],3,FALSE),"")</f>
        <v>SINGH</v>
      </c>
      <c r="D1205" t="str">
        <f>IFERROR(VLOOKUP(TTrainingSource[[#This Row],[Employee_ID]],THrList[],4,FALSE),"")</f>
        <v>Alexander</v>
      </c>
      <c r="E1205" t="str">
        <f>IFERROR(VLOOKUP(TTrainingSource[[#This Row],[Employee_ID]],THrList[],10,FALSE),"")</f>
        <v>Customer Support</v>
      </c>
      <c r="F1205" t="str">
        <f>TRIM(PROPER(TTrainingSource[[#This Row],[Training_Status2]]))</f>
        <v>Completed</v>
      </c>
      <c r="G1205" t="s">
        <v>17</v>
      </c>
      <c r="H1205" t="str">
        <f>TRIM(PROPER(TTrainingSource[[#This Row],[Training_Title2]]))</f>
        <v>Power Bi Reporting</v>
      </c>
      <c r="I1205" t="s">
        <v>24</v>
      </c>
      <c r="J1205" s="1">
        <v>45087</v>
      </c>
      <c r="K1205" t="s">
        <v>44</v>
      </c>
      <c r="L1205" s="7">
        <v>24</v>
      </c>
      <c r="M1205">
        <f>ROUND(TTrainingSource[[#This Row],[Satisfaction_Score2]],0)</f>
        <v>4</v>
      </c>
      <c r="N1205">
        <v>3.8</v>
      </c>
    </row>
    <row r="1206" spans="1:14" x14ac:dyDescent="0.3">
      <c r="A1206" t="s">
        <v>172</v>
      </c>
      <c r="B1206" t="str">
        <f>TRIM(TTrainingSource[[#This Row],[EMPloyee_ID2]])</f>
        <v>EMP10601</v>
      </c>
      <c r="C1206" t="str">
        <f>IFERROR(VLOOKUP(TTrainingSource[[#This Row],[Employee_ID]],THrList[],3,FALSE),"")</f>
        <v>KONE</v>
      </c>
      <c r="D1206" t="str">
        <f>IFERROR(VLOOKUP(TTrainingSource[[#This Row],[Employee_ID]],THrList[],4,FALSE),"")</f>
        <v>Nina</v>
      </c>
      <c r="E1206" t="str">
        <f>IFERROR(VLOOKUP(TTrainingSource[[#This Row],[Employee_ID]],THrList[],10,FALSE),"")</f>
        <v>Sales</v>
      </c>
      <c r="F1206" t="str">
        <f>TRIM(PROPER(TTrainingSource[[#This Row],[Training_Status2]]))</f>
        <v>Planned</v>
      </c>
      <c r="G1206" t="s">
        <v>19</v>
      </c>
      <c r="H1206" t="str">
        <f>TRIM(PROPER(TTrainingSource[[#This Row],[Training_Title2]]))</f>
        <v>Customer Data Analysis</v>
      </c>
      <c r="I1206" t="s">
        <v>31</v>
      </c>
      <c r="J1206" s="1">
        <v>45160</v>
      </c>
      <c r="K1206" t="s">
        <v>42</v>
      </c>
      <c r="L1206" s="7">
        <v>32</v>
      </c>
      <c r="M1206">
        <f>ROUND(TTrainingSource[[#This Row],[Satisfaction_Score2]],0)</f>
        <v>3</v>
      </c>
      <c r="N1206">
        <v>2.7</v>
      </c>
    </row>
    <row r="1207" spans="1:14" x14ac:dyDescent="0.3">
      <c r="A1207" t="s">
        <v>550</v>
      </c>
      <c r="B1207" t="str">
        <f>TRIM(TTrainingSource[[#This Row],[EMPloyee_ID2]])</f>
        <v>EMP10602</v>
      </c>
      <c r="C1207" t="str">
        <f>IFERROR(VLOOKUP(TTrainingSource[[#This Row],[Employee_ID]],THrList[],3,FALSE),"")</f>
        <v>DUBOIS</v>
      </c>
      <c r="D1207" t="str">
        <f>IFERROR(VLOOKUP(TTrainingSource[[#This Row],[Employee_ID]],THrList[],4,FALSE),"")</f>
        <v>Mariama</v>
      </c>
      <c r="E1207" t="str">
        <f>IFERROR(VLOOKUP(TTrainingSource[[#This Row],[Employee_ID]],THrList[],10,FALSE),"")</f>
        <v>Compliance</v>
      </c>
      <c r="F1207" t="str">
        <f>TRIM(PROPER(TTrainingSource[[#This Row],[Training_Status2]]))</f>
        <v>Completed</v>
      </c>
      <c r="G1207" t="s">
        <v>69</v>
      </c>
      <c r="H1207" t="str">
        <f>TRIM(PROPER(TTrainingSource[[#This Row],[Training_Title2]]))</f>
        <v>Business Intelligence With Tableau</v>
      </c>
      <c r="I1207" t="s">
        <v>22</v>
      </c>
      <c r="J1207" s="1">
        <v>44590</v>
      </c>
      <c r="K1207" t="s">
        <v>42</v>
      </c>
      <c r="L1207" s="7">
        <v>8</v>
      </c>
      <c r="M1207">
        <f>ROUND(TTrainingSource[[#This Row],[Satisfaction_Score2]],0)</f>
        <v>5</v>
      </c>
      <c r="N1207">
        <v>5</v>
      </c>
    </row>
    <row r="1208" spans="1:14" x14ac:dyDescent="0.3">
      <c r="A1208" t="s">
        <v>505</v>
      </c>
      <c r="B1208" t="str">
        <f>TRIM(TTrainingSource[[#This Row],[EMPloyee_ID2]])</f>
        <v>EMP10603</v>
      </c>
      <c r="C1208" t="str">
        <f>IFERROR(VLOOKUP(TTrainingSource[[#This Row],[Employee_ID]],THrList[],3,FALSE),"")</f>
        <v>JONES</v>
      </c>
      <c r="D1208" t="str">
        <f>IFERROR(VLOOKUP(TTrainingSource[[#This Row],[Employee_ID]],THrList[],4,FALSE),"")</f>
        <v>Ama</v>
      </c>
      <c r="E1208" t="str">
        <f>IFERROR(VLOOKUP(TTrainingSource[[#This Row],[Employee_ID]],THrList[],10,FALSE),"")</f>
        <v>Compliance</v>
      </c>
      <c r="F1208" t="str">
        <f>TRIM(PROPER(TTrainingSource[[#This Row],[Training_Status2]]))</f>
        <v>In Progress</v>
      </c>
      <c r="G1208" t="s">
        <v>8</v>
      </c>
      <c r="H1208" t="str">
        <f>TRIM(PROPER(TTrainingSource[[#This Row],[Training_Title2]]))</f>
        <v>Customer Data Analysis</v>
      </c>
      <c r="I1208" t="s">
        <v>50</v>
      </c>
      <c r="J1208" s="1">
        <v>45093</v>
      </c>
      <c r="K1208" t="s">
        <v>42</v>
      </c>
      <c r="L1208" s="7">
        <v>40</v>
      </c>
      <c r="M1208">
        <f>ROUND(TTrainingSource[[#This Row],[Satisfaction_Score2]],0)</f>
        <v>4</v>
      </c>
      <c r="N1208">
        <v>4</v>
      </c>
    </row>
    <row r="1209" spans="1:14" x14ac:dyDescent="0.3">
      <c r="A1209" t="s">
        <v>505</v>
      </c>
      <c r="B1209" t="str">
        <f>TRIM(TTrainingSource[[#This Row],[EMPloyee_ID2]])</f>
        <v>EMP10603</v>
      </c>
      <c r="C1209" t="str">
        <f>IFERROR(VLOOKUP(TTrainingSource[[#This Row],[Employee_ID]],THrList[],3,FALSE),"")</f>
        <v>JONES</v>
      </c>
      <c r="D1209" t="str">
        <f>IFERROR(VLOOKUP(TTrainingSource[[#This Row],[Employee_ID]],THrList[],4,FALSE),"")</f>
        <v>Ama</v>
      </c>
      <c r="E1209" t="str">
        <f>IFERROR(VLOOKUP(TTrainingSource[[#This Row],[Employee_ID]],THrList[],10,FALSE),"")</f>
        <v>Compliance</v>
      </c>
      <c r="F1209" t="str">
        <f>TRIM(PROPER(TTrainingSource[[#This Row],[Training_Status2]]))</f>
        <v>Completed</v>
      </c>
      <c r="G1209" t="s">
        <v>17</v>
      </c>
      <c r="H1209" t="str">
        <f>TRIM(PROPER(TTrainingSource[[#This Row],[Training_Title2]]))</f>
        <v>Data Visualization Best Practices</v>
      </c>
      <c r="I1209" t="s">
        <v>20</v>
      </c>
      <c r="J1209" s="1">
        <v>44916</v>
      </c>
      <c r="K1209" t="s">
        <v>42</v>
      </c>
      <c r="L1209" s="7">
        <v>4</v>
      </c>
      <c r="M1209">
        <f>ROUND(TTrainingSource[[#This Row],[Satisfaction_Score2]],0)</f>
        <v>5</v>
      </c>
      <c r="N1209">
        <v>4.7</v>
      </c>
    </row>
    <row r="1210" spans="1:14" x14ac:dyDescent="0.3">
      <c r="A1210" t="s">
        <v>505</v>
      </c>
      <c r="B1210" t="str">
        <f>TRIM(TTrainingSource[[#This Row],[EMPloyee_ID2]])</f>
        <v>EMP10603</v>
      </c>
      <c r="C1210" t="str">
        <f>IFERROR(VLOOKUP(TTrainingSource[[#This Row],[Employee_ID]],THrList[],3,FALSE),"")</f>
        <v>JONES</v>
      </c>
      <c r="D1210" t="str">
        <f>IFERROR(VLOOKUP(TTrainingSource[[#This Row],[Employee_ID]],THrList[],4,FALSE),"")</f>
        <v>Ama</v>
      </c>
      <c r="E1210" t="str">
        <f>IFERROR(VLOOKUP(TTrainingSource[[#This Row],[Employee_ID]],THrList[],10,FALSE),"")</f>
        <v>Compliance</v>
      </c>
      <c r="F1210" t="str">
        <f>TRIM(PROPER(TTrainingSource[[#This Row],[Training_Status2]]))</f>
        <v>Completed</v>
      </c>
      <c r="G1210" t="s">
        <v>17</v>
      </c>
      <c r="H1210" t="str">
        <f>TRIM(PROPER(TTrainingSource[[#This Row],[Training_Title2]]))</f>
        <v>Project Management Essentials</v>
      </c>
      <c r="I1210" t="s">
        <v>14</v>
      </c>
      <c r="J1210" s="1">
        <v>45393</v>
      </c>
      <c r="K1210" t="s">
        <v>12</v>
      </c>
      <c r="L1210" s="7">
        <v>40</v>
      </c>
      <c r="M1210">
        <f>ROUND(TTrainingSource[[#This Row],[Satisfaction_Score2]],0)</f>
        <v>3</v>
      </c>
      <c r="N1210">
        <v>3.4</v>
      </c>
    </row>
    <row r="1211" spans="1:14" x14ac:dyDescent="0.3">
      <c r="A1211" t="s">
        <v>562</v>
      </c>
      <c r="B1211" t="str">
        <f>TRIM(TTrainingSource[[#This Row],[EMPloyee_ID2]])</f>
        <v>EMP10604</v>
      </c>
      <c r="C1211" t="str">
        <f>IFERROR(VLOOKUP(TTrainingSource[[#This Row],[Employee_ID]],THrList[],3,FALSE),"")</f>
        <v>MARTINEZ</v>
      </c>
      <c r="D1211" t="str">
        <f>IFERROR(VLOOKUP(TTrainingSource[[#This Row],[Employee_ID]],THrList[],4,FALSE),"")</f>
        <v>Chinedu</v>
      </c>
      <c r="E1211" t="str">
        <f>IFERROR(VLOOKUP(TTrainingSource[[#This Row],[Employee_ID]],THrList[],10,FALSE),"")</f>
        <v>Operations</v>
      </c>
      <c r="F1211" t="str">
        <f>TRIM(PROPER(TTrainingSource[[#This Row],[Training_Status2]]))</f>
        <v>In Progress</v>
      </c>
      <c r="G1211" t="s">
        <v>8</v>
      </c>
      <c r="H1211" t="str">
        <f>TRIM(PROPER(TTrainingSource[[#This Row],[Training_Title2]]))</f>
        <v>Power Bi Reporting</v>
      </c>
      <c r="I1211" t="s">
        <v>24</v>
      </c>
      <c r="J1211" s="1">
        <v>45090</v>
      </c>
      <c r="K1211" t="s">
        <v>32</v>
      </c>
      <c r="L1211" s="7">
        <v>12</v>
      </c>
      <c r="M1211">
        <f>ROUND(TTrainingSource[[#This Row],[Satisfaction_Score2]],0)</f>
        <v>4</v>
      </c>
      <c r="N1211">
        <v>4.4000000000000004</v>
      </c>
    </row>
    <row r="1212" spans="1:14" x14ac:dyDescent="0.3">
      <c r="A1212" t="s">
        <v>562</v>
      </c>
      <c r="B1212" t="str">
        <f>TRIM(TTrainingSource[[#This Row],[EMPloyee_ID2]])</f>
        <v>EMP10604</v>
      </c>
      <c r="C1212" t="str">
        <f>IFERROR(VLOOKUP(TTrainingSource[[#This Row],[Employee_ID]],THrList[],3,FALSE),"")</f>
        <v>MARTINEZ</v>
      </c>
      <c r="D1212" t="str">
        <f>IFERROR(VLOOKUP(TTrainingSource[[#This Row],[Employee_ID]],THrList[],4,FALSE),"")</f>
        <v>Chinedu</v>
      </c>
      <c r="E1212" t="str">
        <f>IFERROR(VLOOKUP(TTrainingSource[[#This Row],[Employee_ID]],THrList[],10,FALSE),"")</f>
        <v>Operations</v>
      </c>
      <c r="F1212" t="str">
        <f>TRIM(PROPER(TTrainingSource[[#This Row],[Training_Status2]]))</f>
        <v>Completed</v>
      </c>
      <c r="G1212" t="s">
        <v>35</v>
      </c>
      <c r="H1212" t="str">
        <f>TRIM(PROPER(TTrainingSource[[#This Row],[Training_Title2]]))</f>
        <v>Digital Marketing Strategy</v>
      </c>
      <c r="I1212" t="s">
        <v>43</v>
      </c>
      <c r="J1212" s="1">
        <v>44959</v>
      </c>
      <c r="K1212" t="s">
        <v>32</v>
      </c>
      <c r="L1212" s="7">
        <v>16</v>
      </c>
      <c r="M1212">
        <f>ROUND(TTrainingSource[[#This Row],[Satisfaction_Score2]],0)</f>
        <v>3</v>
      </c>
      <c r="N1212">
        <v>2.7</v>
      </c>
    </row>
    <row r="1213" spans="1:14" x14ac:dyDescent="0.3">
      <c r="A1213" t="s">
        <v>459</v>
      </c>
      <c r="B1213" t="str">
        <f>TRIM(TTrainingSource[[#This Row],[EMPloyee_ID2]])</f>
        <v>EMP10605</v>
      </c>
      <c r="C1213" t="str">
        <f>IFERROR(VLOOKUP(TTrainingSource[[#This Row],[Employee_ID]],THrList[],3,FALSE),"")</f>
        <v>WILLIAMS</v>
      </c>
      <c r="D1213" t="str">
        <f>IFERROR(VLOOKUP(TTrainingSource[[#This Row],[Employee_ID]],THrList[],4,FALSE),"")</f>
        <v>Abigail</v>
      </c>
      <c r="E1213" t="str">
        <f>IFERROR(VLOOKUP(TTrainingSource[[#This Row],[Employee_ID]],THrList[],10,FALSE),"")</f>
        <v>Customer Support</v>
      </c>
      <c r="F1213" t="str">
        <f>TRIM(PROPER(TTrainingSource[[#This Row],[Training_Status2]]))</f>
        <v>Completed</v>
      </c>
      <c r="G1213" t="s">
        <v>17</v>
      </c>
      <c r="H1213" t="str">
        <f>TRIM(PROPER(TTrainingSource[[#This Row],[Training_Title2]]))</f>
        <v>Sql For Data Analytics</v>
      </c>
      <c r="I1213" t="s">
        <v>26</v>
      </c>
      <c r="J1213" s="1">
        <v>44584</v>
      </c>
      <c r="K1213" t="s">
        <v>32</v>
      </c>
      <c r="L1213" s="7">
        <v>20</v>
      </c>
      <c r="M1213">
        <f>ROUND(TTrainingSource[[#This Row],[Satisfaction_Score2]],0)</f>
        <v>5</v>
      </c>
      <c r="N1213">
        <v>4.5</v>
      </c>
    </row>
    <row r="1214" spans="1:14" x14ac:dyDescent="0.3">
      <c r="A1214" t="s">
        <v>1047</v>
      </c>
      <c r="B1214" t="str">
        <f>TRIM(TTrainingSource[[#This Row],[EMPloyee_ID2]])</f>
        <v>EMP10607</v>
      </c>
      <c r="C1214" t="str">
        <f>IFERROR(VLOOKUP(TTrainingSource[[#This Row],[Employee_ID]],THrList[],3,FALSE),"")</f>
        <v>SINGH</v>
      </c>
      <c r="D1214" t="str">
        <f>IFERROR(VLOOKUP(TTrainingSource[[#This Row],[Employee_ID]],THrList[],4,FALSE),"")</f>
        <v>Paul</v>
      </c>
      <c r="E1214" t="str">
        <f>IFERROR(VLOOKUP(TTrainingSource[[#This Row],[Employee_ID]],THrList[],10,FALSE),"")</f>
        <v>Compliance</v>
      </c>
      <c r="F1214" t="str">
        <f>TRIM(PROPER(TTrainingSource[[#This Row],[Training_Status2]]))</f>
        <v>Completed</v>
      </c>
      <c r="G1214" t="s">
        <v>17</v>
      </c>
      <c r="H1214" t="str">
        <f>TRIM(PROPER(TTrainingSource[[#This Row],[Training_Title2]]))</f>
        <v>Digital Marketing Strategy</v>
      </c>
      <c r="I1214" t="s">
        <v>43</v>
      </c>
      <c r="J1214" s="1">
        <v>45813</v>
      </c>
      <c r="K1214" t="s">
        <v>44</v>
      </c>
      <c r="L1214" s="7">
        <v>0</v>
      </c>
      <c r="M1214">
        <f>ROUND(TTrainingSource[[#This Row],[Satisfaction_Score2]],0)</f>
        <v>5</v>
      </c>
      <c r="N1214">
        <v>4.8</v>
      </c>
    </row>
    <row r="1215" spans="1:14" x14ac:dyDescent="0.3">
      <c r="A1215" t="s">
        <v>249</v>
      </c>
      <c r="B1215" t="str">
        <f>TRIM(TTrainingSource[[#This Row],[EMPloyee_ID2]])</f>
        <v>EMP10609</v>
      </c>
      <c r="C1215" t="str">
        <f>IFERROR(VLOOKUP(TTrainingSource[[#This Row],[Employee_ID]],THrList[],3,FALSE),"")</f>
        <v>KOUASSI</v>
      </c>
      <c r="D1215" t="str">
        <f>IFERROR(VLOOKUP(TTrainingSource[[#This Row],[Employee_ID]],THrList[],4,FALSE),"")</f>
        <v>Isabella</v>
      </c>
      <c r="E1215" t="str">
        <f>IFERROR(VLOOKUP(TTrainingSource[[#This Row],[Employee_ID]],THrList[],10,FALSE),"")</f>
        <v>Customer Support</v>
      </c>
      <c r="F1215" t="str">
        <f>TRIM(PROPER(TTrainingSource[[#This Row],[Training_Status2]]))</f>
        <v>Completed</v>
      </c>
      <c r="G1215" t="s">
        <v>17</v>
      </c>
      <c r="H1215" t="str">
        <f>TRIM(PROPER(TTrainingSource[[#This Row],[Training_Title2]]))</f>
        <v>Digital Marketing Strategy</v>
      </c>
      <c r="I1215" t="s">
        <v>43</v>
      </c>
      <c r="J1215" s="1">
        <v>45656</v>
      </c>
      <c r="K1215" t="s">
        <v>46</v>
      </c>
      <c r="L1215" s="7">
        <v>20</v>
      </c>
      <c r="M1215">
        <f>ROUND(TTrainingSource[[#This Row],[Satisfaction_Score2]],0)</f>
        <v>3</v>
      </c>
      <c r="N1215">
        <v>2.6</v>
      </c>
    </row>
    <row r="1216" spans="1:14" x14ac:dyDescent="0.3">
      <c r="A1216" t="s">
        <v>249</v>
      </c>
      <c r="B1216" t="str">
        <f>TRIM(TTrainingSource[[#This Row],[EMPloyee_ID2]])</f>
        <v>EMP10609</v>
      </c>
      <c r="C1216" t="str">
        <f>IFERROR(VLOOKUP(TTrainingSource[[#This Row],[Employee_ID]],THrList[],3,FALSE),"")</f>
        <v>KOUASSI</v>
      </c>
      <c r="D1216" t="str">
        <f>IFERROR(VLOOKUP(TTrainingSource[[#This Row],[Employee_ID]],THrList[],4,FALSE),"")</f>
        <v>Isabella</v>
      </c>
      <c r="E1216" t="str">
        <f>IFERROR(VLOOKUP(TTrainingSource[[#This Row],[Employee_ID]],THrList[],10,FALSE),"")</f>
        <v>Customer Support</v>
      </c>
      <c r="F1216" t="str">
        <f>TRIM(PROPER(TTrainingSource[[#This Row],[Training_Status2]]))</f>
        <v>Completed</v>
      </c>
      <c r="G1216" t="s">
        <v>17</v>
      </c>
      <c r="H1216" t="str">
        <f>TRIM(PROPER(TTrainingSource[[#This Row],[Training_Title2]]))</f>
        <v>Sql For Data Analytics</v>
      </c>
      <c r="I1216" t="s">
        <v>26</v>
      </c>
      <c r="J1216" s="1">
        <v>44640</v>
      </c>
      <c r="K1216" t="s">
        <v>39</v>
      </c>
      <c r="L1216" s="7">
        <v>24</v>
      </c>
      <c r="M1216">
        <f>ROUND(TTrainingSource[[#This Row],[Satisfaction_Score2]],0)</f>
        <v>4</v>
      </c>
      <c r="N1216">
        <v>3.5</v>
      </c>
    </row>
    <row r="1217" spans="1:14" x14ac:dyDescent="0.3">
      <c r="A1217" t="s">
        <v>249</v>
      </c>
      <c r="B1217" t="str">
        <f>TRIM(TTrainingSource[[#This Row],[EMPloyee_ID2]])</f>
        <v>EMP10609</v>
      </c>
      <c r="C1217" t="str">
        <f>IFERROR(VLOOKUP(TTrainingSource[[#This Row],[Employee_ID]],THrList[],3,FALSE),"")</f>
        <v>KOUASSI</v>
      </c>
      <c r="D1217" t="str">
        <f>IFERROR(VLOOKUP(TTrainingSource[[#This Row],[Employee_ID]],THrList[],4,FALSE),"")</f>
        <v>Isabella</v>
      </c>
      <c r="E1217" t="str">
        <f>IFERROR(VLOOKUP(TTrainingSource[[#This Row],[Employee_ID]],THrList[],10,FALSE),"")</f>
        <v>Customer Support</v>
      </c>
      <c r="F1217" t="str">
        <f>TRIM(PROPER(TTrainingSource[[#This Row],[Training_Status2]]))</f>
        <v>In Progress</v>
      </c>
      <c r="G1217" t="s">
        <v>8</v>
      </c>
      <c r="H1217" t="str">
        <f>TRIM(PROPER(TTrainingSource[[#This Row],[Training_Title2]]))</f>
        <v>Project Management Essentials</v>
      </c>
      <c r="I1217" t="s">
        <v>14</v>
      </c>
      <c r="J1217" s="1">
        <v>44742</v>
      </c>
      <c r="K1217" t="s">
        <v>39</v>
      </c>
      <c r="L1217" s="7">
        <v>20</v>
      </c>
      <c r="M1217">
        <f>ROUND(TTrainingSource[[#This Row],[Satisfaction_Score2]],0)</f>
        <v>3</v>
      </c>
      <c r="N1217">
        <v>2.7</v>
      </c>
    </row>
    <row r="1218" spans="1:14" x14ac:dyDescent="0.3">
      <c r="A1218" t="s">
        <v>659</v>
      </c>
      <c r="B1218" t="str">
        <f>TRIM(TTrainingSource[[#This Row],[EMPloyee_ID2]])</f>
        <v>EMP10612</v>
      </c>
      <c r="C1218" t="str">
        <f>IFERROR(VLOOKUP(TTrainingSource[[#This Row],[Employee_ID]],THrList[],3,FALSE),"")</f>
        <v>TOURE</v>
      </c>
      <c r="D1218" t="str">
        <f>IFERROR(VLOOKUP(TTrainingSource[[#This Row],[Employee_ID]],THrList[],4,FALSE),"")</f>
        <v>Hugo</v>
      </c>
      <c r="E1218" t="str">
        <f>IFERROR(VLOOKUP(TTrainingSource[[#This Row],[Employee_ID]],THrList[],10,FALSE),"")</f>
        <v>IT</v>
      </c>
      <c r="F1218" t="str">
        <f>TRIM(PROPER(TTrainingSource[[#This Row],[Training_Status2]]))</f>
        <v>Completed</v>
      </c>
      <c r="G1218" t="s">
        <v>17</v>
      </c>
      <c r="H1218" t="str">
        <f>TRIM(PROPER(TTrainingSource[[#This Row],[Training_Title2]]))</f>
        <v>Power Bi Reporting</v>
      </c>
      <c r="I1218" t="s">
        <v>24</v>
      </c>
      <c r="J1218" s="1">
        <v>44731</v>
      </c>
      <c r="K1218" t="s">
        <v>39</v>
      </c>
      <c r="L1218" s="7">
        <v>4</v>
      </c>
      <c r="M1218">
        <f>ROUND(TTrainingSource[[#This Row],[Satisfaction_Score2]],0)</f>
        <v>3</v>
      </c>
      <c r="N1218">
        <v>2.6</v>
      </c>
    </row>
    <row r="1219" spans="1:14" x14ac:dyDescent="0.3">
      <c r="A1219" t="s">
        <v>659</v>
      </c>
      <c r="B1219" t="str">
        <f>TRIM(TTrainingSource[[#This Row],[EMPloyee_ID2]])</f>
        <v>EMP10612</v>
      </c>
      <c r="C1219" t="str">
        <f>IFERROR(VLOOKUP(TTrainingSource[[#This Row],[Employee_ID]],THrList[],3,FALSE),"")</f>
        <v>TOURE</v>
      </c>
      <c r="D1219" t="str">
        <f>IFERROR(VLOOKUP(TTrainingSource[[#This Row],[Employee_ID]],THrList[],4,FALSE),"")</f>
        <v>Hugo</v>
      </c>
      <c r="E1219" t="str">
        <f>IFERROR(VLOOKUP(TTrainingSource[[#This Row],[Employee_ID]],THrList[],10,FALSE),"")</f>
        <v>IT</v>
      </c>
      <c r="F1219" t="str">
        <f>TRIM(PROPER(TTrainingSource[[#This Row],[Training_Status2]]))</f>
        <v>Completed</v>
      </c>
      <c r="G1219" t="s">
        <v>17</v>
      </c>
      <c r="H1219" t="str">
        <f>TRIM(PROPER(TTrainingSource[[#This Row],[Training_Title2]]))</f>
        <v>Power Bi Reporting</v>
      </c>
      <c r="I1219" t="s">
        <v>95</v>
      </c>
      <c r="J1219" s="1">
        <v>44869</v>
      </c>
      <c r="K1219" t="s">
        <v>44</v>
      </c>
      <c r="L1219" s="7">
        <v>32</v>
      </c>
      <c r="M1219">
        <f>ROUND(TTrainingSource[[#This Row],[Satisfaction_Score2]],0)</f>
        <v>3</v>
      </c>
      <c r="N1219">
        <v>3.1</v>
      </c>
    </row>
    <row r="1220" spans="1:14" x14ac:dyDescent="0.3">
      <c r="A1220" t="s">
        <v>659</v>
      </c>
      <c r="B1220" t="str">
        <f>TRIM(TTrainingSource[[#This Row],[EMPloyee_ID2]])</f>
        <v>EMP10612</v>
      </c>
      <c r="C1220" t="str">
        <f>IFERROR(VLOOKUP(TTrainingSource[[#This Row],[Employee_ID]],THrList[],3,FALSE),"")</f>
        <v>TOURE</v>
      </c>
      <c r="D1220" t="str">
        <f>IFERROR(VLOOKUP(TTrainingSource[[#This Row],[Employee_ID]],THrList[],4,FALSE),"")</f>
        <v>Hugo</v>
      </c>
      <c r="E1220" t="str">
        <f>IFERROR(VLOOKUP(TTrainingSource[[#This Row],[Employee_ID]],THrList[],10,FALSE),"")</f>
        <v>IT</v>
      </c>
      <c r="F1220" t="str">
        <f>TRIM(PROPER(TTrainingSource[[#This Row],[Training_Status2]]))</f>
        <v>Planned</v>
      </c>
      <c r="G1220" t="s">
        <v>19</v>
      </c>
      <c r="H1220" t="str">
        <f>TRIM(PROPER(TTrainingSource[[#This Row],[Training_Title2]]))</f>
        <v>Sql For Data Analytics</v>
      </c>
      <c r="I1220" t="s">
        <v>26</v>
      </c>
      <c r="J1220" s="1">
        <v>44845</v>
      </c>
      <c r="K1220" t="s">
        <v>98</v>
      </c>
      <c r="L1220" s="7">
        <v>16</v>
      </c>
      <c r="M1220">
        <f>ROUND(TTrainingSource[[#This Row],[Satisfaction_Score2]],0)</f>
        <v>3</v>
      </c>
      <c r="N1220">
        <v>2.9</v>
      </c>
    </row>
    <row r="1221" spans="1:14" x14ac:dyDescent="0.3">
      <c r="A1221" t="s">
        <v>237</v>
      </c>
      <c r="B1221" t="str">
        <f>TRIM(TTrainingSource[[#This Row],[EMPloyee_ID2]])</f>
        <v>EMP10613</v>
      </c>
      <c r="C1221" t="str">
        <f>IFERROR(VLOOKUP(TTrainingSource[[#This Row],[Employee_ID]],THrList[],3,FALSE),"")</f>
        <v>MOORE</v>
      </c>
      <c r="D1221" t="str">
        <f>IFERROR(VLOOKUP(TTrainingSource[[#This Row],[Employee_ID]],THrList[],4,FALSE),"")</f>
        <v>Amina</v>
      </c>
      <c r="E1221" t="str">
        <f>IFERROR(VLOOKUP(TTrainingSource[[#This Row],[Employee_ID]],THrList[],10,FALSE),"")</f>
        <v>Human Resources</v>
      </c>
      <c r="F1221" t="str">
        <f>TRIM(PROPER(TTrainingSource[[#This Row],[Training_Status2]]))</f>
        <v>In Progress</v>
      </c>
      <c r="G1221" t="s">
        <v>8</v>
      </c>
      <c r="H1221" t="str">
        <f>TRIM(PROPER(TTrainingSource[[#This Row],[Training_Title2]]))</f>
        <v>Data Analysis Fundamentals</v>
      </c>
      <c r="I1221" t="s">
        <v>238</v>
      </c>
      <c r="J1221" s="1">
        <v>45524</v>
      </c>
      <c r="K1221" t="s">
        <v>39</v>
      </c>
      <c r="L1221" s="7">
        <v>16</v>
      </c>
      <c r="M1221">
        <f>ROUND(TTrainingSource[[#This Row],[Satisfaction_Score2]],0)</f>
        <v>3</v>
      </c>
      <c r="N1221">
        <v>3.4</v>
      </c>
    </row>
    <row r="1222" spans="1:14" x14ac:dyDescent="0.3">
      <c r="A1222" t="s">
        <v>237</v>
      </c>
      <c r="B1222" t="str">
        <f>TRIM(TTrainingSource[[#This Row],[EMPloyee_ID2]])</f>
        <v>EMP10613</v>
      </c>
      <c r="C1222" t="str">
        <f>IFERROR(VLOOKUP(TTrainingSource[[#This Row],[Employee_ID]],THrList[],3,FALSE),"")</f>
        <v>MOORE</v>
      </c>
      <c r="D1222" t="str">
        <f>IFERROR(VLOOKUP(TTrainingSource[[#This Row],[Employee_ID]],THrList[],4,FALSE),"")</f>
        <v>Amina</v>
      </c>
      <c r="E1222" t="str">
        <f>IFERROR(VLOOKUP(TTrainingSource[[#This Row],[Employee_ID]],THrList[],10,FALSE),"")</f>
        <v>Human Resources</v>
      </c>
      <c r="F1222" t="str">
        <f>TRIM(PROPER(TTrainingSource[[#This Row],[Training_Status2]]))</f>
        <v>In Progress</v>
      </c>
      <c r="G1222" t="s">
        <v>156</v>
      </c>
      <c r="H1222" t="str">
        <f>TRIM(PROPER(TTrainingSource[[#This Row],[Training_Title2]]))</f>
        <v>Customer Data Analysis</v>
      </c>
      <c r="I1222" t="s">
        <v>31</v>
      </c>
      <c r="J1222" s="1">
        <v>45367</v>
      </c>
      <c r="K1222" t="s">
        <v>44</v>
      </c>
      <c r="L1222" s="7">
        <v>0</v>
      </c>
      <c r="M1222">
        <f>ROUND(TTrainingSource[[#This Row],[Satisfaction_Score2]],0)</f>
        <v>3</v>
      </c>
      <c r="N1222">
        <v>3.3</v>
      </c>
    </row>
    <row r="1223" spans="1:14" x14ac:dyDescent="0.3">
      <c r="A1223" t="s">
        <v>237</v>
      </c>
      <c r="B1223" t="str">
        <f>TRIM(TTrainingSource[[#This Row],[EMPloyee_ID2]])</f>
        <v>EMP10613</v>
      </c>
      <c r="C1223" t="str">
        <f>IFERROR(VLOOKUP(TTrainingSource[[#This Row],[Employee_ID]],THrList[],3,FALSE),"")</f>
        <v>MOORE</v>
      </c>
      <c r="D1223" t="str">
        <f>IFERROR(VLOOKUP(TTrainingSource[[#This Row],[Employee_ID]],THrList[],4,FALSE),"")</f>
        <v>Amina</v>
      </c>
      <c r="E1223" t="str">
        <f>IFERROR(VLOOKUP(TTrainingSource[[#This Row],[Employee_ID]],THrList[],10,FALSE),"")</f>
        <v>Human Resources</v>
      </c>
      <c r="F1223" t="str">
        <f>TRIM(PROPER(TTrainingSource[[#This Row],[Training_Status2]]))</f>
        <v>In Progress</v>
      </c>
      <c r="G1223" t="s">
        <v>8</v>
      </c>
      <c r="H1223" t="str">
        <f>TRIM(PROPER(TTrainingSource[[#This Row],[Training_Title2]]))</f>
        <v>Digital Marketing Strategy</v>
      </c>
      <c r="I1223" t="s">
        <v>43</v>
      </c>
      <c r="J1223" s="1">
        <v>45433</v>
      </c>
      <c r="K1223" t="s">
        <v>71</v>
      </c>
      <c r="L1223" s="7">
        <v>20</v>
      </c>
      <c r="M1223">
        <f>ROUND(TTrainingSource[[#This Row],[Satisfaction_Score2]],0)</f>
        <v>4</v>
      </c>
      <c r="N1223">
        <v>4.3</v>
      </c>
    </row>
    <row r="1224" spans="1:14" x14ac:dyDescent="0.3">
      <c r="A1224" t="s">
        <v>366</v>
      </c>
      <c r="B1224" t="str">
        <f>TRIM(TTrainingSource[[#This Row],[EMPloyee_ID2]])</f>
        <v>EMP10614</v>
      </c>
      <c r="C1224" t="str">
        <f>IFERROR(VLOOKUP(TTrainingSource[[#This Row],[Employee_ID]],THrList[],3,FALSE),"")</f>
        <v>BROWN</v>
      </c>
      <c r="D1224" t="str">
        <f>IFERROR(VLOOKUP(TTrainingSource[[#This Row],[Employee_ID]],THrList[],4,FALSE),"")</f>
        <v>Liam</v>
      </c>
      <c r="E1224" t="str">
        <f>IFERROR(VLOOKUP(TTrainingSource[[#This Row],[Employee_ID]],THrList[],10,FALSE),"")</f>
        <v>Operations</v>
      </c>
      <c r="F1224" t="str">
        <f>TRIM(PROPER(TTrainingSource[[#This Row],[Training_Status2]]))</f>
        <v>Completed</v>
      </c>
      <c r="G1224" t="s">
        <v>35</v>
      </c>
      <c r="H1224" t="str">
        <f>TRIM(PROPER(TTrainingSource[[#This Row],[Training_Title2]]))</f>
        <v>Communication For Analysts</v>
      </c>
      <c r="I1224" t="s">
        <v>28</v>
      </c>
      <c r="J1224" s="1">
        <v>45924</v>
      </c>
      <c r="K1224" t="s">
        <v>29</v>
      </c>
      <c r="L1224" s="7">
        <v>32</v>
      </c>
      <c r="M1224">
        <f>ROUND(TTrainingSource[[#This Row],[Satisfaction_Score2]],0)</f>
        <v>4</v>
      </c>
      <c r="N1224">
        <v>4.3</v>
      </c>
    </row>
    <row r="1225" spans="1:14" x14ac:dyDescent="0.3">
      <c r="A1225" t="s">
        <v>366</v>
      </c>
      <c r="B1225" t="str">
        <f>TRIM(TTrainingSource[[#This Row],[EMPloyee_ID2]])</f>
        <v>EMP10614</v>
      </c>
      <c r="C1225" t="str">
        <f>IFERROR(VLOOKUP(TTrainingSource[[#This Row],[Employee_ID]],THrList[],3,FALSE),"")</f>
        <v>BROWN</v>
      </c>
      <c r="D1225" t="str">
        <f>IFERROR(VLOOKUP(TTrainingSource[[#This Row],[Employee_ID]],THrList[],4,FALSE),"")</f>
        <v>Liam</v>
      </c>
      <c r="E1225" t="str">
        <f>IFERROR(VLOOKUP(TTrainingSource[[#This Row],[Employee_ID]],THrList[],10,FALSE),"")</f>
        <v>Operations</v>
      </c>
      <c r="F1225" t="str">
        <f>TRIM(PROPER(TTrainingSource[[#This Row],[Training_Status2]]))</f>
        <v>Completed</v>
      </c>
      <c r="G1225" t="s">
        <v>17</v>
      </c>
      <c r="H1225" t="str">
        <f>TRIM(PROPER(TTrainingSource[[#This Row],[Training_Title2]]))</f>
        <v>Communication For Analysts</v>
      </c>
      <c r="I1225" t="s">
        <v>446</v>
      </c>
      <c r="J1225" s="1">
        <v>45737</v>
      </c>
      <c r="K1225" t="s">
        <v>46</v>
      </c>
      <c r="L1225" s="7">
        <v>24</v>
      </c>
      <c r="M1225">
        <f>ROUND(TTrainingSource[[#This Row],[Satisfaction_Score2]],0)</f>
        <v>3</v>
      </c>
      <c r="N1225">
        <v>3.1</v>
      </c>
    </row>
    <row r="1226" spans="1:14" x14ac:dyDescent="0.3">
      <c r="A1226" t="s">
        <v>366</v>
      </c>
      <c r="B1226" t="str">
        <f>TRIM(TTrainingSource[[#This Row],[EMPloyee_ID2]])</f>
        <v>EMP10614</v>
      </c>
      <c r="C1226" t="str">
        <f>IFERROR(VLOOKUP(TTrainingSource[[#This Row],[Employee_ID]],THrList[],3,FALSE),"")</f>
        <v>BROWN</v>
      </c>
      <c r="D1226" t="str">
        <f>IFERROR(VLOOKUP(TTrainingSource[[#This Row],[Employee_ID]],THrList[],4,FALSE),"")</f>
        <v>Liam</v>
      </c>
      <c r="E1226" t="str">
        <f>IFERROR(VLOOKUP(TTrainingSource[[#This Row],[Employee_ID]],THrList[],10,FALSE),"")</f>
        <v>Operations</v>
      </c>
      <c r="F1226" t="str">
        <f>TRIM(PROPER(TTrainingSource[[#This Row],[Training_Status2]]))</f>
        <v>In Progress</v>
      </c>
      <c r="G1226" t="s">
        <v>8</v>
      </c>
      <c r="H1226" t="str">
        <f>TRIM(PROPER(TTrainingSource[[#This Row],[Training_Title2]]))</f>
        <v>Introduction To Python For Data</v>
      </c>
      <c r="I1226" t="s">
        <v>62</v>
      </c>
      <c r="J1226" s="1">
        <v>45587</v>
      </c>
      <c r="K1226" t="s">
        <v>39</v>
      </c>
      <c r="L1226" s="7">
        <v>4</v>
      </c>
      <c r="M1226">
        <f>ROUND(TTrainingSource[[#This Row],[Satisfaction_Score2]],0)</f>
        <v>5</v>
      </c>
      <c r="N1226">
        <v>4.5999999999999996</v>
      </c>
    </row>
    <row r="1227" spans="1:14" x14ac:dyDescent="0.3">
      <c r="A1227" t="s">
        <v>1051</v>
      </c>
      <c r="B1227" t="str">
        <f>TRIM(TTrainingSource[[#This Row],[EMPloyee_ID2]])</f>
        <v>EMP10615</v>
      </c>
      <c r="C1227" t="str">
        <f>IFERROR(VLOOKUP(TTrainingSource[[#This Row],[Employee_ID]],THrList[],3,FALSE),"")</f>
        <v>DAVIS</v>
      </c>
      <c r="D1227" t="str">
        <f>IFERROR(VLOOKUP(TTrainingSource[[#This Row],[Employee_ID]],THrList[],4,FALSE),"")</f>
        <v>Ava</v>
      </c>
      <c r="E1227" t="str">
        <f>IFERROR(VLOOKUP(TTrainingSource[[#This Row],[Employee_ID]],THrList[],10,FALSE),"")</f>
        <v>Sales</v>
      </c>
      <c r="F1227" t="str">
        <f>TRIM(PROPER(TTrainingSource[[#This Row],[Training_Status2]]))</f>
        <v>Completed</v>
      </c>
      <c r="G1227" t="s">
        <v>17</v>
      </c>
      <c r="H1227" t="str">
        <f>TRIM(PROPER(TTrainingSource[[#This Row],[Training_Title2]]))</f>
        <v>Sql For Data Analytics</v>
      </c>
      <c r="I1227" t="s">
        <v>418</v>
      </c>
      <c r="J1227" s="1">
        <v>44976</v>
      </c>
      <c r="K1227" t="s">
        <v>132</v>
      </c>
      <c r="L1227" s="7">
        <v>32</v>
      </c>
      <c r="M1227">
        <f>ROUND(TTrainingSource[[#This Row],[Satisfaction_Score2]],0)</f>
        <v>3</v>
      </c>
      <c r="N1227">
        <v>3</v>
      </c>
    </row>
    <row r="1228" spans="1:14" x14ac:dyDescent="0.3">
      <c r="A1228" t="s">
        <v>451</v>
      </c>
      <c r="B1228" t="str">
        <f>TRIM(TTrainingSource[[#This Row],[EMPloyee_ID2]])</f>
        <v>EMP10615</v>
      </c>
      <c r="C1228" t="str">
        <f>IFERROR(VLOOKUP(TTrainingSource[[#This Row],[Employee_ID]],THrList[],3,FALSE),"")</f>
        <v>DAVIS</v>
      </c>
      <c r="D1228" t="str">
        <f>IFERROR(VLOOKUP(TTrainingSource[[#This Row],[Employee_ID]],THrList[],4,FALSE),"")</f>
        <v>Ava</v>
      </c>
      <c r="E1228" t="str">
        <f>IFERROR(VLOOKUP(TTrainingSource[[#This Row],[Employee_ID]],THrList[],10,FALSE),"")</f>
        <v>Sales</v>
      </c>
      <c r="F1228" t="str">
        <f>TRIM(PROPER(TTrainingSource[[#This Row],[Training_Status2]]))</f>
        <v>Planned</v>
      </c>
      <c r="G1228" t="s">
        <v>128</v>
      </c>
      <c r="H1228" t="str">
        <f>TRIM(PROPER(TTrainingSource[[#This Row],[Training_Title2]]))</f>
        <v>Communication For Analysts</v>
      </c>
      <c r="I1228" t="s">
        <v>119</v>
      </c>
      <c r="J1228" s="1">
        <v>44759</v>
      </c>
      <c r="K1228" t="s">
        <v>46</v>
      </c>
      <c r="L1228" s="7">
        <v>16</v>
      </c>
      <c r="M1228">
        <f>ROUND(TTrainingSource[[#This Row],[Satisfaction_Score2]],0)</f>
        <v>5</v>
      </c>
      <c r="N1228">
        <v>4.5</v>
      </c>
    </row>
    <row r="1229" spans="1:14" x14ac:dyDescent="0.3">
      <c r="A1229" t="s">
        <v>449</v>
      </c>
      <c r="B1229" t="str">
        <f>TRIM(TTrainingSource[[#This Row],[EMPloyee_ID2]])</f>
        <v>EMP10616</v>
      </c>
      <c r="C1229" t="str">
        <f>IFERROR(VLOOKUP(TTrainingSource[[#This Row],[Employee_ID]],THrList[],3,FALSE),"")</f>
        <v>WILLIAMS</v>
      </c>
      <c r="D1229" t="str">
        <f>IFERROR(VLOOKUP(TTrainingSource[[#This Row],[Employee_ID]],THrList[],4,FALSE),"")</f>
        <v>Isabella</v>
      </c>
      <c r="E1229" t="str">
        <f>IFERROR(VLOOKUP(TTrainingSource[[#This Row],[Employee_ID]],THrList[],10,FALSE),"")</f>
        <v>Sales</v>
      </c>
      <c r="F1229" t="str">
        <f>TRIM(PROPER(TTrainingSource[[#This Row],[Training_Status2]]))</f>
        <v>Completed</v>
      </c>
      <c r="G1229" t="s">
        <v>17</v>
      </c>
      <c r="H1229" t="str">
        <f>TRIM(PROPER(TTrainingSource[[#This Row],[Training_Title2]]))</f>
        <v>Digital Marketing Strategy</v>
      </c>
      <c r="I1229" t="s">
        <v>43</v>
      </c>
      <c r="J1229" s="1">
        <v>45203</v>
      </c>
      <c r="K1229" t="s">
        <v>32</v>
      </c>
      <c r="L1229" s="7">
        <v>16</v>
      </c>
      <c r="M1229">
        <f>ROUND(TTrainingSource[[#This Row],[Satisfaction_Score2]],0)</f>
        <v>4</v>
      </c>
      <c r="N1229">
        <v>4.3</v>
      </c>
    </row>
    <row r="1230" spans="1:14" x14ac:dyDescent="0.3">
      <c r="A1230" t="s">
        <v>449</v>
      </c>
      <c r="B1230" t="str">
        <f>TRIM(TTrainingSource[[#This Row],[EMPloyee_ID2]])</f>
        <v>EMP10616</v>
      </c>
      <c r="C1230" t="str">
        <f>IFERROR(VLOOKUP(TTrainingSource[[#This Row],[Employee_ID]],THrList[],3,FALSE),"")</f>
        <v>WILLIAMS</v>
      </c>
      <c r="D1230" t="str">
        <f>IFERROR(VLOOKUP(TTrainingSource[[#This Row],[Employee_ID]],THrList[],4,FALSE),"")</f>
        <v>Isabella</v>
      </c>
      <c r="E1230" t="str">
        <f>IFERROR(VLOOKUP(TTrainingSource[[#This Row],[Employee_ID]],THrList[],10,FALSE),"")</f>
        <v>Sales</v>
      </c>
      <c r="F1230" t="str">
        <f>TRIM(PROPER(TTrainingSource[[#This Row],[Training_Status2]]))</f>
        <v>Completed</v>
      </c>
      <c r="G1230" t="s">
        <v>17</v>
      </c>
      <c r="H1230" t="str">
        <f>TRIM(PROPER(TTrainingSource[[#This Row],[Training_Title2]]))</f>
        <v>Financial Modeling Basics</v>
      </c>
      <c r="I1230" t="s">
        <v>38</v>
      </c>
      <c r="J1230" s="1">
        <v>45671</v>
      </c>
      <c r="K1230" t="s">
        <v>29</v>
      </c>
      <c r="L1230" s="7">
        <v>12</v>
      </c>
      <c r="M1230">
        <f>ROUND(TTrainingSource[[#This Row],[Satisfaction_Score2]],0)</f>
        <v>3</v>
      </c>
      <c r="N1230">
        <v>2.9</v>
      </c>
    </row>
    <row r="1231" spans="1:14" x14ac:dyDescent="0.3">
      <c r="A1231" t="s">
        <v>523</v>
      </c>
      <c r="B1231" t="str">
        <f>TRIM(TTrainingSource[[#This Row],[EMPloyee_ID2]])</f>
        <v>EMP10617</v>
      </c>
      <c r="C1231" t="str">
        <f>IFERROR(VLOOKUP(TTrainingSource[[#This Row],[Employee_ID]],THrList[],3,FALSE),"")</f>
        <v>MARTIN</v>
      </c>
      <c r="D1231" t="str">
        <f>IFERROR(VLOOKUP(TTrainingSource[[#This Row],[Employee_ID]],THrList[],4,FALSE),"")</f>
        <v>Akosua</v>
      </c>
      <c r="E1231" t="str">
        <f>IFERROR(VLOOKUP(TTrainingSource[[#This Row],[Employee_ID]],THrList[],10,FALSE),"")</f>
        <v>Compliance</v>
      </c>
      <c r="F1231" t="str">
        <f>TRIM(PROPER(TTrainingSource[[#This Row],[Training_Status2]]))</f>
        <v>In Progress</v>
      </c>
      <c r="G1231" t="s">
        <v>8</v>
      </c>
      <c r="H1231" t="str">
        <f>TRIM(PROPER(TTrainingSource[[#This Row],[Training_Title2]]))</f>
        <v>Communication For Analysts</v>
      </c>
      <c r="I1231" t="s">
        <v>401</v>
      </c>
      <c r="J1231" s="1">
        <v>44847</v>
      </c>
      <c r="K1231" t="s">
        <v>15</v>
      </c>
      <c r="L1231" s="7">
        <v>12</v>
      </c>
      <c r="M1231">
        <f>ROUND(TTrainingSource[[#This Row],[Satisfaction_Score2]],0)</f>
        <v>4</v>
      </c>
      <c r="N1231">
        <v>4.4000000000000004</v>
      </c>
    </row>
    <row r="1232" spans="1:14" x14ac:dyDescent="0.3">
      <c r="A1232" t="s">
        <v>548</v>
      </c>
      <c r="B1232" t="str">
        <f>TRIM(TTrainingSource[[#This Row],[EMPloyee_ID2]])</f>
        <v>EMP10618</v>
      </c>
      <c r="C1232" t="str">
        <f>IFERROR(VLOOKUP(TTrainingSource[[#This Row],[Employee_ID]],THrList[],3,FALSE),"")</f>
        <v>DIALLO</v>
      </c>
      <c r="D1232" t="str">
        <f>IFERROR(VLOOKUP(TTrainingSource[[#This Row],[Employee_ID]],THrList[],4,FALSE),"")</f>
        <v>Lucas</v>
      </c>
      <c r="E1232" t="str">
        <f>IFERROR(VLOOKUP(TTrainingSource[[#This Row],[Employee_ID]],THrList[],10,FALSE),"")</f>
        <v>Operations</v>
      </c>
      <c r="F1232" t="str">
        <f>TRIM(PROPER(TTrainingSource[[#This Row],[Training_Status2]]))</f>
        <v>Completed</v>
      </c>
      <c r="G1232" t="s">
        <v>17</v>
      </c>
      <c r="H1232" t="str">
        <f>TRIM(PROPER(TTrainingSource[[#This Row],[Training_Title2]]))</f>
        <v>Financial Modeling Basics</v>
      </c>
      <c r="I1232" t="s">
        <v>38</v>
      </c>
      <c r="J1232" s="1">
        <v>45903</v>
      </c>
      <c r="K1232" t="s">
        <v>42</v>
      </c>
      <c r="L1232" s="7">
        <v>4</v>
      </c>
      <c r="M1232">
        <f>ROUND(TTrainingSource[[#This Row],[Satisfaction_Score2]],0)</f>
        <v>4</v>
      </c>
      <c r="N1232">
        <v>3.5</v>
      </c>
    </row>
    <row r="1233" spans="1:14" x14ac:dyDescent="0.3">
      <c r="A1233" t="s">
        <v>226</v>
      </c>
      <c r="B1233" t="str">
        <f>TRIM(TTrainingSource[[#This Row],[EMPloyee_ID2]])</f>
        <v>EMP10619</v>
      </c>
      <c r="C1233" t="str">
        <f>IFERROR(VLOOKUP(TTrainingSource[[#This Row],[Employee_ID]],THrList[],3,FALSE),"")</f>
        <v>KOUASSI</v>
      </c>
      <c r="D1233" t="str">
        <f>IFERROR(VLOOKUP(TTrainingSource[[#This Row],[Employee_ID]],THrList[],4,FALSE),"")</f>
        <v>Nina</v>
      </c>
      <c r="E1233" t="str">
        <f>IFERROR(VLOOKUP(TTrainingSource[[#This Row],[Employee_ID]],THrList[],10,FALSE),"")</f>
        <v>Human Resources</v>
      </c>
      <c r="F1233" t="str">
        <f>TRIM(PROPER(TTrainingSource[[#This Row],[Training_Status2]]))</f>
        <v>Completed</v>
      </c>
      <c r="G1233" t="s">
        <v>17</v>
      </c>
      <c r="H1233" t="str">
        <f>TRIM(PROPER(TTrainingSource[[#This Row],[Training_Title2]]))</f>
        <v>Project Management Essentials</v>
      </c>
      <c r="I1233" t="s">
        <v>182</v>
      </c>
      <c r="J1233" s="1">
        <v>45471</v>
      </c>
      <c r="K1233" t="s">
        <v>98</v>
      </c>
      <c r="L1233" s="7">
        <v>8</v>
      </c>
      <c r="M1233">
        <f>ROUND(TTrainingSource[[#This Row],[Satisfaction_Score2]],0)</f>
        <v>5</v>
      </c>
      <c r="N1233">
        <v>4.9000000000000004</v>
      </c>
    </row>
    <row r="1234" spans="1:14" x14ac:dyDescent="0.3">
      <c r="A1234" t="s">
        <v>226</v>
      </c>
      <c r="B1234" t="str">
        <f>TRIM(TTrainingSource[[#This Row],[EMPloyee_ID2]])</f>
        <v>EMP10619</v>
      </c>
      <c r="C1234" t="str">
        <f>IFERROR(VLOOKUP(TTrainingSource[[#This Row],[Employee_ID]],THrList[],3,FALSE),"")</f>
        <v>KOUASSI</v>
      </c>
      <c r="D1234" t="str">
        <f>IFERROR(VLOOKUP(TTrainingSource[[#This Row],[Employee_ID]],THrList[],4,FALSE),"")</f>
        <v>Nina</v>
      </c>
      <c r="E1234" t="str">
        <f>IFERROR(VLOOKUP(TTrainingSource[[#This Row],[Employee_ID]],THrList[],10,FALSE),"")</f>
        <v>Human Resources</v>
      </c>
      <c r="F1234" t="str">
        <f>TRIM(PROPER(TTrainingSource[[#This Row],[Training_Status2]]))</f>
        <v>Completed</v>
      </c>
      <c r="G1234" t="s">
        <v>17</v>
      </c>
      <c r="H1234" t="str">
        <f>TRIM(PROPER(TTrainingSource[[#This Row],[Training_Title2]]))</f>
        <v>Sql For Data Analytics</v>
      </c>
      <c r="I1234" t="s">
        <v>26</v>
      </c>
      <c r="J1234" s="1">
        <v>45902</v>
      </c>
      <c r="K1234" t="s">
        <v>12</v>
      </c>
      <c r="L1234" s="7">
        <v>0</v>
      </c>
      <c r="M1234">
        <f>ROUND(TTrainingSource[[#This Row],[Satisfaction_Score2]],0)</f>
        <v>4</v>
      </c>
      <c r="N1234">
        <v>3.9</v>
      </c>
    </row>
    <row r="1235" spans="1:14" x14ac:dyDescent="0.3">
      <c r="A1235" t="s">
        <v>226</v>
      </c>
      <c r="B1235" t="str">
        <f>TRIM(TTrainingSource[[#This Row],[EMPloyee_ID2]])</f>
        <v>EMP10619</v>
      </c>
      <c r="C1235" t="str">
        <f>IFERROR(VLOOKUP(TTrainingSource[[#This Row],[Employee_ID]],THrList[],3,FALSE),"")</f>
        <v>KOUASSI</v>
      </c>
      <c r="D1235" t="str">
        <f>IFERROR(VLOOKUP(TTrainingSource[[#This Row],[Employee_ID]],THrList[],4,FALSE),"")</f>
        <v>Nina</v>
      </c>
      <c r="E1235" t="str">
        <f>IFERROR(VLOOKUP(TTrainingSource[[#This Row],[Employee_ID]],THrList[],10,FALSE),"")</f>
        <v>Human Resources</v>
      </c>
      <c r="F1235" t="str">
        <f>TRIM(PROPER(TTrainingSource[[#This Row],[Training_Status2]]))</f>
        <v>In Progress</v>
      </c>
      <c r="G1235" t="s">
        <v>8</v>
      </c>
      <c r="H1235" t="str">
        <f>TRIM(PROPER(TTrainingSource[[#This Row],[Training_Title2]]))</f>
        <v>Sql For Data Analytics</v>
      </c>
      <c r="I1235" t="s">
        <v>26</v>
      </c>
      <c r="J1235" s="1">
        <v>45192</v>
      </c>
      <c r="K1235" t="s">
        <v>98</v>
      </c>
      <c r="L1235" s="7">
        <v>40</v>
      </c>
      <c r="M1235">
        <f>ROUND(TTrainingSource[[#This Row],[Satisfaction_Score2]],0)</f>
        <v>5</v>
      </c>
      <c r="N1235">
        <v>4.7</v>
      </c>
    </row>
    <row r="1236" spans="1:14" x14ac:dyDescent="0.3">
      <c r="A1236" t="s">
        <v>226</v>
      </c>
      <c r="B1236" t="str">
        <f>TRIM(TTrainingSource[[#This Row],[EMPloyee_ID2]])</f>
        <v>EMP10619</v>
      </c>
      <c r="C1236" t="str">
        <f>IFERROR(VLOOKUP(TTrainingSource[[#This Row],[Employee_ID]],THrList[],3,FALSE),"")</f>
        <v>KOUASSI</v>
      </c>
      <c r="D1236" t="str">
        <f>IFERROR(VLOOKUP(TTrainingSource[[#This Row],[Employee_ID]],THrList[],4,FALSE),"")</f>
        <v>Nina</v>
      </c>
      <c r="E1236" t="str">
        <f>IFERROR(VLOOKUP(TTrainingSource[[#This Row],[Employee_ID]],THrList[],10,FALSE),"")</f>
        <v>Human Resources</v>
      </c>
      <c r="F1236" t="str">
        <f>TRIM(PROPER(TTrainingSource[[#This Row],[Training_Status2]]))</f>
        <v>Planned</v>
      </c>
      <c r="G1236" t="s">
        <v>19</v>
      </c>
      <c r="H1236" t="str">
        <f>TRIM(PROPER(TTrainingSource[[#This Row],[Training_Title2]]))</f>
        <v>Advanced Excel For Business</v>
      </c>
      <c r="I1236" t="s">
        <v>52</v>
      </c>
      <c r="J1236" s="1">
        <v>45728</v>
      </c>
      <c r="K1236" t="s">
        <v>46</v>
      </c>
      <c r="L1236" s="7">
        <v>20</v>
      </c>
      <c r="M1236">
        <f>ROUND(TTrainingSource[[#This Row],[Satisfaction_Score2]],0)</f>
        <v>4</v>
      </c>
      <c r="N1236">
        <v>3.7</v>
      </c>
    </row>
    <row r="1237" spans="1:14" x14ac:dyDescent="0.3">
      <c r="A1237" t="s">
        <v>226</v>
      </c>
      <c r="B1237" t="str">
        <f>TRIM(TTrainingSource[[#This Row],[EMPloyee_ID2]])</f>
        <v>EMP10619</v>
      </c>
      <c r="C1237" t="str">
        <f>IFERROR(VLOOKUP(TTrainingSource[[#This Row],[Employee_ID]],THrList[],3,FALSE),"")</f>
        <v>KOUASSI</v>
      </c>
      <c r="D1237" t="str">
        <f>IFERROR(VLOOKUP(TTrainingSource[[#This Row],[Employee_ID]],THrList[],4,FALSE),"")</f>
        <v>Nina</v>
      </c>
      <c r="E1237" t="str">
        <f>IFERROR(VLOOKUP(TTrainingSource[[#This Row],[Employee_ID]],THrList[],10,FALSE),"")</f>
        <v>Human Resources</v>
      </c>
      <c r="F1237" t="str">
        <f>TRIM(PROPER(TTrainingSource[[#This Row],[Training_Status2]]))</f>
        <v>Completed</v>
      </c>
      <c r="G1237" t="s">
        <v>17</v>
      </c>
      <c r="H1237" t="str">
        <f>TRIM(PROPER(TTrainingSource[[#This Row],[Training_Title2]]))</f>
        <v>Introduction To Python For Data</v>
      </c>
      <c r="I1237" t="s">
        <v>307</v>
      </c>
      <c r="J1237" s="1">
        <v>44596</v>
      </c>
      <c r="K1237" t="s">
        <v>1072</v>
      </c>
      <c r="L1237" s="7">
        <v>40</v>
      </c>
      <c r="M1237">
        <f>ROUND(TTrainingSource[[#This Row],[Satisfaction_Score2]],0)</f>
        <v>4</v>
      </c>
      <c r="N1237">
        <v>4.3</v>
      </c>
    </row>
    <row r="1238" spans="1:14" x14ac:dyDescent="0.3">
      <c r="A1238" t="s">
        <v>73</v>
      </c>
      <c r="B1238" t="str">
        <f>TRIM(TTrainingSource[[#This Row],[EMPloyee_ID2]])</f>
        <v>EMP10620</v>
      </c>
      <c r="C1238" t="str">
        <f>IFERROR(VLOOKUP(TTrainingSource[[#This Row],[Employee_ID]],THrList[],3,FALSE),"")</f>
        <v>HASSAN</v>
      </c>
      <c r="D1238" t="str">
        <f>IFERROR(VLOOKUP(TTrainingSource[[#This Row],[Employee_ID]],THrList[],4,FALSE),"")</f>
        <v>Abigail</v>
      </c>
      <c r="E1238" t="str">
        <f>IFERROR(VLOOKUP(TTrainingSource[[#This Row],[Employee_ID]],THrList[],10,FALSE),"")</f>
        <v>Marketing</v>
      </c>
      <c r="F1238" t="str">
        <f>TRIM(PROPER(TTrainingSource[[#This Row],[Training_Status2]]))</f>
        <v>Planned</v>
      </c>
      <c r="G1238" t="s">
        <v>19</v>
      </c>
      <c r="H1238" t="str">
        <f>TRIM(PROPER(TTrainingSource[[#This Row],[Training_Title2]]))</f>
        <v>Business Intelligence With Tableau</v>
      </c>
      <c r="I1238" t="s">
        <v>22</v>
      </c>
      <c r="J1238" s="1">
        <v>44733</v>
      </c>
      <c r="K1238" t="s">
        <v>39</v>
      </c>
      <c r="L1238" s="7">
        <v>12</v>
      </c>
      <c r="M1238">
        <f>ROUND(TTrainingSource[[#This Row],[Satisfaction_Score2]],0)</f>
        <v>3</v>
      </c>
      <c r="N1238">
        <v>3.3</v>
      </c>
    </row>
    <row r="1239" spans="1:14" x14ac:dyDescent="0.3">
      <c r="A1239" t="s">
        <v>73</v>
      </c>
      <c r="B1239" t="str">
        <f>TRIM(TTrainingSource[[#This Row],[EMPloyee_ID2]])</f>
        <v>EMP10620</v>
      </c>
      <c r="C1239" t="str">
        <f>IFERROR(VLOOKUP(TTrainingSource[[#This Row],[Employee_ID]],THrList[],3,FALSE),"")</f>
        <v>HASSAN</v>
      </c>
      <c r="D1239" t="str">
        <f>IFERROR(VLOOKUP(TTrainingSource[[#This Row],[Employee_ID]],THrList[],4,FALSE),"")</f>
        <v>Abigail</v>
      </c>
      <c r="E1239" t="str">
        <f>IFERROR(VLOOKUP(TTrainingSource[[#This Row],[Employee_ID]],THrList[],10,FALSE),"")</f>
        <v>Marketing</v>
      </c>
      <c r="F1239" t="str">
        <f>TRIM(PROPER(TTrainingSource[[#This Row],[Training_Status2]]))</f>
        <v>Planned</v>
      </c>
      <c r="G1239" t="s">
        <v>19</v>
      </c>
      <c r="H1239" t="str">
        <f>TRIM(PROPER(TTrainingSource[[#This Row],[Training_Title2]]))</f>
        <v>Introduction To Python For Data</v>
      </c>
      <c r="I1239" t="s">
        <v>62</v>
      </c>
      <c r="J1239" s="1">
        <v>45343</v>
      </c>
      <c r="K1239" t="s">
        <v>29</v>
      </c>
      <c r="L1239" s="7">
        <v>12</v>
      </c>
      <c r="M1239">
        <f>ROUND(TTrainingSource[[#This Row],[Satisfaction_Score2]],0)</f>
        <v>3</v>
      </c>
      <c r="N1239">
        <v>3.4</v>
      </c>
    </row>
    <row r="1240" spans="1:14" x14ac:dyDescent="0.3">
      <c r="A1240" t="s">
        <v>73</v>
      </c>
      <c r="B1240" t="str">
        <f>TRIM(TTrainingSource[[#This Row],[EMPloyee_ID2]])</f>
        <v>EMP10620</v>
      </c>
      <c r="C1240" t="str">
        <f>IFERROR(VLOOKUP(TTrainingSource[[#This Row],[Employee_ID]],THrList[],3,FALSE),"")</f>
        <v>HASSAN</v>
      </c>
      <c r="D1240" t="str">
        <f>IFERROR(VLOOKUP(TTrainingSource[[#This Row],[Employee_ID]],THrList[],4,FALSE),"")</f>
        <v>Abigail</v>
      </c>
      <c r="E1240" t="str">
        <f>IFERROR(VLOOKUP(TTrainingSource[[#This Row],[Employee_ID]],THrList[],10,FALSE),"")</f>
        <v>Marketing</v>
      </c>
      <c r="F1240" t="str">
        <f>TRIM(PROPER(TTrainingSource[[#This Row],[Training_Status2]]))</f>
        <v>Completed</v>
      </c>
      <c r="G1240" t="s">
        <v>17</v>
      </c>
      <c r="H1240" t="str">
        <f>TRIM(PROPER(TTrainingSource[[#This Row],[Training_Title2]]))</f>
        <v>Customer Data Analysis</v>
      </c>
      <c r="I1240" t="s">
        <v>31</v>
      </c>
      <c r="J1240" s="1">
        <v>45368</v>
      </c>
      <c r="K1240" t="s">
        <v>42</v>
      </c>
      <c r="L1240" s="7">
        <v>6</v>
      </c>
      <c r="M1240">
        <f>ROUND(TTrainingSource[[#This Row],[Satisfaction_Score2]],0)</f>
        <v>5</v>
      </c>
      <c r="N1240">
        <v>4.5999999999999996</v>
      </c>
    </row>
    <row r="1241" spans="1:14" x14ac:dyDescent="0.3">
      <c r="A1241" t="s">
        <v>73</v>
      </c>
      <c r="B1241" t="str">
        <f>TRIM(TTrainingSource[[#This Row],[EMPloyee_ID2]])</f>
        <v>EMP10620</v>
      </c>
      <c r="C1241" t="str">
        <f>IFERROR(VLOOKUP(TTrainingSource[[#This Row],[Employee_ID]],THrList[],3,FALSE),"")</f>
        <v>HASSAN</v>
      </c>
      <c r="D1241" t="str">
        <f>IFERROR(VLOOKUP(TTrainingSource[[#This Row],[Employee_ID]],THrList[],4,FALSE),"")</f>
        <v>Abigail</v>
      </c>
      <c r="E1241" t="str">
        <f>IFERROR(VLOOKUP(TTrainingSource[[#This Row],[Employee_ID]],THrList[],10,FALSE),"")</f>
        <v>Marketing</v>
      </c>
      <c r="F1241" t="str">
        <f>TRIM(PROPER(TTrainingSource[[#This Row],[Training_Status2]]))</f>
        <v>In Progress</v>
      </c>
      <c r="G1241" t="s">
        <v>67</v>
      </c>
      <c r="H1241" t="str">
        <f>TRIM(PROPER(TTrainingSource[[#This Row],[Training_Title2]]))</f>
        <v>Sql For Data Analytics</v>
      </c>
      <c r="I1241" t="s">
        <v>26</v>
      </c>
      <c r="J1241" s="1">
        <v>45060</v>
      </c>
      <c r="K1241" t="s">
        <v>15</v>
      </c>
      <c r="L1241" s="7">
        <v>4</v>
      </c>
      <c r="M1241">
        <f>ROUND(TTrainingSource[[#This Row],[Satisfaction_Score2]],0)</f>
        <v>3</v>
      </c>
      <c r="N1241">
        <v>2.8</v>
      </c>
    </row>
    <row r="1242" spans="1:14" x14ac:dyDescent="0.3">
      <c r="A1242" t="s">
        <v>1052</v>
      </c>
      <c r="B1242" t="str">
        <f>TRIM(TTrainingSource[[#This Row],[EMPloyee_ID2]])</f>
        <v>EMP10621</v>
      </c>
      <c r="C1242" t="str">
        <f>IFERROR(VLOOKUP(TTrainingSource[[#This Row],[Employee_ID]],THrList[],3,FALSE),"")</f>
        <v>KIM</v>
      </c>
      <c r="D1242" t="str">
        <f>IFERROR(VLOOKUP(TTrainingSource[[#This Row],[Employee_ID]],THrList[],4,FALSE),"")</f>
        <v>Amina</v>
      </c>
      <c r="E1242" t="str">
        <f>IFERROR(VLOOKUP(TTrainingSource[[#This Row],[Employee_ID]],THrList[],10,FALSE),"")</f>
        <v>Sales</v>
      </c>
      <c r="F1242" t="str">
        <f>TRIM(PROPER(TTrainingSource[[#This Row],[Training_Status2]]))</f>
        <v>Planned</v>
      </c>
      <c r="G1242" t="s">
        <v>19</v>
      </c>
      <c r="H1242" t="str">
        <f>TRIM(PROPER(TTrainingSource[[#This Row],[Training_Title2]]))</f>
        <v>Data Visualization Best Practices</v>
      </c>
      <c r="I1242" t="s">
        <v>20</v>
      </c>
      <c r="J1242" s="1">
        <v>45142</v>
      </c>
      <c r="K1242" t="s">
        <v>1072</v>
      </c>
      <c r="L1242" s="7">
        <v>32</v>
      </c>
      <c r="M1242">
        <f>ROUND(TTrainingSource[[#This Row],[Satisfaction_Score2]],0)</f>
        <v>5</v>
      </c>
      <c r="N1242">
        <v>4.8</v>
      </c>
    </row>
    <row r="1243" spans="1:14" x14ac:dyDescent="0.3">
      <c r="A1243" t="s">
        <v>502</v>
      </c>
      <c r="B1243" t="str">
        <f>TRIM(TTrainingSource[[#This Row],[EMPloyee_ID2]])</f>
        <v>EMP10622</v>
      </c>
      <c r="C1243" t="str">
        <f>IFERROR(VLOOKUP(TTrainingSource[[#This Row],[Employee_ID]],THrList[],3,FALSE),"")</f>
        <v>SINGH</v>
      </c>
      <c r="D1243" t="str">
        <f>IFERROR(VLOOKUP(TTrainingSource[[#This Row],[Employee_ID]],THrList[],4,FALSE),"")</f>
        <v>Omar</v>
      </c>
      <c r="E1243" t="str">
        <f>IFERROR(VLOOKUP(TTrainingSource[[#This Row],[Employee_ID]],THrList[],10,FALSE),"")</f>
        <v>Sales</v>
      </c>
      <c r="F1243" t="str">
        <f>TRIM(PROPER(TTrainingSource[[#This Row],[Training_Status2]]))</f>
        <v>Completed</v>
      </c>
      <c r="G1243" t="s">
        <v>17</v>
      </c>
      <c r="H1243" t="str">
        <f>TRIM(PROPER(TTrainingSource[[#This Row],[Training_Title2]]))</f>
        <v>Advanced Excel For Business</v>
      </c>
      <c r="I1243" t="s">
        <v>52</v>
      </c>
      <c r="J1243" s="1">
        <v>45193</v>
      </c>
      <c r="K1243" t="s">
        <v>44</v>
      </c>
      <c r="L1243" s="7">
        <v>6</v>
      </c>
      <c r="M1243">
        <f>ROUND(TTrainingSource[[#This Row],[Satisfaction_Score2]],0)</f>
        <v>3</v>
      </c>
      <c r="N1243">
        <v>2.7</v>
      </c>
    </row>
    <row r="1244" spans="1:14" x14ac:dyDescent="0.3">
      <c r="A1244" t="s">
        <v>502</v>
      </c>
      <c r="B1244" t="str">
        <f>TRIM(TTrainingSource[[#This Row],[EMPloyee_ID2]])</f>
        <v>EMP10622</v>
      </c>
      <c r="C1244" t="str">
        <f>IFERROR(VLOOKUP(TTrainingSource[[#This Row],[Employee_ID]],THrList[],3,FALSE),"")</f>
        <v>SINGH</v>
      </c>
      <c r="D1244" t="str">
        <f>IFERROR(VLOOKUP(TTrainingSource[[#This Row],[Employee_ID]],THrList[],4,FALSE),"")</f>
        <v>Omar</v>
      </c>
      <c r="E1244" t="str">
        <f>IFERROR(VLOOKUP(TTrainingSource[[#This Row],[Employee_ID]],THrList[],10,FALSE),"")</f>
        <v>Sales</v>
      </c>
      <c r="F1244" t="str">
        <f>TRIM(PROPER(TTrainingSource[[#This Row],[Training_Status2]]))</f>
        <v>Planned</v>
      </c>
      <c r="G1244" t="s">
        <v>19</v>
      </c>
      <c r="H1244" t="str">
        <f>TRIM(PROPER(TTrainingSource[[#This Row],[Training_Title2]]))</f>
        <v>Sql For Data Analytics</v>
      </c>
      <c r="I1244" t="s">
        <v>26</v>
      </c>
      <c r="J1244" s="1">
        <v>45755</v>
      </c>
      <c r="K1244" t="s">
        <v>32</v>
      </c>
      <c r="L1244" s="7">
        <v>4</v>
      </c>
      <c r="M1244">
        <f>ROUND(TTrainingSource[[#This Row],[Satisfaction_Score2]],0)</f>
        <v>4</v>
      </c>
      <c r="N1244">
        <v>4.3</v>
      </c>
    </row>
    <row r="1245" spans="1:14" x14ac:dyDescent="0.3">
      <c r="A1245" t="s">
        <v>502</v>
      </c>
      <c r="B1245" t="str">
        <f>TRIM(TTrainingSource[[#This Row],[EMPloyee_ID2]])</f>
        <v>EMP10622</v>
      </c>
      <c r="C1245" t="str">
        <f>IFERROR(VLOOKUP(TTrainingSource[[#This Row],[Employee_ID]],THrList[],3,FALSE),"")</f>
        <v>SINGH</v>
      </c>
      <c r="D1245" t="str">
        <f>IFERROR(VLOOKUP(TTrainingSource[[#This Row],[Employee_ID]],THrList[],4,FALSE),"")</f>
        <v>Omar</v>
      </c>
      <c r="E1245" t="str">
        <f>IFERROR(VLOOKUP(TTrainingSource[[#This Row],[Employee_ID]],THrList[],10,FALSE),"")</f>
        <v>Sales</v>
      </c>
      <c r="F1245" t="str">
        <f>TRIM(PROPER(TTrainingSource[[#This Row],[Training_Status2]]))</f>
        <v>Planned</v>
      </c>
      <c r="G1245" t="s">
        <v>19</v>
      </c>
      <c r="H1245" t="str">
        <f>TRIM(PROPER(TTrainingSource[[#This Row],[Training_Title2]]))</f>
        <v>Financial Modeling Basics</v>
      </c>
      <c r="I1245" t="s">
        <v>38</v>
      </c>
      <c r="J1245" s="1">
        <v>45707</v>
      </c>
      <c r="K1245" t="s">
        <v>32</v>
      </c>
      <c r="L1245" s="7">
        <v>16</v>
      </c>
      <c r="M1245">
        <f>ROUND(TTrainingSource[[#This Row],[Satisfaction_Score2]],0)</f>
        <v>3</v>
      </c>
      <c r="N1245">
        <v>2.6</v>
      </c>
    </row>
    <row r="1246" spans="1:14" x14ac:dyDescent="0.3">
      <c r="A1246" t="s">
        <v>471</v>
      </c>
      <c r="B1246" t="str">
        <f>TRIM(TTrainingSource[[#This Row],[EMPloyee_ID2]])</f>
        <v>EMP10623</v>
      </c>
      <c r="C1246" t="str">
        <f>IFERROR(VLOOKUP(TTrainingSource[[#This Row],[Employee_ID]],THrList[],3,FALSE),"")</f>
        <v>JOHNSON</v>
      </c>
      <c r="D1246" t="str">
        <f>IFERROR(VLOOKUP(TTrainingSource[[#This Row],[Employee_ID]],THrList[],4,FALSE),"")</f>
        <v>Akosua</v>
      </c>
      <c r="E1246" t="str">
        <f>IFERROR(VLOOKUP(TTrainingSource[[#This Row],[Employee_ID]],THrList[],10,FALSE),"")</f>
        <v>Procurement</v>
      </c>
      <c r="F1246" t="str">
        <f>TRIM(PROPER(TTrainingSource[[#This Row],[Training_Status2]]))</f>
        <v>Planned</v>
      </c>
      <c r="G1246" t="s">
        <v>10</v>
      </c>
      <c r="H1246" t="str">
        <f>TRIM(PROPER(TTrainingSource[[#This Row],[Training_Title2]]))</f>
        <v>Sql For Data Analytics</v>
      </c>
      <c r="I1246" t="s">
        <v>11</v>
      </c>
      <c r="J1246" s="1">
        <v>44808</v>
      </c>
      <c r="K1246" t="s">
        <v>12</v>
      </c>
      <c r="L1246" s="7">
        <v>8</v>
      </c>
      <c r="M1246">
        <f>ROUND(TTrainingSource[[#This Row],[Satisfaction_Score2]],0)</f>
        <v>4</v>
      </c>
      <c r="N1246">
        <v>3.6</v>
      </c>
    </row>
    <row r="1247" spans="1:14" x14ac:dyDescent="0.3">
      <c r="A1247" t="s">
        <v>471</v>
      </c>
      <c r="B1247" t="str">
        <f>TRIM(TTrainingSource[[#This Row],[EMPloyee_ID2]])</f>
        <v>EMP10623</v>
      </c>
      <c r="C1247" t="str">
        <f>IFERROR(VLOOKUP(TTrainingSource[[#This Row],[Employee_ID]],THrList[],3,FALSE),"")</f>
        <v>JOHNSON</v>
      </c>
      <c r="D1247" t="str">
        <f>IFERROR(VLOOKUP(TTrainingSource[[#This Row],[Employee_ID]],THrList[],4,FALSE),"")</f>
        <v>Akosua</v>
      </c>
      <c r="E1247" t="str">
        <f>IFERROR(VLOOKUP(TTrainingSource[[#This Row],[Employee_ID]],THrList[],10,FALSE),"")</f>
        <v>Procurement</v>
      </c>
      <c r="F1247" t="str">
        <f>TRIM(PROPER(TTrainingSource[[#This Row],[Training_Status2]]))</f>
        <v>Completed</v>
      </c>
      <c r="G1247" t="s">
        <v>17</v>
      </c>
      <c r="H1247" t="str">
        <f>TRIM(PROPER(TTrainingSource[[#This Row],[Training_Title2]]))</f>
        <v>Sql For Data Analytics</v>
      </c>
      <c r="I1247" t="s">
        <v>26</v>
      </c>
      <c r="J1247" s="1">
        <v>44797</v>
      </c>
      <c r="K1247" t="s">
        <v>46</v>
      </c>
      <c r="L1247" s="7">
        <v>12</v>
      </c>
      <c r="M1247">
        <f>ROUND(TTrainingSource[[#This Row],[Satisfaction_Score2]],0)</f>
        <v>5</v>
      </c>
      <c r="N1247">
        <v>4.7</v>
      </c>
    </row>
    <row r="1248" spans="1:14" x14ac:dyDescent="0.3">
      <c r="A1248" t="s">
        <v>7</v>
      </c>
      <c r="B1248" t="str">
        <f>TRIM(TTrainingSource[[#This Row],[EMPloyee_ID2]])</f>
        <v>EMP10624</v>
      </c>
      <c r="C1248" t="str">
        <f>IFERROR(VLOOKUP(TTrainingSource[[#This Row],[Employee_ID]],THrList[],3,FALSE),"")</f>
        <v>MOORE</v>
      </c>
      <c r="D1248" t="str">
        <f>IFERROR(VLOOKUP(TTrainingSource[[#This Row],[Employee_ID]],THrList[],4,FALSE),"")</f>
        <v>Liam</v>
      </c>
      <c r="E1248" t="str">
        <f>IFERROR(VLOOKUP(TTrainingSource[[#This Row],[Employee_ID]],THrList[],10,FALSE),"")</f>
        <v>Sales</v>
      </c>
      <c r="F1248" t="str">
        <f>TRIM(PROPER(TTrainingSource[[#This Row],[Training_Status2]]))</f>
        <v>In Progress</v>
      </c>
      <c r="G1248" t="s">
        <v>8</v>
      </c>
      <c r="H1248" t="str">
        <f>TRIM(PROPER(TTrainingSource[[#This Row],[Training_Title2]]))</f>
        <v>Data Analysis Fundamentals</v>
      </c>
      <c r="I1248" t="s">
        <v>9</v>
      </c>
      <c r="J1248" s="1">
        <v>45431</v>
      </c>
      <c r="K1248" t="s">
        <v>46</v>
      </c>
      <c r="L1248" s="7">
        <v>16</v>
      </c>
      <c r="M1248">
        <f>ROUND(TTrainingSource[[#This Row],[Satisfaction_Score2]],0)</f>
        <v>3</v>
      </c>
      <c r="N1248">
        <v>3.2</v>
      </c>
    </row>
    <row r="1249" spans="1:14" x14ac:dyDescent="0.3">
      <c r="A1249" t="s">
        <v>7</v>
      </c>
      <c r="B1249" t="str">
        <f>TRIM(TTrainingSource[[#This Row],[EMPloyee_ID2]])</f>
        <v>EMP10624</v>
      </c>
      <c r="C1249" t="str">
        <f>IFERROR(VLOOKUP(TTrainingSource[[#This Row],[Employee_ID]],THrList[],3,FALSE),"")</f>
        <v>MOORE</v>
      </c>
      <c r="D1249" t="str">
        <f>IFERROR(VLOOKUP(TTrainingSource[[#This Row],[Employee_ID]],THrList[],4,FALSE),"")</f>
        <v>Liam</v>
      </c>
      <c r="E1249" t="str">
        <f>IFERROR(VLOOKUP(TTrainingSource[[#This Row],[Employee_ID]],THrList[],10,FALSE),"")</f>
        <v>Sales</v>
      </c>
      <c r="F1249" t="str">
        <f>TRIM(PROPER(TTrainingSource[[#This Row],[Training_Status2]]))</f>
        <v>Completed</v>
      </c>
      <c r="G1249" t="s">
        <v>17</v>
      </c>
      <c r="H1249" t="str">
        <f>TRIM(PROPER(TTrainingSource[[#This Row],[Training_Title2]]))</f>
        <v>Project Management Essentials</v>
      </c>
      <c r="I1249" t="s">
        <v>549</v>
      </c>
      <c r="J1249" s="1">
        <v>44933</v>
      </c>
      <c r="K1249" t="s">
        <v>29</v>
      </c>
      <c r="L1249" s="7">
        <v>20</v>
      </c>
      <c r="M1249">
        <f>ROUND(TTrainingSource[[#This Row],[Satisfaction_Score2]],0)</f>
        <v>3</v>
      </c>
      <c r="N1249">
        <v>2.7</v>
      </c>
    </row>
    <row r="1250" spans="1:14" x14ac:dyDescent="0.3">
      <c r="A1250" t="s">
        <v>317</v>
      </c>
      <c r="B1250" t="str">
        <f>TRIM(TTrainingSource[[#This Row],[EMPloyee_ID2]])</f>
        <v>EMP10625</v>
      </c>
      <c r="C1250" t="str">
        <f>IFERROR(VLOOKUP(TTrainingSource[[#This Row],[Employee_ID]],THrList[],3,FALSE),"")</f>
        <v>HERNANDEZ</v>
      </c>
      <c r="D1250" t="str">
        <f>IFERROR(VLOOKUP(TTrainingSource[[#This Row],[Employee_ID]],THrList[],4,FALSE),"")</f>
        <v>Olivia</v>
      </c>
      <c r="E1250" t="str">
        <f>IFERROR(VLOOKUP(TTrainingSource[[#This Row],[Employee_ID]],THrList[],10,FALSE),"")</f>
        <v>Human Resources</v>
      </c>
      <c r="F1250" t="str">
        <f>TRIM(PROPER(TTrainingSource[[#This Row],[Training_Status2]]))</f>
        <v>In Progress</v>
      </c>
      <c r="G1250" t="s">
        <v>8</v>
      </c>
      <c r="H1250" t="str">
        <f>TRIM(PROPER(TTrainingSource[[#This Row],[Training_Title2]]))</f>
        <v>Project Management Essentials</v>
      </c>
      <c r="I1250" t="s">
        <v>14</v>
      </c>
      <c r="J1250" s="1">
        <v>45818</v>
      </c>
      <c r="K1250" t="s">
        <v>1072</v>
      </c>
      <c r="L1250" s="7">
        <v>24</v>
      </c>
      <c r="M1250">
        <f>ROUND(TTrainingSource[[#This Row],[Satisfaction_Score2]],0)</f>
        <v>4</v>
      </c>
      <c r="N1250">
        <v>4.0999999999999996</v>
      </c>
    </row>
    <row r="1251" spans="1:14" x14ac:dyDescent="0.3">
      <c r="A1251" t="s">
        <v>317</v>
      </c>
      <c r="B1251" t="str">
        <f>TRIM(TTrainingSource[[#This Row],[EMPloyee_ID2]])</f>
        <v>EMP10625</v>
      </c>
      <c r="C1251" t="str">
        <f>IFERROR(VLOOKUP(TTrainingSource[[#This Row],[Employee_ID]],THrList[],3,FALSE),"")</f>
        <v>HERNANDEZ</v>
      </c>
      <c r="D1251" t="str">
        <f>IFERROR(VLOOKUP(TTrainingSource[[#This Row],[Employee_ID]],THrList[],4,FALSE),"")</f>
        <v>Olivia</v>
      </c>
      <c r="E1251" t="str">
        <f>IFERROR(VLOOKUP(TTrainingSource[[#This Row],[Employee_ID]],THrList[],10,FALSE),"")</f>
        <v>Human Resources</v>
      </c>
      <c r="F1251" t="str">
        <f>TRIM(PROPER(TTrainingSource[[#This Row],[Training_Status2]]))</f>
        <v>Completed</v>
      </c>
      <c r="G1251" t="s">
        <v>17</v>
      </c>
      <c r="H1251" t="str">
        <f>TRIM(PROPER(TTrainingSource[[#This Row],[Training_Title2]]))</f>
        <v>Sql For Data Analytics</v>
      </c>
      <c r="I1251" t="s">
        <v>26</v>
      </c>
      <c r="J1251" s="1">
        <v>45809</v>
      </c>
      <c r="K1251" t="s">
        <v>32</v>
      </c>
      <c r="L1251" s="7">
        <v>40</v>
      </c>
      <c r="M1251">
        <f>ROUND(TTrainingSource[[#This Row],[Satisfaction_Score2]],0)</f>
        <v>5</v>
      </c>
      <c r="N1251">
        <v>4.5</v>
      </c>
    </row>
    <row r="1252" spans="1:14" x14ac:dyDescent="0.3">
      <c r="A1252" t="s">
        <v>457</v>
      </c>
      <c r="B1252" t="str">
        <f>TRIM(TTrainingSource[[#This Row],[EMPloyee_ID2]])</f>
        <v>EMP10626</v>
      </c>
      <c r="C1252" t="str">
        <f>IFERROR(VLOOKUP(TTrainingSource[[#This Row],[Employee_ID]],THrList[],3,FALSE),"")</f>
        <v>MOREAU</v>
      </c>
      <c r="D1252" t="str">
        <f>IFERROR(VLOOKUP(TTrainingSource[[#This Row],[Employee_ID]],THrList[],4,FALSE),"")</f>
        <v>Antoine</v>
      </c>
      <c r="E1252" t="str">
        <f>IFERROR(VLOOKUP(TTrainingSource[[#This Row],[Employee_ID]],THrList[],10,FALSE),"")</f>
        <v>Procurement</v>
      </c>
      <c r="F1252" t="str">
        <f>TRIM(PROPER(TTrainingSource[[#This Row],[Training_Status2]]))</f>
        <v>In Progress</v>
      </c>
      <c r="G1252" t="s">
        <v>8</v>
      </c>
      <c r="H1252" t="str">
        <f>TRIM(PROPER(TTrainingSource[[#This Row],[Training_Title2]]))</f>
        <v>Introduction To Python For Data</v>
      </c>
      <c r="I1252" t="s">
        <v>62</v>
      </c>
      <c r="J1252" s="1">
        <v>45738</v>
      </c>
      <c r="K1252" t="s">
        <v>46</v>
      </c>
      <c r="L1252" s="7">
        <v>16</v>
      </c>
      <c r="M1252">
        <f>ROUND(TTrainingSource[[#This Row],[Satisfaction_Score2]],0)</f>
        <v>4</v>
      </c>
      <c r="N1252">
        <v>3.5</v>
      </c>
    </row>
    <row r="1253" spans="1:14" x14ac:dyDescent="0.3">
      <c r="A1253" t="s">
        <v>457</v>
      </c>
      <c r="B1253" t="str">
        <f>TRIM(TTrainingSource[[#This Row],[EMPloyee_ID2]])</f>
        <v>EMP10626</v>
      </c>
      <c r="C1253" t="str">
        <f>IFERROR(VLOOKUP(TTrainingSource[[#This Row],[Employee_ID]],THrList[],3,FALSE),"")</f>
        <v>MOREAU</v>
      </c>
      <c r="D1253" t="str">
        <f>IFERROR(VLOOKUP(TTrainingSource[[#This Row],[Employee_ID]],THrList[],4,FALSE),"")</f>
        <v>Antoine</v>
      </c>
      <c r="E1253" t="str">
        <f>IFERROR(VLOOKUP(TTrainingSource[[#This Row],[Employee_ID]],THrList[],10,FALSE),"")</f>
        <v>Procurement</v>
      </c>
      <c r="F1253" t="str">
        <f>TRIM(PROPER(TTrainingSource[[#This Row],[Training_Status2]]))</f>
        <v>In Progress</v>
      </c>
      <c r="G1253" t="s">
        <v>8</v>
      </c>
      <c r="H1253" t="str">
        <f>TRIM(PROPER(TTrainingSource[[#This Row],[Training_Title2]]))</f>
        <v>Financial Modeling Basics</v>
      </c>
      <c r="I1253" t="s">
        <v>38</v>
      </c>
      <c r="J1253" s="1">
        <v>44675</v>
      </c>
      <c r="K1253" t="s">
        <v>32</v>
      </c>
      <c r="L1253" s="7">
        <v>8</v>
      </c>
      <c r="M1253">
        <f>ROUND(TTrainingSource[[#This Row],[Satisfaction_Score2]],0)</f>
        <v>4</v>
      </c>
      <c r="N1253">
        <v>3.8</v>
      </c>
    </row>
    <row r="1254" spans="1:14" x14ac:dyDescent="0.3">
      <c r="A1254" t="s">
        <v>178</v>
      </c>
      <c r="B1254" t="str">
        <f>TRIM(TTrainingSource[[#This Row],[EMPloyee_ID2]])</f>
        <v>EMP10628</v>
      </c>
      <c r="C1254" t="str">
        <f>IFERROR(VLOOKUP(TTrainingSource[[#This Row],[Employee_ID]],THrList[],3,FALSE),"")</f>
        <v>CHEN</v>
      </c>
      <c r="D1254" t="str">
        <f>IFERROR(VLOOKUP(TTrainingSource[[#This Row],[Employee_ID]],THrList[],4,FALSE),"")</f>
        <v>Omar</v>
      </c>
      <c r="E1254" t="str">
        <f>IFERROR(VLOOKUP(TTrainingSource[[#This Row],[Employee_ID]],THrList[],10,FALSE),"")</f>
        <v>Human Resources</v>
      </c>
      <c r="F1254" t="str">
        <f>TRIM(PROPER(TTrainingSource[[#This Row],[Training_Status2]]))</f>
        <v>Completed</v>
      </c>
      <c r="G1254" t="s">
        <v>17</v>
      </c>
      <c r="H1254" t="str">
        <f>TRIM(PROPER(TTrainingSource[[#This Row],[Training_Title2]]))</f>
        <v>Data Visualization Best Practices</v>
      </c>
      <c r="I1254" t="s">
        <v>20</v>
      </c>
      <c r="J1254" s="1">
        <v>45804</v>
      </c>
      <c r="K1254" t="s">
        <v>44</v>
      </c>
      <c r="L1254" s="7">
        <v>32</v>
      </c>
      <c r="M1254">
        <f>ROUND(TTrainingSource[[#This Row],[Satisfaction_Score2]],0)</f>
        <v>3</v>
      </c>
      <c r="N1254">
        <v>3</v>
      </c>
    </row>
    <row r="1255" spans="1:14" x14ac:dyDescent="0.3">
      <c r="A1255" t="s">
        <v>178</v>
      </c>
      <c r="B1255" t="str">
        <f>TRIM(TTrainingSource[[#This Row],[EMPloyee_ID2]])</f>
        <v>EMP10628</v>
      </c>
      <c r="C1255" t="str">
        <f>IFERROR(VLOOKUP(TTrainingSource[[#This Row],[Employee_ID]],THrList[],3,FALSE),"")</f>
        <v>CHEN</v>
      </c>
      <c r="D1255" t="str">
        <f>IFERROR(VLOOKUP(TTrainingSource[[#This Row],[Employee_ID]],THrList[],4,FALSE),"")</f>
        <v>Omar</v>
      </c>
      <c r="E1255" t="str">
        <f>IFERROR(VLOOKUP(TTrainingSource[[#This Row],[Employee_ID]],THrList[],10,FALSE),"")</f>
        <v>Human Resources</v>
      </c>
      <c r="F1255" t="str">
        <f>TRIM(PROPER(TTrainingSource[[#This Row],[Training_Status2]]))</f>
        <v>Completed</v>
      </c>
      <c r="G1255" t="s">
        <v>17</v>
      </c>
      <c r="H1255" t="str">
        <f>TRIM(PROPER(TTrainingSource[[#This Row],[Training_Title2]]))</f>
        <v>Customer Data Analysis</v>
      </c>
      <c r="I1255" t="s">
        <v>31</v>
      </c>
      <c r="J1255" s="1">
        <v>45591</v>
      </c>
      <c r="K1255" t="s">
        <v>32</v>
      </c>
      <c r="L1255" s="7">
        <v>16</v>
      </c>
      <c r="M1255">
        <f>ROUND(TTrainingSource[[#This Row],[Satisfaction_Score2]],0)</f>
        <v>5</v>
      </c>
      <c r="N1255">
        <v>5</v>
      </c>
    </row>
    <row r="1256" spans="1:14" x14ac:dyDescent="0.3">
      <c r="A1256" t="s">
        <v>617</v>
      </c>
      <c r="B1256" t="str">
        <f>TRIM(TTrainingSource[[#This Row],[EMPloyee_ID2]])</f>
        <v>EMP10629</v>
      </c>
      <c r="C1256" t="str">
        <f>IFERROR(VLOOKUP(TTrainingSource[[#This Row],[Employee_ID]],THrList[],3,FALSE),"")</f>
        <v>SMITH</v>
      </c>
      <c r="D1256" t="str">
        <f>IFERROR(VLOOKUP(TTrainingSource[[#This Row],[Employee_ID]],THrList[],4,FALSE),"")</f>
        <v>Liam</v>
      </c>
      <c r="E1256" t="str">
        <f>IFERROR(VLOOKUP(TTrainingSource[[#This Row],[Employee_ID]],THrList[],10,FALSE),"")</f>
        <v>Procurement</v>
      </c>
      <c r="F1256" t="str">
        <f>TRIM(PROPER(TTrainingSource[[#This Row],[Training_Status2]]))</f>
        <v>Completed</v>
      </c>
      <c r="G1256" t="s">
        <v>17</v>
      </c>
      <c r="H1256" t="str">
        <f>TRIM(PROPER(TTrainingSource[[#This Row],[Training_Title2]]))</f>
        <v>Data Analysis Fundamentals</v>
      </c>
      <c r="I1256" t="s">
        <v>9</v>
      </c>
      <c r="J1256" s="1">
        <v>45235</v>
      </c>
      <c r="K1256" t="s">
        <v>12</v>
      </c>
      <c r="L1256" s="7">
        <v>20</v>
      </c>
      <c r="M1256">
        <f>ROUND(TTrainingSource[[#This Row],[Satisfaction_Score2]],0)</f>
        <v>3</v>
      </c>
      <c r="N1256">
        <v>3.3</v>
      </c>
    </row>
    <row r="1257" spans="1:14" x14ac:dyDescent="0.3">
      <c r="A1257" t="s">
        <v>617</v>
      </c>
      <c r="B1257" t="str">
        <f>TRIM(TTrainingSource[[#This Row],[EMPloyee_ID2]])</f>
        <v>EMP10629</v>
      </c>
      <c r="C1257" t="str">
        <f>IFERROR(VLOOKUP(TTrainingSource[[#This Row],[Employee_ID]],THrList[],3,FALSE),"")</f>
        <v>SMITH</v>
      </c>
      <c r="D1257" t="str">
        <f>IFERROR(VLOOKUP(TTrainingSource[[#This Row],[Employee_ID]],THrList[],4,FALSE),"")</f>
        <v>Liam</v>
      </c>
      <c r="E1257" t="str">
        <f>IFERROR(VLOOKUP(TTrainingSource[[#This Row],[Employee_ID]],THrList[],10,FALSE),"")</f>
        <v>Procurement</v>
      </c>
      <c r="F1257" t="str">
        <f>TRIM(PROPER(TTrainingSource[[#This Row],[Training_Status2]]))</f>
        <v>Completed</v>
      </c>
      <c r="G1257" t="s">
        <v>17</v>
      </c>
      <c r="H1257" t="str">
        <f>TRIM(PROPER(TTrainingSource[[#This Row],[Training_Title2]]))</f>
        <v>Customer Data Analysis</v>
      </c>
      <c r="I1257" t="s">
        <v>31</v>
      </c>
      <c r="J1257" s="1">
        <v>44692</v>
      </c>
      <c r="K1257" t="s">
        <v>98</v>
      </c>
      <c r="L1257" s="7">
        <v>32</v>
      </c>
      <c r="M1257">
        <f>ROUND(TTrainingSource[[#This Row],[Satisfaction_Score2]],0)</f>
        <v>5</v>
      </c>
      <c r="N1257">
        <v>4.7</v>
      </c>
    </row>
    <row r="1258" spans="1:14" x14ac:dyDescent="0.3">
      <c r="A1258" t="s">
        <v>417</v>
      </c>
      <c r="B1258" t="str">
        <f>TRIM(TTrainingSource[[#This Row],[EMPloyee_ID2]])</f>
        <v>EMP10630</v>
      </c>
      <c r="C1258" t="str">
        <f>IFERROR(VLOOKUP(TTrainingSource[[#This Row],[Employee_ID]],THrList[],3,FALSE),"")</f>
        <v>WILSON</v>
      </c>
      <c r="D1258" t="str">
        <f>IFERROR(VLOOKUP(TTrainingSource[[#This Row],[Employee_ID]],THrList[],4,FALSE),"")</f>
        <v>James</v>
      </c>
      <c r="E1258" t="str">
        <f>IFERROR(VLOOKUP(TTrainingSource[[#This Row],[Employee_ID]],THrList[],10,FALSE),"")</f>
        <v>IT</v>
      </c>
      <c r="F1258" t="str">
        <f>TRIM(PROPER(TTrainingSource[[#This Row],[Training_Status2]]))</f>
        <v>In Progress</v>
      </c>
      <c r="G1258" t="s">
        <v>8</v>
      </c>
      <c r="H1258" t="str">
        <f>TRIM(PROPER(TTrainingSource[[#This Row],[Training_Title2]]))</f>
        <v>Digital Marketing Strategy</v>
      </c>
      <c r="I1258" t="s">
        <v>43</v>
      </c>
      <c r="J1258" s="1">
        <v>45823</v>
      </c>
      <c r="K1258" t="s">
        <v>39</v>
      </c>
      <c r="L1258" s="7">
        <v>8</v>
      </c>
      <c r="M1258">
        <f>ROUND(TTrainingSource[[#This Row],[Satisfaction_Score2]],0)</f>
        <v>3</v>
      </c>
      <c r="N1258">
        <v>2.7</v>
      </c>
    </row>
    <row r="1259" spans="1:14" x14ac:dyDescent="0.3">
      <c r="A1259" t="s">
        <v>419</v>
      </c>
      <c r="B1259" t="str">
        <f>TRIM(TTrainingSource[[#This Row],[EMPloyee_ID2]])</f>
        <v>EMP10630</v>
      </c>
      <c r="C1259" t="str">
        <f>IFERROR(VLOOKUP(TTrainingSource[[#This Row],[Employee_ID]],THrList[],3,FALSE),"")</f>
        <v>WILSON</v>
      </c>
      <c r="D1259" t="str">
        <f>IFERROR(VLOOKUP(TTrainingSource[[#This Row],[Employee_ID]],THrList[],4,FALSE),"")</f>
        <v>James</v>
      </c>
      <c r="E1259" t="str">
        <f>IFERROR(VLOOKUP(TTrainingSource[[#This Row],[Employee_ID]],THrList[],10,FALSE),"")</f>
        <v>IT</v>
      </c>
      <c r="F1259" t="str">
        <f>TRIM(PROPER(TTrainingSource[[#This Row],[Training_Status2]]))</f>
        <v>In Progress</v>
      </c>
      <c r="G1259" t="s">
        <v>8</v>
      </c>
      <c r="H1259" t="str">
        <f>TRIM(PROPER(TTrainingSource[[#This Row],[Training_Title2]]))</f>
        <v>Business Intelligence With Tableau</v>
      </c>
      <c r="I1259" t="s">
        <v>349</v>
      </c>
      <c r="J1259" s="1">
        <v>45226</v>
      </c>
      <c r="K1259" t="s">
        <v>44</v>
      </c>
      <c r="L1259" s="7">
        <v>8</v>
      </c>
      <c r="M1259">
        <f>ROUND(TTrainingSource[[#This Row],[Satisfaction_Score2]],0)</f>
        <v>5</v>
      </c>
      <c r="N1259">
        <v>4.5</v>
      </c>
    </row>
    <row r="1260" spans="1:14" x14ac:dyDescent="0.3">
      <c r="A1260" t="s">
        <v>419</v>
      </c>
      <c r="B1260" t="str">
        <f>TRIM(TTrainingSource[[#This Row],[EMPloyee_ID2]])</f>
        <v>EMP10630</v>
      </c>
      <c r="C1260" t="str">
        <f>IFERROR(VLOOKUP(TTrainingSource[[#This Row],[Employee_ID]],THrList[],3,FALSE),"")</f>
        <v>WILSON</v>
      </c>
      <c r="D1260" t="str">
        <f>IFERROR(VLOOKUP(TTrainingSource[[#This Row],[Employee_ID]],THrList[],4,FALSE),"")</f>
        <v>James</v>
      </c>
      <c r="E1260" t="str">
        <f>IFERROR(VLOOKUP(TTrainingSource[[#This Row],[Employee_ID]],THrList[],10,FALSE),"")</f>
        <v>IT</v>
      </c>
      <c r="F1260" t="str">
        <f>TRIM(PROPER(TTrainingSource[[#This Row],[Training_Status2]]))</f>
        <v>Completed</v>
      </c>
      <c r="G1260" t="s">
        <v>17</v>
      </c>
      <c r="H1260" t="str">
        <f>TRIM(PROPER(TTrainingSource[[#This Row],[Training_Title2]]))</f>
        <v>Advanced Excel For Business</v>
      </c>
      <c r="I1260" t="s">
        <v>52</v>
      </c>
      <c r="J1260" s="1">
        <v>45597</v>
      </c>
      <c r="K1260" t="s">
        <v>39</v>
      </c>
      <c r="L1260" s="7">
        <v>24</v>
      </c>
      <c r="M1260">
        <f>ROUND(TTrainingSource[[#This Row],[Satisfaction_Score2]],0)</f>
        <v>5</v>
      </c>
      <c r="N1260">
        <v>4.8</v>
      </c>
    </row>
    <row r="1261" spans="1:14" x14ac:dyDescent="0.3">
      <c r="A1261" t="s">
        <v>419</v>
      </c>
      <c r="B1261" t="str">
        <f>TRIM(TTrainingSource[[#This Row],[EMPloyee_ID2]])</f>
        <v>EMP10630</v>
      </c>
      <c r="C1261" t="str">
        <f>IFERROR(VLOOKUP(TTrainingSource[[#This Row],[Employee_ID]],THrList[],3,FALSE),"")</f>
        <v>WILSON</v>
      </c>
      <c r="D1261" t="str">
        <f>IFERROR(VLOOKUP(TTrainingSource[[#This Row],[Employee_ID]],THrList[],4,FALSE),"")</f>
        <v>James</v>
      </c>
      <c r="E1261" t="str">
        <f>IFERROR(VLOOKUP(TTrainingSource[[#This Row],[Employee_ID]],THrList[],10,FALSE),"")</f>
        <v>IT</v>
      </c>
      <c r="F1261" t="str">
        <f>TRIM(PROPER(TTrainingSource[[#This Row],[Training_Status2]]))</f>
        <v>Completed</v>
      </c>
      <c r="G1261" t="s">
        <v>17</v>
      </c>
      <c r="H1261" t="str">
        <f>TRIM(PROPER(TTrainingSource[[#This Row],[Training_Title2]]))</f>
        <v>Communication For Analysts</v>
      </c>
      <c r="I1261" t="s">
        <v>28</v>
      </c>
      <c r="J1261" s="1">
        <v>44832</v>
      </c>
      <c r="K1261" t="s">
        <v>44</v>
      </c>
      <c r="L1261" s="7">
        <v>0</v>
      </c>
      <c r="M1261">
        <f>ROUND(TTrainingSource[[#This Row],[Satisfaction_Score2]],0)</f>
        <v>4</v>
      </c>
      <c r="N1261">
        <v>4.3</v>
      </c>
    </row>
    <row r="1262" spans="1:14" x14ac:dyDescent="0.3">
      <c r="A1262" t="s">
        <v>1054</v>
      </c>
      <c r="B1262" t="str">
        <f>TRIM(TTrainingSource[[#This Row],[EMPloyee_ID2]])</f>
        <v>EMP10631</v>
      </c>
      <c r="C1262" t="str">
        <f>IFERROR(VLOOKUP(TTrainingSource[[#This Row],[Employee_ID]],THrList[],3,FALSE),"")</f>
        <v>WILLIAMS</v>
      </c>
      <c r="D1262" t="str">
        <f>IFERROR(VLOOKUP(TTrainingSource[[#This Row],[Employee_ID]],THrList[],4,FALSE),"")</f>
        <v>Jean</v>
      </c>
      <c r="E1262" t="str">
        <f>IFERROR(VLOOKUP(TTrainingSource[[#This Row],[Employee_ID]],THrList[],10,FALSE),"")</f>
        <v>Customer Support</v>
      </c>
      <c r="F1262" t="str">
        <f>TRIM(PROPER(TTrainingSource[[#This Row],[Training_Status2]]))</f>
        <v>Completed</v>
      </c>
      <c r="G1262" t="s">
        <v>17</v>
      </c>
      <c r="H1262" t="str">
        <f>TRIM(PROPER(TTrainingSource[[#This Row],[Training_Title2]]))</f>
        <v>Introduction To Python For Data</v>
      </c>
      <c r="I1262" t="s">
        <v>62</v>
      </c>
      <c r="J1262" s="1">
        <v>44863</v>
      </c>
      <c r="K1262" t="s">
        <v>29</v>
      </c>
      <c r="L1262" s="7">
        <v>16</v>
      </c>
      <c r="M1262">
        <f>ROUND(TTrainingSource[[#This Row],[Satisfaction_Score2]],0)</f>
        <v>5</v>
      </c>
      <c r="N1262">
        <v>4.9000000000000004</v>
      </c>
    </row>
    <row r="1263" spans="1:14" x14ac:dyDescent="0.3">
      <c r="A1263" t="s">
        <v>583</v>
      </c>
      <c r="B1263" t="str">
        <f>TRIM(TTrainingSource[[#This Row],[EMPloyee_ID2]])</f>
        <v>EMP10632</v>
      </c>
      <c r="C1263" t="str">
        <f>IFERROR(VLOOKUP(TTrainingSource[[#This Row],[Employee_ID]],THrList[],3,FALSE),"")</f>
        <v>LEFEVRE</v>
      </c>
      <c r="D1263" t="str">
        <f>IFERROR(VLOOKUP(TTrainingSource[[#This Row],[Employee_ID]],THrList[],4,FALSE),"")</f>
        <v>Liam</v>
      </c>
      <c r="E1263" t="str">
        <f>IFERROR(VLOOKUP(TTrainingSource[[#This Row],[Employee_ID]],THrList[],10,FALSE),"")</f>
        <v>Marketing</v>
      </c>
      <c r="F1263" t="str">
        <f>TRIM(PROPER(TTrainingSource[[#This Row],[Training_Status2]]))</f>
        <v>Completed</v>
      </c>
      <c r="G1263" t="s">
        <v>17</v>
      </c>
      <c r="H1263" t="str">
        <f>TRIM(PROPER(TTrainingSource[[#This Row],[Training_Title2]]))</f>
        <v>Business Intelligence With Tableau</v>
      </c>
      <c r="I1263" t="s">
        <v>22</v>
      </c>
      <c r="J1263" s="1">
        <v>45903</v>
      </c>
      <c r="K1263" t="s">
        <v>98</v>
      </c>
      <c r="L1263" s="7">
        <v>24</v>
      </c>
      <c r="M1263">
        <f>ROUND(TTrainingSource[[#This Row],[Satisfaction_Score2]],0)</f>
        <v>3</v>
      </c>
      <c r="N1263">
        <v>3.2</v>
      </c>
    </row>
    <row r="1264" spans="1:14" x14ac:dyDescent="0.3">
      <c r="A1264" t="s">
        <v>583</v>
      </c>
      <c r="B1264" t="str">
        <f>TRIM(TTrainingSource[[#This Row],[EMPloyee_ID2]])</f>
        <v>EMP10632</v>
      </c>
      <c r="C1264" t="str">
        <f>IFERROR(VLOOKUP(TTrainingSource[[#This Row],[Employee_ID]],THrList[],3,FALSE),"")</f>
        <v>LEFEVRE</v>
      </c>
      <c r="D1264" t="str">
        <f>IFERROR(VLOOKUP(TTrainingSource[[#This Row],[Employee_ID]],THrList[],4,FALSE),"")</f>
        <v>Liam</v>
      </c>
      <c r="E1264" t="str">
        <f>IFERROR(VLOOKUP(TTrainingSource[[#This Row],[Employee_ID]],THrList[],10,FALSE),"")</f>
        <v>Marketing</v>
      </c>
      <c r="F1264" t="str">
        <f>TRIM(PROPER(TTrainingSource[[#This Row],[Training_Status2]]))</f>
        <v>Completed</v>
      </c>
      <c r="G1264" t="s">
        <v>17</v>
      </c>
      <c r="H1264" t="str">
        <f>TRIM(PROPER(TTrainingSource[[#This Row],[Training_Title2]]))</f>
        <v>Customer Data Analysis</v>
      </c>
      <c r="I1264" t="s">
        <v>653</v>
      </c>
      <c r="J1264" s="1">
        <v>44632</v>
      </c>
      <c r="K1264" t="s">
        <v>46</v>
      </c>
      <c r="L1264" s="7">
        <v>8</v>
      </c>
      <c r="M1264">
        <f>ROUND(TTrainingSource[[#This Row],[Satisfaction_Score2]],0)</f>
        <v>3</v>
      </c>
      <c r="N1264">
        <v>2.9</v>
      </c>
    </row>
    <row r="1265" spans="1:14" x14ac:dyDescent="0.3">
      <c r="A1265" t="s">
        <v>583</v>
      </c>
      <c r="B1265" t="str">
        <f>TRIM(TTrainingSource[[#This Row],[EMPloyee_ID2]])</f>
        <v>EMP10632</v>
      </c>
      <c r="C1265" t="str">
        <f>IFERROR(VLOOKUP(TTrainingSource[[#This Row],[Employee_ID]],THrList[],3,FALSE),"")</f>
        <v>LEFEVRE</v>
      </c>
      <c r="D1265" t="str">
        <f>IFERROR(VLOOKUP(TTrainingSource[[#This Row],[Employee_ID]],THrList[],4,FALSE),"")</f>
        <v>Liam</v>
      </c>
      <c r="E1265" t="str">
        <f>IFERROR(VLOOKUP(TTrainingSource[[#This Row],[Employee_ID]],THrList[],10,FALSE),"")</f>
        <v>Marketing</v>
      </c>
      <c r="F1265" t="str">
        <f>TRIM(PROPER(TTrainingSource[[#This Row],[Training_Status2]]))</f>
        <v>Planned</v>
      </c>
      <c r="G1265" t="s">
        <v>19</v>
      </c>
      <c r="H1265" t="str">
        <f>TRIM(PROPER(TTrainingSource[[#This Row],[Training_Title2]]))</f>
        <v>Communication For Analysts</v>
      </c>
      <c r="I1265" t="s">
        <v>401</v>
      </c>
      <c r="J1265" s="1">
        <v>44807</v>
      </c>
      <c r="K1265" t="s">
        <v>29</v>
      </c>
      <c r="L1265" s="7">
        <v>6</v>
      </c>
      <c r="M1265">
        <f>ROUND(TTrainingSource[[#This Row],[Satisfaction_Score2]],0)</f>
        <v>3</v>
      </c>
      <c r="N1265">
        <v>2.5</v>
      </c>
    </row>
    <row r="1266" spans="1:14" x14ac:dyDescent="0.3">
      <c r="A1266" t="s">
        <v>583</v>
      </c>
      <c r="B1266" t="str">
        <f>TRIM(TTrainingSource[[#This Row],[EMPloyee_ID2]])</f>
        <v>EMP10632</v>
      </c>
      <c r="C1266" t="str">
        <f>IFERROR(VLOOKUP(TTrainingSource[[#This Row],[Employee_ID]],THrList[],3,FALSE),"")</f>
        <v>LEFEVRE</v>
      </c>
      <c r="D1266" t="str">
        <f>IFERROR(VLOOKUP(TTrainingSource[[#This Row],[Employee_ID]],THrList[],4,FALSE),"")</f>
        <v>Liam</v>
      </c>
      <c r="E1266" t="str">
        <f>IFERROR(VLOOKUP(TTrainingSource[[#This Row],[Employee_ID]],THrList[],10,FALSE),"")</f>
        <v>Marketing</v>
      </c>
      <c r="F1266" t="str">
        <f>TRIM(PROPER(TTrainingSource[[#This Row],[Training_Status2]]))</f>
        <v>In Progress</v>
      </c>
      <c r="G1266" t="s">
        <v>8</v>
      </c>
      <c r="H1266" t="str">
        <f>TRIM(PROPER(TTrainingSource[[#This Row],[Training_Title2]]))</f>
        <v>Introduction To Python For Data</v>
      </c>
      <c r="I1266" t="s">
        <v>307</v>
      </c>
      <c r="J1266" s="1">
        <v>45961</v>
      </c>
      <c r="K1266" t="s">
        <v>98</v>
      </c>
      <c r="L1266" s="7">
        <v>4</v>
      </c>
      <c r="M1266">
        <f>ROUND(TTrainingSource[[#This Row],[Satisfaction_Score2]],0)</f>
        <v>4</v>
      </c>
      <c r="N1266">
        <v>3.8</v>
      </c>
    </row>
    <row r="1267" spans="1:14" x14ac:dyDescent="0.3">
      <c r="A1267" t="s">
        <v>285</v>
      </c>
      <c r="B1267" t="str">
        <f>TRIM(TTrainingSource[[#This Row],[EMPloyee_ID2]])</f>
        <v>EMP10634</v>
      </c>
      <c r="C1267" t="str">
        <f>IFERROR(VLOOKUP(TTrainingSource[[#This Row],[Employee_ID]],THrList[],3,FALSE),"")</f>
        <v>LEFEVRE</v>
      </c>
      <c r="D1267" t="str">
        <f>IFERROR(VLOOKUP(TTrainingSource[[#This Row],[Employee_ID]],THrList[],4,FALSE),"")</f>
        <v>Mia</v>
      </c>
      <c r="E1267" t="str">
        <f>IFERROR(VLOOKUP(TTrainingSource[[#This Row],[Employee_ID]],THrList[],10,FALSE),"")</f>
        <v>Human Resources</v>
      </c>
      <c r="F1267" t="str">
        <f>TRIM(PROPER(TTrainingSource[[#This Row],[Training_Status2]]))</f>
        <v>Completed</v>
      </c>
      <c r="G1267" t="s">
        <v>17</v>
      </c>
      <c r="H1267" t="str">
        <f>TRIM(PROPER(TTrainingSource[[#This Row],[Training_Title2]]))</f>
        <v>Customer Data Analysis</v>
      </c>
      <c r="I1267" t="s">
        <v>31</v>
      </c>
      <c r="J1267" s="1">
        <v>44678</v>
      </c>
      <c r="K1267" t="s">
        <v>39</v>
      </c>
      <c r="L1267" s="7">
        <v>8</v>
      </c>
      <c r="M1267">
        <f>ROUND(TTrainingSource[[#This Row],[Satisfaction_Score2]],0)</f>
        <v>4</v>
      </c>
      <c r="N1267">
        <v>3.9</v>
      </c>
    </row>
    <row r="1268" spans="1:14" x14ac:dyDescent="0.3">
      <c r="A1268" t="s">
        <v>285</v>
      </c>
      <c r="B1268" t="str">
        <f>TRIM(TTrainingSource[[#This Row],[EMPloyee_ID2]])</f>
        <v>EMP10634</v>
      </c>
      <c r="C1268" t="str">
        <f>IFERROR(VLOOKUP(TTrainingSource[[#This Row],[Employee_ID]],THrList[],3,FALSE),"")</f>
        <v>LEFEVRE</v>
      </c>
      <c r="D1268" t="str">
        <f>IFERROR(VLOOKUP(TTrainingSource[[#This Row],[Employee_ID]],THrList[],4,FALSE),"")</f>
        <v>Mia</v>
      </c>
      <c r="E1268" t="str">
        <f>IFERROR(VLOOKUP(TTrainingSource[[#This Row],[Employee_ID]],THrList[],10,FALSE),"")</f>
        <v>Human Resources</v>
      </c>
      <c r="F1268" t="str">
        <f>TRIM(PROPER(TTrainingSource[[#This Row],[Training_Status2]]))</f>
        <v>Planned</v>
      </c>
      <c r="G1268" t="s">
        <v>19</v>
      </c>
      <c r="H1268" t="str">
        <f>TRIM(PROPER(TTrainingSource[[#This Row],[Training_Title2]]))</f>
        <v>Advanced Excel For Business</v>
      </c>
      <c r="I1268" t="s">
        <v>52</v>
      </c>
      <c r="J1268" s="1">
        <v>45427</v>
      </c>
      <c r="K1268" t="s">
        <v>1072</v>
      </c>
      <c r="L1268" s="7">
        <v>8</v>
      </c>
      <c r="M1268">
        <f>ROUND(TTrainingSource[[#This Row],[Satisfaction_Score2]],0)</f>
        <v>3</v>
      </c>
      <c r="N1268">
        <v>3.4</v>
      </c>
    </row>
    <row r="1269" spans="1:14" x14ac:dyDescent="0.3">
      <c r="A1269" t="s">
        <v>285</v>
      </c>
      <c r="B1269" t="str">
        <f>TRIM(TTrainingSource[[#This Row],[EMPloyee_ID2]])</f>
        <v>EMP10634</v>
      </c>
      <c r="C1269" t="str">
        <f>IFERROR(VLOOKUP(TTrainingSource[[#This Row],[Employee_ID]],THrList[],3,FALSE),"")</f>
        <v>LEFEVRE</v>
      </c>
      <c r="D1269" t="str">
        <f>IFERROR(VLOOKUP(TTrainingSource[[#This Row],[Employee_ID]],THrList[],4,FALSE),"")</f>
        <v>Mia</v>
      </c>
      <c r="E1269" t="str">
        <f>IFERROR(VLOOKUP(TTrainingSource[[#This Row],[Employee_ID]],THrList[],10,FALSE),"")</f>
        <v>Human Resources</v>
      </c>
      <c r="F1269" t="str">
        <f>TRIM(PROPER(TTrainingSource[[#This Row],[Training_Status2]]))</f>
        <v>In Progress</v>
      </c>
      <c r="G1269" t="s">
        <v>8</v>
      </c>
      <c r="H1269" t="str">
        <f>TRIM(PROPER(TTrainingSource[[#This Row],[Training_Title2]]))</f>
        <v>Customer Data Analysis</v>
      </c>
      <c r="I1269" t="s">
        <v>31</v>
      </c>
      <c r="J1269" s="1">
        <v>45588</v>
      </c>
      <c r="K1269" t="s">
        <v>29</v>
      </c>
      <c r="L1269" s="7">
        <v>4</v>
      </c>
      <c r="M1269">
        <f>ROUND(TTrainingSource[[#This Row],[Satisfaction_Score2]],0)</f>
        <v>3</v>
      </c>
      <c r="N1269">
        <v>2.8</v>
      </c>
    </row>
    <row r="1270" spans="1:14" x14ac:dyDescent="0.3">
      <c r="A1270" t="s">
        <v>285</v>
      </c>
      <c r="B1270" t="str">
        <f>TRIM(TTrainingSource[[#This Row],[EMPloyee_ID2]])</f>
        <v>EMP10634</v>
      </c>
      <c r="C1270" t="str">
        <f>IFERROR(VLOOKUP(TTrainingSource[[#This Row],[Employee_ID]],THrList[],3,FALSE),"")</f>
        <v>LEFEVRE</v>
      </c>
      <c r="D1270" t="str">
        <f>IFERROR(VLOOKUP(TTrainingSource[[#This Row],[Employee_ID]],THrList[],4,FALSE),"")</f>
        <v>Mia</v>
      </c>
      <c r="E1270" t="str">
        <f>IFERROR(VLOOKUP(TTrainingSource[[#This Row],[Employee_ID]],THrList[],10,FALSE),"")</f>
        <v>Human Resources</v>
      </c>
      <c r="F1270" t="str">
        <f>TRIM(PROPER(TTrainingSource[[#This Row],[Training_Status2]]))</f>
        <v>In Progress</v>
      </c>
      <c r="G1270" t="s">
        <v>8</v>
      </c>
      <c r="H1270" t="str">
        <f>TRIM(PROPER(TTrainingSource[[#This Row],[Training_Title2]]))</f>
        <v>Introduction To Python For Data</v>
      </c>
      <c r="I1270" t="s">
        <v>62</v>
      </c>
      <c r="J1270" s="1">
        <v>45310</v>
      </c>
      <c r="K1270" t="s">
        <v>42</v>
      </c>
      <c r="L1270" s="7">
        <v>12</v>
      </c>
      <c r="M1270">
        <f>ROUND(TTrainingSource[[#This Row],[Satisfaction_Score2]],0)</f>
        <v>4</v>
      </c>
      <c r="N1270">
        <v>4</v>
      </c>
    </row>
    <row r="1271" spans="1:14" x14ac:dyDescent="0.3">
      <c r="A1271" t="s">
        <v>87</v>
      </c>
      <c r="B1271" t="str">
        <f>TRIM(TTrainingSource[[#This Row],[EMPloyee_ID2]])</f>
        <v>EMP10636</v>
      </c>
      <c r="C1271" t="str">
        <f>IFERROR(VLOOKUP(TTrainingSource[[#This Row],[Employee_ID]],THrList[],3,FALSE),"")</f>
        <v>PETIT</v>
      </c>
      <c r="D1271" t="str">
        <f>IFERROR(VLOOKUP(TTrainingSource[[#This Row],[Employee_ID]],THrList[],4,FALSE),"")</f>
        <v>Kwame</v>
      </c>
      <c r="E1271" t="str">
        <f>IFERROR(VLOOKUP(TTrainingSource[[#This Row],[Employee_ID]],THrList[],10,FALSE),"")</f>
        <v>Operations</v>
      </c>
      <c r="F1271" t="str">
        <f>TRIM(PROPER(TTrainingSource[[#This Row],[Training_Status2]]))</f>
        <v>Completed</v>
      </c>
      <c r="G1271" t="s">
        <v>17</v>
      </c>
      <c r="H1271" t="str">
        <f>TRIM(PROPER(TTrainingSource[[#This Row],[Training_Title2]]))</f>
        <v>Financial Modeling Basics</v>
      </c>
      <c r="I1271" t="s">
        <v>38</v>
      </c>
      <c r="J1271" s="1">
        <v>45541</v>
      </c>
      <c r="K1271" t="s">
        <v>46</v>
      </c>
      <c r="L1271" s="7">
        <v>20</v>
      </c>
      <c r="M1271">
        <f>ROUND(TTrainingSource[[#This Row],[Satisfaction_Score2]],0)</f>
        <v>3</v>
      </c>
      <c r="N1271">
        <v>2.6</v>
      </c>
    </row>
    <row r="1272" spans="1:14" x14ac:dyDescent="0.3">
      <c r="A1272" t="s">
        <v>87</v>
      </c>
      <c r="B1272" t="str">
        <f>TRIM(TTrainingSource[[#This Row],[EMPloyee_ID2]])</f>
        <v>EMP10636</v>
      </c>
      <c r="C1272" t="str">
        <f>IFERROR(VLOOKUP(TTrainingSource[[#This Row],[Employee_ID]],THrList[],3,FALSE),"")</f>
        <v>PETIT</v>
      </c>
      <c r="D1272" t="str">
        <f>IFERROR(VLOOKUP(TTrainingSource[[#This Row],[Employee_ID]],THrList[],4,FALSE),"")</f>
        <v>Kwame</v>
      </c>
      <c r="E1272" t="str">
        <f>IFERROR(VLOOKUP(TTrainingSource[[#This Row],[Employee_ID]],THrList[],10,FALSE),"")</f>
        <v>Operations</v>
      </c>
      <c r="F1272" t="str">
        <f>TRIM(PROPER(TTrainingSource[[#This Row],[Training_Status2]]))</f>
        <v>In Progress</v>
      </c>
      <c r="G1272" t="s">
        <v>8</v>
      </c>
      <c r="H1272" t="str">
        <f>TRIM(PROPER(TTrainingSource[[#This Row],[Training_Title2]]))</f>
        <v>Financial Modeling Basics</v>
      </c>
      <c r="I1272" t="s">
        <v>38</v>
      </c>
      <c r="J1272" s="1">
        <v>45947</v>
      </c>
      <c r="K1272" t="s">
        <v>15</v>
      </c>
      <c r="L1272" s="7">
        <v>40</v>
      </c>
      <c r="M1272">
        <f>ROUND(TTrainingSource[[#This Row],[Satisfaction_Score2]],0)</f>
        <v>5</v>
      </c>
      <c r="N1272">
        <v>4.7</v>
      </c>
    </row>
    <row r="1273" spans="1:14" x14ac:dyDescent="0.3">
      <c r="A1273" t="s">
        <v>87</v>
      </c>
      <c r="B1273" t="str">
        <f>TRIM(TTrainingSource[[#This Row],[EMPloyee_ID2]])</f>
        <v>EMP10636</v>
      </c>
      <c r="C1273" t="str">
        <f>IFERROR(VLOOKUP(TTrainingSource[[#This Row],[Employee_ID]],THrList[],3,FALSE),"")</f>
        <v>PETIT</v>
      </c>
      <c r="D1273" t="str">
        <f>IFERROR(VLOOKUP(TTrainingSource[[#This Row],[Employee_ID]],THrList[],4,FALSE),"")</f>
        <v>Kwame</v>
      </c>
      <c r="E1273" t="str">
        <f>IFERROR(VLOOKUP(TTrainingSource[[#This Row],[Employee_ID]],THrList[],10,FALSE),"")</f>
        <v>Operations</v>
      </c>
      <c r="F1273" t="str">
        <f>TRIM(PROPER(TTrainingSource[[#This Row],[Training_Status2]]))</f>
        <v>Completed</v>
      </c>
      <c r="G1273" t="s">
        <v>35</v>
      </c>
      <c r="H1273" t="str">
        <f>TRIM(PROPER(TTrainingSource[[#This Row],[Training_Title2]]))</f>
        <v>Data Visualization Best Practices</v>
      </c>
      <c r="I1273" t="s">
        <v>20</v>
      </c>
      <c r="J1273" s="1">
        <v>45352</v>
      </c>
      <c r="K1273" t="s">
        <v>132</v>
      </c>
      <c r="L1273" s="7">
        <v>0</v>
      </c>
      <c r="M1273">
        <f>ROUND(TTrainingSource[[#This Row],[Satisfaction_Score2]],0)</f>
        <v>4</v>
      </c>
      <c r="N1273">
        <v>3.8</v>
      </c>
    </row>
    <row r="1274" spans="1:14" x14ac:dyDescent="0.3">
      <c r="A1274" t="s">
        <v>87</v>
      </c>
      <c r="B1274" t="str">
        <f>TRIM(TTrainingSource[[#This Row],[EMPloyee_ID2]])</f>
        <v>EMP10636</v>
      </c>
      <c r="C1274" t="str">
        <f>IFERROR(VLOOKUP(TTrainingSource[[#This Row],[Employee_ID]],THrList[],3,FALSE),"")</f>
        <v>PETIT</v>
      </c>
      <c r="D1274" t="str">
        <f>IFERROR(VLOOKUP(TTrainingSource[[#This Row],[Employee_ID]],THrList[],4,FALSE),"")</f>
        <v>Kwame</v>
      </c>
      <c r="E1274" t="str">
        <f>IFERROR(VLOOKUP(TTrainingSource[[#This Row],[Employee_ID]],THrList[],10,FALSE),"")</f>
        <v>Operations</v>
      </c>
      <c r="F1274" t="str">
        <f>TRIM(PROPER(TTrainingSource[[#This Row],[Training_Status2]]))</f>
        <v>Planned</v>
      </c>
      <c r="G1274" t="s">
        <v>19</v>
      </c>
      <c r="H1274" t="str">
        <f>TRIM(PROPER(TTrainingSource[[#This Row],[Training_Title2]]))</f>
        <v>Financial Modeling Basics</v>
      </c>
      <c r="I1274" t="s">
        <v>38</v>
      </c>
      <c r="J1274" s="1">
        <v>44668</v>
      </c>
      <c r="K1274" t="s">
        <v>29</v>
      </c>
      <c r="L1274" s="7">
        <v>32</v>
      </c>
      <c r="M1274">
        <f>ROUND(TTrainingSource[[#This Row],[Satisfaction_Score2]],0)</f>
        <v>4</v>
      </c>
      <c r="N1274">
        <v>4.0999999999999996</v>
      </c>
    </row>
    <row r="1275" spans="1:14" x14ac:dyDescent="0.3">
      <c r="A1275" t="s">
        <v>87</v>
      </c>
      <c r="B1275" t="str">
        <f>TRIM(TTrainingSource[[#This Row],[EMPloyee_ID2]])</f>
        <v>EMP10636</v>
      </c>
      <c r="C1275" t="str">
        <f>IFERROR(VLOOKUP(TTrainingSource[[#This Row],[Employee_ID]],THrList[],3,FALSE),"")</f>
        <v>PETIT</v>
      </c>
      <c r="D1275" t="str">
        <f>IFERROR(VLOOKUP(TTrainingSource[[#This Row],[Employee_ID]],THrList[],4,FALSE),"")</f>
        <v>Kwame</v>
      </c>
      <c r="E1275" t="str">
        <f>IFERROR(VLOOKUP(TTrainingSource[[#This Row],[Employee_ID]],THrList[],10,FALSE),"")</f>
        <v>Operations</v>
      </c>
      <c r="F1275" t="str">
        <f>TRIM(PROPER(TTrainingSource[[#This Row],[Training_Status2]]))</f>
        <v>Completed</v>
      </c>
      <c r="G1275" t="s">
        <v>17</v>
      </c>
      <c r="H1275" t="str">
        <f>TRIM(PROPER(TTrainingSource[[#This Row],[Training_Title2]]))</f>
        <v>Financial Modeling Basics</v>
      </c>
      <c r="I1275" t="s">
        <v>38</v>
      </c>
      <c r="J1275" s="1">
        <v>44887</v>
      </c>
      <c r="K1275" t="s">
        <v>32</v>
      </c>
      <c r="L1275" s="7">
        <v>20</v>
      </c>
      <c r="M1275">
        <f>ROUND(TTrainingSource[[#This Row],[Satisfaction_Score2]],0)</f>
        <v>3</v>
      </c>
      <c r="N1275">
        <v>3.4</v>
      </c>
    </row>
    <row r="1276" spans="1:14" x14ac:dyDescent="0.3">
      <c r="A1276" t="s">
        <v>421</v>
      </c>
      <c r="B1276" t="str">
        <f>TRIM(TTrainingSource[[#This Row],[EMPloyee_ID2]])</f>
        <v>EMP10637</v>
      </c>
      <c r="C1276" t="str">
        <f>IFERROR(VLOOKUP(TTrainingSource[[#This Row],[Employee_ID]],THrList[],3,FALSE),"")</f>
        <v>GIRARD</v>
      </c>
      <c r="D1276" t="str">
        <f>IFERROR(VLOOKUP(TTrainingSource[[#This Row],[Employee_ID]],THrList[],4,FALSE),"")</f>
        <v>Henry</v>
      </c>
      <c r="E1276" t="str">
        <f>IFERROR(VLOOKUP(TTrainingSource[[#This Row],[Employee_ID]],THrList[],10,FALSE),"")</f>
        <v>IT</v>
      </c>
      <c r="F1276" t="str">
        <f>TRIM(PROPER(TTrainingSource[[#This Row],[Training_Status2]]))</f>
        <v>In Progress</v>
      </c>
      <c r="G1276" t="s">
        <v>156</v>
      </c>
      <c r="H1276" t="str">
        <f>TRIM(PROPER(TTrainingSource[[#This Row],[Training_Title2]]))</f>
        <v>Business Intelligence With Tableau</v>
      </c>
      <c r="I1276" t="s">
        <v>22</v>
      </c>
      <c r="J1276" s="1">
        <v>45062</v>
      </c>
      <c r="K1276" t="s">
        <v>132</v>
      </c>
      <c r="L1276" s="7">
        <v>6</v>
      </c>
      <c r="M1276">
        <f>ROUND(TTrainingSource[[#This Row],[Satisfaction_Score2]],0)</f>
        <v>4</v>
      </c>
      <c r="N1276">
        <v>4</v>
      </c>
    </row>
    <row r="1277" spans="1:14" x14ac:dyDescent="0.3">
      <c r="A1277" t="s">
        <v>704</v>
      </c>
      <c r="B1277" t="str">
        <f>TRIM(TTrainingSource[[#This Row],[EMPloyee_ID2]])</f>
        <v>EMP10638</v>
      </c>
      <c r="C1277" t="str">
        <f>IFERROR(VLOOKUP(TTrainingSource[[#This Row],[Employee_ID]],THrList[],3,FALSE),"")</f>
        <v>JOHNSON</v>
      </c>
      <c r="D1277" t="str">
        <f>IFERROR(VLOOKUP(TTrainingSource[[#This Row],[Employee_ID]],THrList[],4,FALSE),"")</f>
        <v>Yaw</v>
      </c>
      <c r="E1277" t="str">
        <f>IFERROR(VLOOKUP(TTrainingSource[[#This Row],[Employee_ID]],THrList[],10,FALSE),"")</f>
        <v>Finance</v>
      </c>
      <c r="F1277" t="str">
        <f>TRIM(PROPER(TTrainingSource[[#This Row],[Training_Status2]]))</f>
        <v>Completed</v>
      </c>
      <c r="G1277" t="s">
        <v>17</v>
      </c>
      <c r="H1277" t="str">
        <f>TRIM(PROPER(TTrainingSource[[#This Row],[Training_Title2]]))</f>
        <v>Communication For Analysts</v>
      </c>
      <c r="I1277" t="s">
        <v>28</v>
      </c>
      <c r="J1277" s="1">
        <v>45637</v>
      </c>
      <c r="K1277" t="s">
        <v>42</v>
      </c>
      <c r="L1277" s="7">
        <v>16</v>
      </c>
      <c r="M1277">
        <f>ROUND(TTrainingSource[[#This Row],[Satisfaction_Score2]],0)</f>
        <v>3</v>
      </c>
      <c r="N1277">
        <v>3.2</v>
      </c>
    </row>
    <row r="1278" spans="1:14" x14ac:dyDescent="0.3">
      <c r="A1278" t="s">
        <v>465</v>
      </c>
      <c r="B1278" t="str">
        <f>TRIM(TTrainingSource[[#This Row],[EMPloyee_ID2]])</f>
        <v>EMP10639</v>
      </c>
      <c r="C1278" t="str">
        <f>IFERROR(VLOOKUP(TTrainingSource[[#This Row],[Employee_ID]],THrList[],3,FALSE),"")</f>
        <v>ABDULLAH</v>
      </c>
      <c r="D1278" t="str">
        <f>IFERROR(VLOOKUP(TTrainingSource[[#This Row],[Employee_ID]],THrList[],4,FALSE),"")</f>
        <v>Charlotte</v>
      </c>
      <c r="E1278" t="str">
        <f>IFERROR(VLOOKUP(TTrainingSource[[#This Row],[Employee_ID]],THrList[],10,FALSE),"")</f>
        <v>Marketing</v>
      </c>
      <c r="F1278" t="str">
        <f>TRIM(PROPER(TTrainingSource[[#This Row],[Training_Status2]]))</f>
        <v>Planned</v>
      </c>
      <c r="G1278" t="s">
        <v>19</v>
      </c>
      <c r="H1278" t="str">
        <f>TRIM(PROPER(TTrainingSource[[#This Row],[Training_Title2]]))</f>
        <v>Financial Modeling Basics</v>
      </c>
      <c r="I1278" t="s">
        <v>38</v>
      </c>
      <c r="J1278" s="1">
        <v>45669</v>
      </c>
      <c r="K1278" t="s">
        <v>29</v>
      </c>
      <c r="L1278" s="7">
        <v>20</v>
      </c>
      <c r="M1278">
        <f>ROUND(TTrainingSource[[#This Row],[Satisfaction_Score2]],0)</f>
        <v>5</v>
      </c>
      <c r="N1278">
        <v>5</v>
      </c>
    </row>
    <row r="1279" spans="1:14" x14ac:dyDescent="0.3">
      <c r="A1279" t="s">
        <v>738</v>
      </c>
      <c r="B1279" t="str">
        <f>TRIM(TTrainingSource[[#This Row],[EMPloyee_ID2]])</f>
        <v>EMP10640</v>
      </c>
      <c r="C1279" t="str">
        <f>IFERROR(VLOOKUP(TTrainingSource[[#This Row],[Employee_ID]],THrList[],3,FALSE),"")</f>
        <v>SMITH</v>
      </c>
      <c r="D1279" t="str">
        <f>IFERROR(VLOOKUP(TTrainingSource[[#This Row],[Employee_ID]],THrList[],4,FALSE),"")</f>
        <v>Sophie</v>
      </c>
      <c r="E1279" t="str">
        <f>IFERROR(VLOOKUP(TTrainingSource[[#This Row],[Employee_ID]],THrList[],10,FALSE),"")</f>
        <v>Procurement</v>
      </c>
      <c r="F1279" t="str">
        <f>TRIM(PROPER(TTrainingSource[[#This Row],[Training_Status2]]))</f>
        <v>Completed</v>
      </c>
      <c r="G1279" t="s">
        <v>17</v>
      </c>
      <c r="H1279" t="str">
        <f>TRIM(PROPER(TTrainingSource[[#This Row],[Training_Title2]]))</f>
        <v>Business Intelligence With Tableau</v>
      </c>
      <c r="I1279" t="s">
        <v>22</v>
      </c>
      <c r="J1279" s="1">
        <v>45329</v>
      </c>
      <c r="K1279" t="s">
        <v>32</v>
      </c>
      <c r="L1279" s="7">
        <v>32</v>
      </c>
      <c r="M1279">
        <f>ROUND(TTrainingSource[[#This Row],[Satisfaction_Score2]],0)</f>
        <v>3</v>
      </c>
      <c r="N1279">
        <v>2.6</v>
      </c>
    </row>
    <row r="1280" spans="1:14" x14ac:dyDescent="0.3">
      <c r="A1280" t="s">
        <v>18</v>
      </c>
      <c r="B1280" t="str">
        <f>TRIM(TTrainingSource[[#This Row],[EMPloyee_ID2]])</f>
        <v>EMP10641</v>
      </c>
      <c r="C1280" t="str">
        <f>IFERROR(VLOOKUP(TTrainingSource[[#This Row],[Employee_ID]],THrList[],3,FALSE),"")</f>
        <v>LEROY</v>
      </c>
      <c r="D1280" t="str">
        <f>IFERROR(VLOOKUP(TTrainingSource[[#This Row],[Employee_ID]],THrList[],4,FALSE),"")</f>
        <v>Paul</v>
      </c>
      <c r="E1280" t="str">
        <f>IFERROR(VLOOKUP(TTrainingSource[[#This Row],[Employee_ID]],THrList[],10,FALSE),"")</f>
        <v>Procurement</v>
      </c>
      <c r="F1280" t="str">
        <f>TRIM(PROPER(TTrainingSource[[#This Row],[Training_Status2]]))</f>
        <v>Planned</v>
      </c>
      <c r="G1280" t="s">
        <v>19</v>
      </c>
      <c r="H1280" t="str">
        <f>TRIM(PROPER(TTrainingSource[[#This Row],[Training_Title2]]))</f>
        <v>Data Visualization Best Practices</v>
      </c>
      <c r="I1280" t="s">
        <v>20</v>
      </c>
      <c r="J1280" s="1">
        <v>45619</v>
      </c>
      <c r="K1280" t="s">
        <v>44</v>
      </c>
      <c r="L1280" s="7">
        <v>6</v>
      </c>
      <c r="M1280">
        <f>ROUND(TTrainingSource[[#This Row],[Satisfaction_Score2]],0)</f>
        <v>4</v>
      </c>
      <c r="N1280">
        <v>3.5</v>
      </c>
    </row>
    <row r="1281" spans="1:14" x14ac:dyDescent="0.3">
      <c r="A1281" t="s">
        <v>500</v>
      </c>
      <c r="B1281" t="str">
        <f>TRIM(TTrainingSource[[#This Row],[EMPloyee_ID2]])</f>
        <v>EMP10642</v>
      </c>
      <c r="C1281" t="str">
        <f>IFERROR(VLOOKUP(TTrainingSource[[#This Row],[Employee_ID]],THrList[],3,FALSE),"")</f>
        <v>TOURE</v>
      </c>
      <c r="D1281" t="str">
        <f>IFERROR(VLOOKUP(TTrainingSource[[#This Row],[Employee_ID]],THrList[],4,FALSE),"")</f>
        <v>Ada</v>
      </c>
      <c r="E1281" t="str">
        <f>IFERROR(VLOOKUP(TTrainingSource[[#This Row],[Employee_ID]],THrList[],10,FALSE),"")</f>
        <v>Sales</v>
      </c>
      <c r="F1281" t="str">
        <f>TRIM(PROPER(TTrainingSource[[#This Row],[Training_Status2]]))</f>
        <v>Planned</v>
      </c>
      <c r="G1281" t="s">
        <v>19</v>
      </c>
      <c r="H1281" t="str">
        <f>TRIM(PROPER(TTrainingSource[[#This Row],[Training_Title2]]))</f>
        <v>Communication For Analysts</v>
      </c>
      <c r="I1281" t="s">
        <v>28</v>
      </c>
      <c r="J1281" s="1">
        <v>45831</v>
      </c>
      <c r="K1281" t="s">
        <v>32</v>
      </c>
      <c r="L1281" s="7">
        <v>12</v>
      </c>
      <c r="M1281">
        <f>ROUND(TTrainingSource[[#This Row],[Satisfaction_Score2]],0)</f>
        <v>4</v>
      </c>
      <c r="N1281">
        <v>4</v>
      </c>
    </row>
    <row r="1282" spans="1:14" x14ac:dyDescent="0.3">
      <c r="A1282" t="s">
        <v>500</v>
      </c>
      <c r="B1282" t="str">
        <f>TRIM(TTrainingSource[[#This Row],[EMPloyee_ID2]])</f>
        <v>EMP10642</v>
      </c>
      <c r="C1282" t="str">
        <f>IFERROR(VLOOKUP(TTrainingSource[[#This Row],[Employee_ID]],THrList[],3,FALSE),"")</f>
        <v>TOURE</v>
      </c>
      <c r="D1282" t="str">
        <f>IFERROR(VLOOKUP(TTrainingSource[[#This Row],[Employee_ID]],THrList[],4,FALSE),"")</f>
        <v>Ada</v>
      </c>
      <c r="E1282" t="str">
        <f>IFERROR(VLOOKUP(TTrainingSource[[#This Row],[Employee_ID]],THrList[],10,FALSE),"")</f>
        <v>Sales</v>
      </c>
      <c r="F1282" t="str">
        <f>TRIM(PROPER(TTrainingSource[[#This Row],[Training_Status2]]))</f>
        <v>Completed</v>
      </c>
      <c r="G1282" t="s">
        <v>17</v>
      </c>
      <c r="H1282" t="str">
        <f>TRIM(PROPER(TTrainingSource[[#This Row],[Training_Title2]]))</f>
        <v>Sql For Data Analytics</v>
      </c>
      <c r="I1282" t="s">
        <v>26</v>
      </c>
      <c r="J1282" s="1">
        <v>44600</v>
      </c>
      <c r="K1282" t="s">
        <v>46</v>
      </c>
      <c r="L1282" s="7">
        <v>16</v>
      </c>
      <c r="M1282">
        <f>ROUND(TTrainingSource[[#This Row],[Satisfaction_Score2]],0)</f>
        <v>4</v>
      </c>
      <c r="N1282">
        <v>3.5</v>
      </c>
    </row>
    <row r="1283" spans="1:14" x14ac:dyDescent="0.3">
      <c r="A1283" t="s">
        <v>252</v>
      </c>
      <c r="B1283" t="str">
        <f>TRIM(TTrainingSource[[#This Row],[EMPloyee_ID2]])</f>
        <v>EMP10643</v>
      </c>
      <c r="C1283" t="str">
        <f>IFERROR(VLOOKUP(TTrainingSource[[#This Row],[Employee_ID]],THrList[],3,FALSE),"")</f>
        <v>ALI</v>
      </c>
      <c r="D1283" t="str">
        <f>IFERROR(VLOOKUP(TTrainingSource[[#This Row],[Employee_ID]],THrList[],4,FALSE),"")</f>
        <v>Mia</v>
      </c>
      <c r="E1283" t="str">
        <f>IFERROR(VLOOKUP(TTrainingSource[[#This Row],[Employee_ID]],THrList[],10,FALSE),"")</f>
        <v>Compliance</v>
      </c>
      <c r="F1283" t="str">
        <f>TRIM(PROPER(TTrainingSource[[#This Row],[Training_Status2]]))</f>
        <v>Planned</v>
      </c>
      <c r="G1283" t="s">
        <v>19</v>
      </c>
      <c r="H1283" t="str">
        <f>TRIM(PROPER(TTrainingSource[[#This Row],[Training_Title2]]))</f>
        <v>Sql For Data Analytics</v>
      </c>
      <c r="I1283" t="s">
        <v>253</v>
      </c>
      <c r="J1283" s="1">
        <v>45851</v>
      </c>
      <c r="K1283" t="s">
        <v>132</v>
      </c>
      <c r="L1283" s="7">
        <v>40</v>
      </c>
      <c r="M1283">
        <f>ROUND(TTrainingSource[[#This Row],[Satisfaction_Score2]],0)</f>
        <v>4</v>
      </c>
      <c r="N1283">
        <v>3.8</v>
      </c>
    </row>
    <row r="1284" spans="1:14" x14ac:dyDescent="0.3">
      <c r="A1284" t="s">
        <v>503</v>
      </c>
      <c r="B1284" t="str">
        <f>TRIM(TTrainingSource[[#This Row],[EMPloyee_ID2]])</f>
        <v>EMP10645</v>
      </c>
      <c r="C1284" t="str">
        <f>IFERROR(VLOOKUP(TTrainingSource[[#This Row],[Employee_ID]],THrList[],3,FALSE),"")</f>
        <v>MARTINEZ</v>
      </c>
      <c r="D1284" t="str">
        <f>IFERROR(VLOOKUP(TTrainingSource[[#This Row],[Employee_ID]],THrList[],4,FALSE),"")</f>
        <v>Ethan</v>
      </c>
      <c r="E1284" t="str">
        <f>IFERROR(VLOOKUP(TTrainingSource[[#This Row],[Employee_ID]],THrList[],10,FALSE),"")</f>
        <v>N/A</v>
      </c>
      <c r="F1284" t="str">
        <f>TRIM(PROPER(TTrainingSource[[#This Row],[Training_Status2]]))</f>
        <v>Completed</v>
      </c>
      <c r="G1284" t="s">
        <v>17</v>
      </c>
      <c r="H1284" t="str">
        <f>TRIM(PROPER(TTrainingSource[[#This Row],[Training_Title2]]))</f>
        <v>Digital Marketing Strategy</v>
      </c>
      <c r="I1284" t="s">
        <v>43</v>
      </c>
      <c r="J1284" s="1">
        <v>45596</v>
      </c>
      <c r="K1284" t="s">
        <v>98</v>
      </c>
      <c r="L1284" s="7">
        <v>40</v>
      </c>
      <c r="M1284">
        <f>ROUND(TTrainingSource[[#This Row],[Satisfaction_Score2]],0)</f>
        <v>4</v>
      </c>
      <c r="N1284">
        <v>3.7</v>
      </c>
    </row>
    <row r="1285" spans="1:14" x14ac:dyDescent="0.3">
      <c r="A1285" t="s">
        <v>503</v>
      </c>
      <c r="B1285" t="str">
        <f>TRIM(TTrainingSource[[#This Row],[EMPloyee_ID2]])</f>
        <v>EMP10645</v>
      </c>
      <c r="C1285" t="str">
        <f>IFERROR(VLOOKUP(TTrainingSource[[#This Row],[Employee_ID]],THrList[],3,FALSE),"")</f>
        <v>MARTINEZ</v>
      </c>
      <c r="D1285" t="str">
        <f>IFERROR(VLOOKUP(TTrainingSource[[#This Row],[Employee_ID]],THrList[],4,FALSE),"")</f>
        <v>Ethan</v>
      </c>
      <c r="E1285" t="str">
        <f>IFERROR(VLOOKUP(TTrainingSource[[#This Row],[Employee_ID]],THrList[],10,FALSE),"")</f>
        <v>N/A</v>
      </c>
      <c r="F1285" t="str">
        <f>TRIM(PROPER(TTrainingSource[[#This Row],[Training_Status2]]))</f>
        <v>In Progress</v>
      </c>
      <c r="G1285" t="s">
        <v>156</v>
      </c>
      <c r="H1285" t="str">
        <f>TRIM(PROPER(TTrainingSource[[#This Row],[Training_Title2]]))</f>
        <v>Introduction To Python For Data</v>
      </c>
      <c r="I1285" t="s">
        <v>62</v>
      </c>
      <c r="J1285" s="1">
        <v>45444</v>
      </c>
      <c r="K1285" t="s">
        <v>71</v>
      </c>
      <c r="L1285" s="7">
        <v>20</v>
      </c>
      <c r="M1285">
        <f>ROUND(TTrainingSource[[#This Row],[Satisfaction_Score2]],0)</f>
        <v>3</v>
      </c>
      <c r="N1285">
        <v>3.2</v>
      </c>
    </row>
    <row r="1286" spans="1:14" x14ac:dyDescent="0.3">
      <c r="A1286" t="s">
        <v>260</v>
      </c>
      <c r="B1286" t="str">
        <f>TRIM(TTrainingSource[[#This Row],[EMPloyee_ID2]])</f>
        <v>EMP10646</v>
      </c>
      <c r="C1286" t="str">
        <f>IFERROR(VLOOKUP(TTrainingSource[[#This Row],[Employee_ID]],THrList[],3,FALSE),"")</f>
        <v>SOW</v>
      </c>
      <c r="D1286" t="str">
        <f>IFERROR(VLOOKUP(TTrainingSource[[#This Row],[Employee_ID]],THrList[],4,FALSE),"")</f>
        <v>Omar</v>
      </c>
      <c r="E1286" t="str">
        <f>IFERROR(VLOOKUP(TTrainingSource[[#This Row],[Employee_ID]],THrList[],10,FALSE),"")</f>
        <v>Customer Support</v>
      </c>
      <c r="F1286" t="str">
        <f>TRIM(PROPER(TTrainingSource[[#This Row],[Training_Status2]]))</f>
        <v>In Progress</v>
      </c>
      <c r="G1286" t="s">
        <v>8</v>
      </c>
      <c r="H1286" t="str">
        <f>TRIM(PROPER(TTrainingSource[[#This Row],[Training_Title2]]))</f>
        <v>Project Management Essentials</v>
      </c>
      <c r="I1286" t="s">
        <v>182</v>
      </c>
      <c r="J1286" s="1">
        <v>44784</v>
      </c>
      <c r="K1286" t="s">
        <v>98</v>
      </c>
      <c r="L1286" s="7">
        <v>32</v>
      </c>
      <c r="M1286">
        <f>ROUND(TTrainingSource[[#This Row],[Satisfaction_Score2]],0)</f>
        <v>5</v>
      </c>
      <c r="N1286">
        <v>4.5</v>
      </c>
    </row>
    <row r="1287" spans="1:14" x14ac:dyDescent="0.3">
      <c r="A1287" t="s">
        <v>373</v>
      </c>
      <c r="B1287" t="str">
        <f>TRIM(TTrainingSource[[#This Row],[EMPloyee_ID2]])</f>
        <v>EMP10646</v>
      </c>
      <c r="C1287" t="str">
        <f>IFERROR(VLOOKUP(TTrainingSource[[#This Row],[Employee_ID]],THrList[],3,FALSE),"")</f>
        <v>SOW</v>
      </c>
      <c r="D1287" t="str">
        <f>IFERROR(VLOOKUP(TTrainingSource[[#This Row],[Employee_ID]],THrList[],4,FALSE),"")</f>
        <v>Omar</v>
      </c>
      <c r="E1287" t="str">
        <f>IFERROR(VLOOKUP(TTrainingSource[[#This Row],[Employee_ID]],THrList[],10,FALSE),"")</f>
        <v>Customer Support</v>
      </c>
      <c r="F1287" t="str">
        <f>TRIM(PROPER(TTrainingSource[[#This Row],[Training_Status2]]))</f>
        <v>Planned</v>
      </c>
      <c r="G1287" t="s">
        <v>19</v>
      </c>
      <c r="H1287" t="str">
        <f>TRIM(PROPER(TTrainingSource[[#This Row],[Training_Title2]]))</f>
        <v>Advanced Excel For Business</v>
      </c>
      <c r="I1287" t="s">
        <v>52</v>
      </c>
      <c r="J1287" s="1">
        <v>44598</v>
      </c>
      <c r="K1287" t="s">
        <v>32</v>
      </c>
      <c r="L1287" s="7">
        <v>16</v>
      </c>
      <c r="M1287">
        <f>ROUND(TTrainingSource[[#This Row],[Satisfaction_Score2]],0)</f>
        <v>5</v>
      </c>
      <c r="N1287">
        <v>4.9000000000000004</v>
      </c>
    </row>
    <row r="1288" spans="1:14" x14ac:dyDescent="0.3">
      <c r="A1288" t="s">
        <v>373</v>
      </c>
      <c r="B1288" t="str">
        <f>TRIM(TTrainingSource[[#This Row],[EMPloyee_ID2]])</f>
        <v>EMP10646</v>
      </c>
      <c r="C1288" t="str">
        <f>IFERROR(VLOOKUP(TTrainingSource[[#This Row],[Employee_ID]],THrList[],3,FALSE),"")</f>
        <v>SOW</v>
      </c>
      <c r="D1288" t="str">
        <f>IFERROR(VLOOKUP(TTrainingSource[[#This Row],[Employee_ID]],THrList[],4,FALSE),"")</f>
        <v>Omar</v>
      </c>
      <c r="E1288" t="str">
        <f>IFERROR(VLOOKUP(TTrainingSource[[#This Row],[Employee_ID]],THrList[],10,FALSE),"")</f>
        <v>Customer Support</v>
      </c>
      <c r="F1288" t="str">
        <f>TRIM(PROPER(TTrainingSource[[#This Row],[Training_Status2]]))</f>
        <v>Planned</v>
      </c>
      <c r="G1288" t="s">
        <v>19</v>
      </c>
      <c r="H1288" t="str">
        <f>TRIM(PROPER(TTrainingSource[[#This Row],[Training_Title2]]))</f>
        <v>Customer Data Analysis</v>
      </c>
      <c r="I1288" t="s">
        <v>50</v>
      </c>
      <c r="J1288" s="1">
        <v>44709</v>
      </c>
      <c r="K1288" t="s">
        <v>44</v>
      </c>
      <c r="L1288" s="7">
        <v>12</v>
      </c>
      <c r="M1288">
        <f>ROUND(TTrainingSource[[#This Row],[Satisfaction_Score2]],0)</f>
        <v>3</v>
      </c>
      <c r="N1288">
        <v>3.2</v>
      </c>
    </row>
    <row r="1289" spans="1:14" x14ac:dyDescent="0.3">
      <c r="A1289" t="s">
        <v>373</v>
      </c>
      <c r="B1289" t="str">
        <f>TRIM(TTrainingSource[[#This Row],[EMPloyee_ID2]])</f>
        <v>EMP10646</v>
      </c>
      <c r="C1289" t="str">
        <f>IFERROR(VLOOKUP(TTrainingSource[[#This Row],[Employee_ID]],THrList[],3,FALSE),"")</f>
        <v>SOW</v>
      </c>
      <c r="D1289" t="str">
        <f>IFERROR(VLOOKUP(TTrainingSource[[#This Row],[Employee_ID]],THrList[],4,FALSE),"")</f>
        <v>Omar</v>
      </c>
      <c r="E1289" t="str">
        <f>IFERROR(VLOOKUP(TTrainingSource[[#This Row],[Employee_ID]],THrList[],10,FALSE),"")</f>
        <v>Customer Support</v>
      </c>
      <c r="F1289" t="str">
        <f>TRIM(PROPER(TTrainingSource[[#This Row],[Training_Status2]]))</f>
        <v>In Progress</v>
      </c>
      <c r="G1289" t="s">
        <v>8</v>
      </c>
      <c r="H1289" t="str">
        <f>TRIM(PROPER(TTrainingSource[[#This Row],[Training_Title2]]))</f>
        <v>Advanced Excel For Business</v>
      </c>
      <c r="I1289" t="s">
        <v>52</v>
      </c>
      <c r="J1289" s="1">
        <v>44673</v>
      </c>
      <c r="K1289" t="s">
        <v>29</v>
      </c>
      <c r="L1289" s="7">
        <v>6</v>
      </c>
      <c r="M1289">
        <f>ROUND(TTrainingSource[[#This Row],[Satisfaction_Score2]],0)</f>
        <v>3</v>
      </c>
      <c r="N1289">
        <v>3.4</v>
      </c>
    </row>
    <row r="1290" spans="1:14" x14ac:dyDescent="0.3">
      <c r="A1290" t="s">
        <v>260</v>
      </c>
      <c r="B1290" t="str">
        <f>TRIM(TTrainingSource[[#This Row],[EMPloyee_ID2]])</f>
        <v>EMP10646</v>
      </c>
      <c r="C1290" t="str">
        <f>IFERROR(VLOOKUP(TTrainingSource[[#This Row],[Employee_ID]],THrList[],3,FALSE),"")</f>
        <v>SOW</v>
      </c>
      <c r="D1290" t="str">
        <f>IFERROR(VLOOKUP(TTrainingSource[[#This Row],[Employee_ID]],THrList[],4,FALSE),"")</f>
        <v>Omar</v>
      </c>
      <c r="E1290" t="str">
        <f>IFERROR(VLOOKUP(TTrainingSource[[#This Row],[Employee_ID]],THrList[],10,FALSE),"")</f>
        <v>Customer Support</v>
      </c>
      <c r="F1290" t="str">
        <f>TRIM(PROPER(TTrainingSource[[#This Row],[Training_Status2]]))</f>
        <v>Planned</v>
      </c>
      <c r="G1290" t="s">
        <v>19</v>
      </c>
      <c r="H1290" t="str">
        <f>TRIM(PROPER(TTrainingSource[[#This Row],[Training_Title2]]))</f>
        <v>Financial Modeling Basics</v>
      </c>
      <c r="I1290" t="s">
        <v>38</v>
      </c>
      <c r="J1290" s="1">
        <v>44578</v>
      </c>
      <c r="K1290" t="s">
        <v>29</v>
      </c>
      <c r="L1290" s="7">
        <v>12</v>
      </c>
      <c r="M1290">
        <f>ROUND(TTrainingSource[[#This Row],[Satisfaction_Score2]],0)</f>
        <v>4</v>
      </c>
      <c r="N1290">
        <v>4.3</v>
      </c>
    </row>
    <row r="1291" spans="1:14" x14ac:dyDescent="0.3">
      <c r="A1291" t="s">
        <v>373</v>
      </c>
      <c r="B1291" t="str">
        <f>TRIM(TTrainingSource[[#This Row],[EMPloyee_ID2]])</f>
        <v>EMP10646</v>
      </c>
      <c r="C1291" t="str">
        <f>IFERROR(VLOOKUP(TTrainingSource[[#This Row],[Employee_ID]],THrList[],3,FALSE),"")</f>
        <v>SOW</v>
      </c>
      <c r="D1291" t="str">
        <f>IFERROR(VLOOKUP(TTrainingSource[[#This Row],[Employee_ID]],THrList[],4,FALSE),"")</f>
        <v>Omar</v>
      </c>
      <c r="E1291" t="str">
        <f>IFERROR(VLOOKUP(TTrainingSource[[#This Row],[Employee_ID]],THrList[],10,FALSE),"")</f>
        <v>Customer Support</v>
      </c>
      <c r="F1291" t="str">
        <f>TRIM(PROPER(TTrainingSource[[#This Row],[Training_Status2]]))</f>
        <v>Completed</v>
      </c>
      <c r="G1291" t="s">
        <v>17</v>
      </c>
      <c r="H1291" t="str">
        <f>TRIM(PROPER(TTrainingSource[[#This Row],[Training_Title2]]))</f>
        <v>Introduction To Python For Data</v>
      </c>
      <c r="I1291" t="s">
        <v>62</v>
      </c>
      <c r="J1291" s="1">
        <v>45108</v>
      </c>
      <c r="K1291" t="s">
        <v>39</v>
      </c>
      <c r="L1291" s="7">
        <v>16</v>
      </c>
      <c r="M1291">
        <f>ROUND(TTrainingSource[[#This Row],[Satisfaction_Score2]],0)</f>
        <v>5</v>
      </c>
      <c r="N1291">
        <v>4.7</v>
      </c>
    </row>
    <row r="1292" spans="1:14" x14ac:dyDescent="0.3">
      <c r="A1292" t="s">
        <v>458</v>
      </c>
      <c r="B1292" t="str">
        <f>TRIM(TTrainingSource[[#This Row],[EMPloyee_ID2]])</f>
        <v>EMP10647</v>
      </c>
      <c r="C1292" t="str">
        <f>IFERROR(VLOOKUP(TTrainingSource[[#This Row],[Employee_ID]],THrList[],3,FALSE),"")</f>
        <v>JOHNSON</v>
      </c>
      <c r="D1292" t="str">
        <f>IFERROR(VLOOKUP(TTrainingSource[[#This Row],[Employee_ID]],THrList[],4,FALSE),"")</f>
        <v>Chinedu</v>
      </c>
      <c r="E1292" t="str">
        <f>IFERROR(VLOOKUP(TTrainingSource[[#This Row],[Employee_ID]],THrList[],10,FALSE),"")</f>
        <v>Compliance</v>
      </c>
      <c r="F1292" t="str">
        <f>TRIM(PROPER(TTrainingSource[[#This Row],[Training_Status2]]))</f>
        <v>Planned</v>
      </c>
      <c r="G1292" t="s">
        <v>19</v>
      </c>
      <c r="H1292" t="str">
        <f>TRIM(PROPER(TTrainingSource[[#This Row],[Training_Title2]]))</f>
        <v>Sql For Data Analytics</v>
      </c>
      <c r="I1292" t="s">
        <v>26</v>
      </c>
      <c r="J1292" s="1">
        <v>45302</v>
      </c>
      <c r="K1292" t="s">
        <v>29</v>
      </c>
      <c r="L1292" s="7">
        <v>4</v>
      </c>
      <c r="M1292">
        <f>ROUND(TTrainingSource[[#This Row],[Satisfaction_Score2]],0)</f>
        <v>5</v>
      </c>
      <c r="N1292">
        <v>4.9000000000000004</v>
      </c>
    </row>
    <row r="1293" spans="1:14" x14ac:dyDescent="0.3">
      <c r="A1293" t="s">
        <v>145</v>
      </c>
      <c r="B1293" t="str">
        <f>TRIM(TTrainingSource[[#This Row],[EMPloyee_ID2]])</f>
        <v>EMP10648</v>
      </c>
      <c r="C1293" t="str">
        <f>IFERROR(VLOOKUP(TTrainingSource[[#This Row],[Employee_ID]],THrList[],3,FALSE),"")</f>
        <v>MENSAH</v>
      </c>
      <c r="D1293" t="str">
        <f>IFERROR(VLOOKUP(TTrainingSource[[#This Row],[Employee_ID]],THrList[],4,FALSE),"")</f>
        <v>James</v>
      </c>
      <c r="E1293" t="str">
        <f>IFERROR(VLOOKUP(TTrainingSource[[#This Row],[Employee_ID]],THrList[],10,FALSE),"")</f>
        <v>Marketing</v>
      </c>
      <c r="F1293" t="str">
        <f>TRIM(PROPER(TTrainingSource[[#This Row],[Training_Status2]]))</f>
        <v>Planned</v>
      </c>
      <c r="G1293" t="s">
        <v>19</v>
      </c>
      <c r="H1293" t="str">
        <f>TRIM(PROPER(TTrainingSource[[#This Row],[Training_Title2]]))</f>
        <v>Digital Marketing Strategy</v>
      </c>
      <c r="I1293" t="s">
        <v>43</v>
      </c>
      <c r="J1293" s="1">
        <v>44825</v>
      </c>
      <c r="K1293" t="s">
        <v>46</v>
      </c>
      <c r="L1293" s="7">
        <v>8</v>
      </c>
      <c r="M1293">
        <f>ROUND(TTrainingSource[[#This Row],[Satisfaction_Score2]],0)</f>
        <v>3</v>
      </c>
      <c r="N1293">
        <v>2.8</v>
      </c>
    </row>
    <row r="1294" spans="1:14" x14ac:dyDescent="0.3">
      <c r="A1294" t="s">
        <v>286</v>
      </c>
      <c r="B1294" t="str">
        <f>TRIM(TTrainingSource[[#This Row],[EMPloyee_ID2]])</f>
        <v>EMP10649</v>
      </c>
      <c r="C1294" t="str">
        <f>IFERROR(VLOOKUP(TTrainingSource[[#This Row],[Employee_ID]],THrList[],3,FALSE),"")</f>
        <v>MARTINEZ</v>
      </c>
      <c r="D1294" t="str">
        <f>IFERROR(VLOOKUP(TTrainingSource[[#This Row],[Employee_ID]],THrList[],4,FALSE),"")</f>
        <v>Liam</v>
      </c>
      <c r="E1294" t="str">
        <f>IFERROR(VLOOKUP(TTrainingSource[[#This Row],[Employee_ID]],THrList[],10,FALSE),"")</f>
        <v>IT</v>
      </c>
      <c r="F1294" t="str">
        <f>TRIM(PROPER(TTrainingSource[[#This Row],[Training_Status2]]))</f>
        <v>In Progress</v>
      </c>
      <c r="G1294" t="s">
        <v>8</v>
      </c>
      <c r="H1294" t="str">
        <f>TRIM(PROPER(TTrainingSource[[#This Row],[Training_Title2]]))</f>
        <v>Data Visualization Best Practices</v>
      </c>
      <c r="I1294" t="s">
        <v>20</v>
      </c>
      <c r="J1294" s="1">
        <v>45282</v>
      </c>
      <c r="K1294" t="s">
        <v>44</v>
      </c>
      <c r="L1294" s="7">
        <v>12</v>
      </c>
      <c r="M1294">
        <f>ROUND(TTrainingSource[[#This Row],[Satisfaction_Score2]],0)</f>
        <v>3</v>
      </c>
      <c r="N1294">
        <v>2.8</v>
      </c>
    </row>
    <row r="1295" spans="1:14" x14ac:dyDescent="0.3">
      <c r="A1295" t="s">
        <v>286</v>
      </c>
      <c r="B1295" t="str">
        <f>TRIM(TTrainingSource[[#This Row],[EMPloyee_ID2]])</f>
        <v>EMP10649</v>
      </c>
      <c r="C1295" t="str">
        <f>IFERROR(VLOOKUP(TTrainingSource[[#This Row],[Employee_ID]],THrList[],3,FALSE),"")</f>
        <v>MARTINEZ</v>
      </c>
      <c r="D1295" t="str">
        <f>IFERROR(VLOOKUP(TTrainingSource[[#This Row],[Employee_ID]],THrList[],4,FALSE),"")</f>
        <v>Liam</v>
      </c>
      <c r="E1295" t="str">
        <f>IFERROR(VLOOKUP(TTrainingSource[[#This Row],[Employee_ID]],THrList[],10,FALSE),"")</f>
        <v>IT</v>
      </c>
      <c r="F1295" t="str">
        <f>TRIM(PROPER(TTrainingSource[[#This Row],[Training_Status2]]))</f>
        <v>Completed</v>
      </c>
      <c r="G1295" t="s">
        <v>17</v>
      </c>
      <c r="H1295" t="str">
        <f>TRIM(PROPER(TTrainingSource[[#This Row],[Training_Title2]]))</f>
        <v>Power Bi Reporting</v>
      </c>
      <c r="I1295" t="s">
        <v>24</v>
      </c>
      <c r="J1295" s="1">
        <v>45264</v>
      </c>
      <c r="K1295" t="s">
        <v>29</v>
      </c>
      <c r="L1295" s="7">
        <v>16</v>
      </c>
      <c r="M1295">
        <f>ROUND(TTrainingSource[[#This Row],[Satisfaction_Score2]],0)</f>
        <v>4</v>
      </c>
      <c r="N1295">
        <v>4</v>
      </c>
    </row>
    <row r="1296" spans="1:14" x14ac:dyDescent="0.3">
      <c r="A1296" t="s">
        <v>269</v>
      </c>
      <c r="B1296" t="str">
        <f>TRIM(TTrainingSource[[#This Row],[EMPloyee_ID2]])</f>
        <v>EMP10650</v>
      </c>
      <c r="C1296" t="str">
        <f>IFERROR(VLOOKUP(TTrainingSource[[#This Row],[Employee_ID]],THrList[],3,FALSE),"")</f>
        <v>KHAN</v>
      </c>
      <c r="D1296" t="str">
        <f>IFERROR(VLOOKUP(TTrainingSource[[#This Row],[Employee_ID]],THrList[],4,FALSE),"")</f>
        <v>Ama</v>
      </c>
      <c r="E1296" t="str">
        <f>IFERROR(VLOOKUP(TTrainingSource[[#This Row],[Employee_ID]],THrList[],10,FALSE),"")</f>
        <v>Marketing</v>
      </c>
      <c r="F1296" t="str">
        <f>TRIM(PROPER(TTrainingSource[[#This Row],[Training_Status2]]))</f>
        <v>In Progress</v>
      </c>
      <c r="G1296" t="s">
        <v>8</v>
      </c>
      <c r="H1296" t="str">
        <f>TRIM(PROPER(TTrainingSource[[#This Row],[Training_Title2]]))</f>
        <v>Power Bi Reporting</v>
      </c>
      <c r="I1296" t="s">
        <v>24</v>
      </c>
      <c r="J1296" s="1">
        <v>45371</v>
      </c>
      <c r="K1296" t="s">
        <v>32</v>
      </c>
      <c r="L1296" s="7">
        <v>32</v>
      </c>
      <c r="M1296">
        <f>ROUND(TTrainingSource[[#This Row],[Satisfaction_Score2]],0)</f>
        <v>3</v>
      </c>
      <c r="N1296">
        <v>3</v>
      </c>
    </row>
    <row r="1297" spans="1:14" x14ac:dyDescent="0.3">
      <c r="A1297" t="s">
        <v>269</v>
      </c>
      <c r="B1297" t="str">
        <f>TRIM(TTrainingSource[[#This Row],[EMPloyee_ID2]])</f>
        <v>EMP10650</v>
      </c>
      <c r="C1297" t="str">
        <f>IFERROR(VLOOKUP(TTrainingSource[[#This Row],[Employee_ID]],THrList[],3,FALSE),"")</f>
        <v>KHAN</v>
      </c>
      <c r="D1297" t="str">
        <f>IFERROR(VLOOKUP(TTrainingSource[[#This Row],[Employee_ID]],THrList[],4,FALSE),"")</f>
        <v>Ama</v>
      </c>
      <c r="E1297" t="str">
        <f>IFERROR(VLOOKUP(TTrainingSource[[#This Row],[Employee_ID]],THrList[],10,FALSE),"")</f>
        <v>Marketing</v>
      </c>
      <c r="F1297" t="str">
        <f>TRIM(PROPER(TTrainingSource[[#This Row],[Training_Status2]]))</f>
        <v>In Progress</v>
      </c>
      <c r="G1297" t="s">
        <v>8</v>
      </c>
      <c r="H1297" t="str">
        <f>TRIM(PROPER(TTrainingSource[[#This Row],[Training_Title2]]))</f>
        <v>Power Bi Reporting</v>
      </c>
      <c r="I1297" t="s">
        <v>24</v>
      </c>
      <c r="J1297" s="1">
        <v>45661</v>
      </c>
      <c r="K1297" t="s">
        <v>32</v>
      </c>
      <c r="L1297" s="7">
        <v>6</v>
      </c>
      <c r="M1297">
        <f>ROUND(TTrainingSource[[#This Row],[Satisfaction_Score2]],0)</f>
        <v>4</v>
      </c>
      <c r="N1297">
        <v>4</v>
      </c>
    </row>
    <row r="1298" spans="1:14" x14ac:dyDescent="0.3">
      <c r="A1298" t="s">
        <v>269</v>
      </c>
      <c r="B1298" t="str">
        <f>TRIM(TTrainingSource[[#This Row],[EMPloyee_ID2]])</f>
        <v>EMP10650</v>
      </c>
      <c r="C1298" t="str">
        <f>IFERROR(VLOOKUP(TTrainingSource[[#This Row],[Employee_ID]],THrList[],3,FALSE),"")</f>
        <v>KHAN</v>
      </c>
      <c r="D1298" t="str">
        <f>IFERROR(VLOOKUP(TTrainingSource[[#This Row],[Employee_ID]],THrList[],4,FALSE),"")</f>
        <v>Ama</v>
      </c>
      <c r="E1298" t="str">
        <f>IFERROR(VLOOKUP(TTrainingSource[[#This Row],[Employee_ID]],THrList[],10,FALSE),"")</f>
        <v>Marketing</v>
      </c>
      <c r="F1298" t="str">
        <f>TRIM(PROPER(TTrainingSource[[#This Row],[Training_Status2]]))</f>
        <v>Planned</v>
      </c>
      <c r="G1298" t="s">
        <v>19</v>
      </c>
      <c r="H1298" t="str">
        <f>TRIM(PROPER(TTrainingSource[[#This Row],[Training_Title2]]))</f>
        <v>Digital Marketing Strategy</v>
      </c>
      <c r="I1298" t="s">
        <v>43</v>
      </c>
      <c r="J1298" s="1">
        <v>45135</v>
      </c>
      <c r="K1298" t="s">
        <v>32</v>
      </c>
      <c r="L1298" s="7">
        <v>12</v>
      </c>
      <c r="M1298">
        <f>ROUND(TTrainingSource[[#This Row],[Satisfaction_Score2]],0)</f>
        <v>5</v>
      </c>
      <c r="N1298">
        <v>4.7</v>
      </c>
    </row>
    <row r="1299" spans="1:14" x14ac:dyDescent="0.3">
      <c r="A1299" t="s">
        <v>269</v>
      </c>
      <c r="B1299" t="str">
        <f>TRIM(TTrainingSource[[#This Row],[EMPloyee_ID2]])</f>
        <v>EMP10650</v>
      </c>
      <c r="C1299" t="str">
        <f>IFERROR(VLOOKUP(TTrainingSource[[#This Row],[Employee_ID]],THrList[],3,FALSE),"")</f>
        <v>KHAN</v>
      </c>
      <c r="D1299" t="str">
        <f>IFERROR(VLOOKUP(TTrainingSource[[#This Row],[Employee_ID]],THrList[],4,FALSE),"")</f>
        <v>Ama</v>
      </c>
      <c r="E1299" t="str">
        <f>IFERROR(VLOOKUP(TTrainingSource[[#This Row],[Employee_ID]],THrList[],10,FALSE),"")</f>
        <v>Marketing</v>
      </c>
      <c r="F1299" t="str">
        <f>TRIM(PROPER(TTrainingSource[[#This Row],[Training_Status2]]))</f>
        <v>Completed</v>
      </c>
      <c r="G1299" t="s">
        <v>17</v>
      </c>
      <c r="H1299" t="str">
        <f>TRIM(PROPER(TTrainingSource[[#This Row],[Training_Title2]]))</f>
        <v>Advanced Excel For Business</v>
      </c>
      <c r="I1299" t="s">
        <v>52</v>
      </c>
      <c r="J1299" s="1">
        <v>45413</v>
      </c>
      <c r="K1299" t="s">
        <v>39</v>
      </c>
      <c r="L1299" s="7">
        <v>12</v>
      </c>
      <c r="M1299">
        <f>ROUND(TTrainingSource[[#This Row],[Satisfaction_Score2]],0)</f>
        <v>3</v>
      </c>
      <c r="N1299">
        <v>3.1</v>
      </c>
    </row>
    <row r="1300" spans="1:14" x14ac:dyDescent="0.3">
      <c r="A1300" t="s">
        <v>434</v>
      </c>
      <c r="B1300" t="str">
        <f>TRIM(TTrainingSource[[#This Row],[EMPloyee_ID2]])</f>
        <v>EMP10651</v>
      </c>
      <c r="C1300" t="str">
        <f>IFERROR(VLOOKUP(TTrainingSource[[#This Row],[Employee_ID]],THrList[],3,FALSE),"")</f>
        <v>KONE</v>
      </c>
      <c r="D1300" t="str">
        <f>IFERROR(VLOOKUP(TTrainingSource[[#This Row],[Employee_ID]],THrList[],4,FALSE),"")</f>
        <v>Paul</v>
      </c>
      <c r="E1300" t="str">
        <f>IFERROR(VLOOKUP(TTrainingSource[[#This Row],[Employee_ID]],THrList[],10,FALSE),"")</f>
        <v>Marketing</v>
      </c>
      <c r="F1300" t="str">
        <f>TRIM(PROPER(TTrainingSource[[#This Row],[Training_Status2]]))</f>
        <v>Completed</v>
      </c>
      <c r="G1300" t="s">
        <v>17</v>
      </c>
      <c r="H1300" t="str">
        <f>TRIM(PROPER(TTrainingSource[[#This Row],[Training_Title2]]))</f>
        <v>Financial Modeling Basics</v>
      </c>
      <c r="I1300" t="s">
        <v>38</v>
      </c>
      <c r="J1300" s="1">
        <v>45096</v>
      </c>
      <c r="K1300" t="s">
        <v>46</v>
      </c>
      <c r="L1300" s="7">
        <v>24</v>
      </c>
      <c r="M1300">
        <f>ROUND(TTrainingSource[[#This Row],[Satisfaction_Score2]],0)</f>
        <v>4</v>
      </c>
      <c r="N1300">
        <v>3.7</v>
      </c>
    </row>
    <row r="1301" spans="1:14" x14ac:dyDescent="0.3">
      <c r="A1301" t="s">
        <v>434</v>
      </c>
      <c r="B1301" t="str">
        <f>TRIM(TTrainingSource[[#This Row],[EMPloyee_ID2]])</f>
        <v>EMP10651</v>
      </c>
      <c r="C1301" t="str">
        <f>IFERROR(VLOOKUP(TTrainingSource[[#This Row],[Employee_ID]],THrList[],3,FALSE),"")</f>
        <v>KONE</v>
      </c>
      <c r="D1301" t="str">
        <f>IFERROR(VLOOKUP(TTrainingSource[[#This Row],[Employee_ID]],THrList[],4,FALSE),"")</f>
        <v>Paul</v>
      </c>
      <c r="E1301" t="str">
        <f>IFERROR(VLOOKUP(TTrainingSource[[#This Row],[Employee_ID]],THrList[],10,FALSE),"")</f>
        <v>Marketing</v>
      </c>
      <c r="F1301" t="str">
        <f>TRIM(PROPER(TTrainingSource[[#This Row],[Training_Status2]]))</f>
        <v>Completed</v>
      </c>
      <c r="G1301" t="s">
        <v>17</v>
      </c>
      <c r="H1301" t="str">
        <f>TRIM(PROPER(TTrainingSource[[#This Row],[Training_Title2]]))</f>
        <v>Project Management Essentials</v>
      </c>
      <c r="I1301" t="s">
        <v>14</v>
      </c>
      <c r="J1301" s="1">
        <v>45832</v>
      </c>
      <c r="K1301" t="s">
        <v>46</v>
      </c>
      <c r="L1301" s="7">
        <v>12</v>
      </c>
      <c r="M1301">
        <f>ROUND(TTrainingSource[[#This Row],[Satisfaction_Score2]],0)</f>
        <v>4</v>
      </c>
      <c r="N1301">
        <v>4.0999999999999996</v>
      </c>
    </row>
    <row r="1302" spans="1:14" x14ac:dyDescent="0.3">
      <c r="A1302" t="s">
        <v>434</v>
      </c>
      <c r="B1302" t="str">
        <f>TRIM(TTrainingSource[[#This Row],[EMPloyee_ID2]])</f>
        <v>EMP10651</v>
      </c>
      <c r="C1302" t="str">
        <f>IFERROR(VLOOKUP(TTrainingSource[[#This Row],[Employee_ID]],THrList[],3,FALSE),"")</f>
        <v>KONE</v>
      </c>
      <c r="D1302" t="str">
        <f>IFERROR(VLOOKUP(TTrainingSource[[#This Row],[Employee_ID]],THrList[],4,FALSE),"")</f>
        <v>Paul</v>
      </c>
      <c r="E1302" t="str">
        <f>IFERROR(VLOOKUP(TTrainingSource[[#This Row],[Employee_ID]],THrList[],10,FALSE),"")</f>
        <v>Marketing</v>
      </c>
      <c r="F1302" t="str">
        <f>TRIM(PROPER(TTrainingSource[[#This Row],[Training_Status2]]))</f>
        <v>Completed</v>
      </c>
      <c r="G1302" t="s">
        <v>17</v>
      </c>
      <c r="H1302" t="str">
        <f>TRIM(PROPER(TTrainingSource[[#This Row],[Training_Title2]]))</f>
        <v>Business Intelligence With Tableau</v>
      </c>
      <c r="I1302" t="s">
        <v>22</v>
      </c>
      <c r="J1302" s="1">
        <v>45778</v>
      </c>
      <c r="K1302" t="s">
        <v>29</v>
      </c>
      <c r="L1302" s="7">
        <v>12</v>
      </c>
      <c r="M1302">
        <f>ROUND(TTrainingSource[[#This Row],[Satisfaction_Score2]],0)</f>
        <v>3</v>
      </c>
      <c r="N1302">
        <v>3.1</v>
      </c>
    </row>
    <row r="1303" spans="1:14" x14ac:dyDescent="0.3">
      <c r="A1303" t="s">
        <v>274</v>
      </c>
      <c r="B1303" t="str">
        <f>TRIM(TTrainingSource[[#This Row],[EMPloyee_ID2]])</f>
        <v>EMP10652</v>
      </c>
      <c r="C1303" t="str">
        <f>IFERROR(VLOOKUP(TTrainingSource[[#This Row],[Employee_ID]],THrList[],3,FALSE),"")</f>
        <v>ROUSSEAU</v>
      </c>
      <c r="D1303" t="str">
        <f>IFERROR(VLOOKUP(TTrainingSource[[#This Row],[Employee_ID]],THrList[],4,FALSE),"")</f>
        <v>Emily</v>
      </c>
      <c r="E1303" t="str">
        <f>IFERROR(VLOOKUP(TTrainingSource[[#This Row],[Employee_ID]],THrList[],10,FALSE),"")</f>
        <v>Operations</v>
      </c>
      <c r="F1303" t="str">
        <f>TRIM(PROPER(TTrainingSource[[#This Row],[Training_Status2]]))</f>
        <v>Completed</v>
      </c>
      <c r="G1303" t="s">
        <v>17</v>
      </c>
      <c r="H1303" t="str">
        <f>TRIM(PROPER(TTrainingSource[[#This Row],[Training_Title2]]))</f>
        <v>Introduction To Python For Data</v>
      </c>
      <c r="I1303" t="s">
        <v>62</v>
      </c>
      <c r="J1303" s="1">
        <v>44733</v>
      </c>
      <c r="K1303" t="s">
        <v>44</v>
      </c>
      <c r="L1303" s="7">
        <v>0</v>
      </c>
      <c r="M1303">
        <f>ROUND(TTrainingSource[[#This Row],[Satisfaction_Score2]],0)</f>
        <v>3</v>
      </c>
      <c r="N1303">
        <v>3</v>
      </c>
    </row>
    <row r="1304" spans="1:14" x14ac:dyDescent="0.3">
      <c r="A1304" t="s">
        <v>274</v>
      </c>
      <c r="B1304" t="str">
        <f>TRIM(TTrainingSource[[#This Row],[EMPloyee_ID2]])</f>
        <v>EMP10652</v>
      </c>
      <c r="C1304" t="str">
        <f>IFERROR(VLOOKUP(TTrainingSource[[#This Row],[Employee_ID]],THrList[],3,FALSE),"")</f>
        <v>ROUSSEAU</v>
      </c>
      <c r="D1304" t="str">
        <f>IFERROR(VLOOKUP(TTrainingSource[[#This Row],[Employee_ID]],THrList[],4,FALSE),"")</f>
        <v>Emily</v>
      </c>
      <c r="E1304" t="str">
        <f>IFERROR(VLOOKUP(TTrainingSource[[#This Row],[Employee_ID]],THrList[],10,FALSE),"")</f>
        <v>Operations</v>
      </c>
      <c r="F1304" t="str">
        <f>TRIM(PROPER(TTrainingSource[[#This Row],[Training_Status2]]))</f>
        <v>Completed</v>
      </c>
      <c r="G1304" t="s">
        <v>17</v>
      </c>
      <c r="H1304" t="str">
        <f>TRIM(PROPER(TTrainingSource[[#This Row],[Training_Title2]]))</f>
        <v>Data Analysis Fundamentals</v>
      </c>
      <c r="I1304" t="s">
        <v>9</v>
      </c>
      <c r="J1304" s="1">
        <v>45933</v>
      </c>
      <c r="K1304" t="s">
        <v>44</v>
      </c>
      <c r="L1304" s="7">
        <v>24</v>
      </c>
      <c r="M1304">
        <f>ROUND(TTrainingSource[[#This Row],[Satisfaction_Score2]],0)</f>
        <v>3</v>
      </c>
      <c r="N1304">
        <v>3.2</v>
      </c>
    </row>
    <row r="1305" spans="1:14" x14ac:dyDescent="0.3">
      <c r="A1305" t="s">
        <v>274</v>
      </c>
      <c r="B1305" t="str">
        <f>TRIM(TTrainingSource[[#This Row],[EMPloyee_ID2]])</f>
        <v>EMP10652</v>
      </c>
      <c r="C1305" t="str">
        <f>IFERROR(VLOOKUP(TTrainingSource[[#This Row],[Employee_ID]],THrList[],3,FALSE),"")</f>
        <v>ROUSSEAU</v>
      </c>
      <c r="D1305" t="str">
        <f>IFERROR(VLOOKUP(TTrainingSource[[#This Row],[Employee_ID]],THrList[],4,FALSE),"")</f>
        <v>Emily</v>
      </c>
      <c r="E1305" t="str">
        <f>IFERROR(VLOOKUP(TTrainingSource[[#This Row],[Employee_ID]],THrList[],10,FALSE),"")</f>
        <v>Operations</v>
      </c>
      <c r="F1305" t="str">
        <f>TRIM(PROPER(TTrainingSource[[#This Row],[Training_Status2]]))</f>
        <v>Planned</v>
      </c>
      <c r="G1305" t="s">
        <v>19</v>
      </c>
      <c r="H1305" t="str">
        <f>TRIM(PROPER(TTrainingSource[[#This Row],[Training_Title2]]))</f>
        <v>Data Analysis Fundamentals</v>
      </c>
      <c r="I1305" t="s">
        <v>9</v>
      </c>
      <c r="J1305" s="1">
        <v>45169</v>
      </c>
      <c r="K1305" t="s">
        <v>44</v>
      </c>
      <c r="L1305" s="7">
        <v>12</v>
      </c>
      <c r="M1305">
        <f>ROUND(TTrainingSource[[#This Row],[Satisfaction_Score2]],0)</f>
        <v>3</v>
      </c>
      <c r="N1305">
        <v>3.4</v>
      </c>
    </row>
    <row r="1306" spans="1:14" x14ac:dyDescent="0.3">
      <c r="A1306" t="s">
        <v>274</v>
      </c>
      <c r="B1306" t="str">
        <f>TRIM(TTrainingSource[[#This Row],[EMPloyee_ID2]])</f>
        <v>EMP10652</v>
      </c>
      <c r="C1306" t="str">
        <f>IFERROR(VLOOKUP(TTrainingSource[[#This Row],[Employee_ID]],THrList[],3,FALSE),"")</f>
        <v>ROUSSEAU</v>
      </c>
      <c r="D1306" t="str">
        <f>IFERROR(VLOOKUP(TTrainingSource[[#This Row],[Employee_ID]],THrList[],4,FALSE),"")</f>
        <v>Emily</v>
      </c>
      <c r="E1306" t="str">
        <f>IFERROR(VLOOKUP(TTrainingSource[[#This Row],[Employee_ID]],THrList[],10,FALSE),"")</f>
        <v>Operations</v>
      </c>
      <c r="F1306" t="str">
        <f>TRIM(PROPER(TTrainingSource[[#This Row],[Training_Status2]]))</f>
        <v>Completed</v>
      </c>
      <c r="G1306" t="s">
        <v>35</v>
      </c>
      <c r="H1306" t="str">
        <f>TRIM(PROPER(TTrainingSource[[#This Row],[Training_Title2]]))</f>
        <v>Data Visualization Best Practices</v>
      </c>
      <c r="I1306" t="s">
        <v>20</v>
      </c>
      <c r="J1306" s="1">
        <v>44662</v>
      </c>
      <c r="K1306" t="s">
        <v>29</v>
      </c>
      <c r="L1306" s="7">
        <v>4</v>
      </c>
      <c r="M1306">
        <f>ROUND(TTrainingSource[[#This Row],[Satisfaction_Score2]],0)</f>
        <v>5</v>
      </c>
      <c r="N1306">
        <v>4.7</v>
      </c>
    </row>
    <row r="1307" spans="1:14" x14ac:dyDescent="0.3">
      <c r="A1307" t="s">
        <v>274</v>
      </c>
      <c r="B1307" t="str">
        <f>TRIM(TTrainingSource[[#This Row],[EMPloyee_ID2]])</f>
        <v>EMP10652</v>
      </c>
      <c r="C1307" t="str">
        <f>IFERROR(VLOOKUP(TTrainingSource[[#This Row],[Employee_ID]],THrList[],3,FALSE),"")</f>
        <v>ROUSSEAU</v>
      </c>
      <c r="D1307" t="str">
        <f>IFERROR(VLOOKUP(TTrainingSource[[#This Row],[Employee_ID]],THrList[],4,FALSE),"")</f>
        <v>Emily</v>
      </c>
      <c r="E1307" t="str">
        <f>IFERROR(VLOOKUP(TTrainingSource[[#This Row],[Employee_ID]],THrList[],10,FALSE),"")</f>
        <v>Operations</v>
      </c>
      <c r="F1307" t="str">
        <f>TRIM(PROPER(TTrainingSource[[#This Row],[Training_Status2]]))</f>
        <v>Completed</v>
      </c>
      <c r="G1307" t="s">
        <v>17</v>
      </c>
      <c r="H1307" t="str">
        <f>TRIM(PROPER(TTrainingSource[[#This Row],[Training_Title2]]))</f>
        <v>Data Visualization Best Practices</v>
      </c>
      <c r="I1307" t="s">
        <v>113</v>
      </c>
      <c r="J1307" s="1">
        <v>45041</v>
      </c>
      <c r="K1307" t="s">
        <v>29</v>
      </c>
      <c r="L1307" s="7">
        <v>24</v>
      </c>
      <c r="M1307">
        <f>ROUND(TTrainingSource[[#This Row],[Satisfaction_Score2]],0)</f>
        <v>4</v>
      </c>
      <c r="N1307">
        <v>3.6</v>
      </c>
    </row>
    <row r="1308" spans="1:14" x14ac:dyDescent="0.3">
      <c r="A1308" t="s">
        <v>274</v>
      </c>
      <c r="B1308" t="str">
        <f>TRIM(TTrainingSource[[#This Row],[EMPloyee_ID2]])</f>
        <v>EMP10652</v>
      </c>
      <c r="C1308" t="str">
        <f>IFERROR(VLOOKUP(TTrainingSource[[#This Row],[Employee_ID]],THrList[],3,FALSE),"")</f>
        <v>ROUSSEAU</v>
      </c>
      <c r="D1308" t="str">
        <f>IFERROR(VLOOKUP(TTrainingSource[[#This Row],[Employee_ID]],THrList[],4,FALSE),"")</f>
        <v>Emily</v>
      </c>
      <c r="E1308" t="str">
        <f>IFERROR(VLOOKUP(TTrainingSource[[#This Row],[Employee_ID]],THrList[],10,FALSE),"")</f>
        <v>Operations</v>
      </c>
      <c r="F1308" t="str">
        <f>TRIM(PROPER(TTrainingSource[[#This Row],[Training_Status2]]))</f>
        <v>Planned</v>
      </c>
      <c r="G1308" t="s">
        <v>19</v>
      </c>
      <c r="H1308" t="str">
        <f>TRIM(PROPER(TTrainingSource[[#This Row],[Training_Title2]]))</f>
        <v>Business Intelligence With Tableau</v>
      </c>
      <c r="I1308" t="s">
        <v>22</v>
      </c>
      <c r="J1308" s="1">
        <v>44868</v>
      </c>
      <c r="K1308" t="s">
        <v>46</v>
      </c>
      <c r="L1308" s="7">
        <v>40</v>
      </c>
      <c r="M1308">
        <f>ROUND(TTrainingSource[[#This Row],[Satisfaction_Score2]],0)</f>
        <v>4</v>
      </c>
      <c r="N1308">
        <v>3.8</v>
      </c>
    </row>
    <row r="1309" spans="1:14" x14ac:dyDescent="0.3">
      <c r="A1309" t="s">
        <v>274</v>
      </c>
      <c r="B1309" t="str">
        <f>TRIM(TTrainingSource[[#This Row],[EMPloyee_ID2]])</f>
        <v>EMP10652</v>
      </c>
      <c r="C1309" t="str">
        <f>IFERROR(VLOOKUP(TTrainingSource[[#This Row],[Employee_ID]],THrList[],3,FALSE),"")</f>
        <v>ROUSSEAU</v>
      </c>
      <c r="D1309" t="str">
        <f>IFERROR(VLOOKUP(TTrainingSource[[#This Row],[Employee_ID]],THrList[],4,FALSE),"")</f>
        <v>Emily</v>
      </c>
      <c r="E1309" t="str">
        <f>IFERROR(VLOOKUP(TTrainingSource[[#This Row],[Employee_ID]],THrList[],10,FALSE),"")</f>
        <v>Operations</v>
      </c>
      <c r="F1309" t="str">
        <f>TRIM(PROPER(TTrainingSource[[#This Row],[Training_Status2]]))</f>
        <v>Completed</v>
      </c>
      <c r="G1309" t="s">
        <v>17</v>
      </c>
      <c r="H1309" t="str">
        <f>TRIM(PROPER(TTrainingSource[[#This Row],[Training_Title2]]))</f>
        <v>Sql For Data Analytics</v>
      </c>
      <c r="I1309" t="s">
        <v>26</v>
      </c>
      <c r="J1309" s="1">
        <v>45399</v>
      </c>
      <c r="K1309" t="s">
        <v>46</v>
      </c>
      <c r="L1309" s="7">
        <v>12</v>
      </c>
      <c r="M1309">
        <f>ROUND(TTrainingSource[[#This Row],[Satisfaction_Score2]],0)</f>
        <v>3</v>
      </c>
      <c r="N1309">
        <v>3</v>
      </c>
    </row>
    <row r="1310" spans="1:14" x14ac:dyDescent="0.3">
      <c r="A1310" t="s">
        <v>274</v>
      </c>
      <c r="B1310" t="str">
        <f>TRIM(TTrainingSource[[#This Row],[EMPloyee_ID2]])</f>
        <v>EMP10652</v>
      </c>
      <c r="C1310" t="str">
        <f>IFERROR(VLOOKUP(TTrainingSource[[#This Row],[Employee_ID]],THrList[],3,FALSE),"")</f>
        <v>ROUSSEAU</v>
      </c>
      <c r="D1310" t="str">
        <f>IFERROR(VLOOKUP(TTrainingSource[[#This Row],[Employee_ID]],THrList[],4,FALSE),"")</f>
        <v>Emily</v>
      </c>
      <c r="E1310" t="str">
        <f>IFERROR(VLOOKUP(TTrainingSource[[#This Row],[Employee_ID]],THrList[],10,FALSE),"")</f>
        <v>Operations</v>
      </c>
      <c r="F1310" t="str">
        <f>TRIM(PROPER(TTrainingSource[[#This Row],[Training_Status2]]))</f>
        <v>Completed</v>
      </c>
      <c r="G1310" t="s">
        <v>17</v>
      </c>
      <c r="H1310" t="str">
        <f>TRIM(PROPER(TTrainingSource[[#This Row],[Training_Title2]]))</f>
        <v>Introduction To Python For Data</v>
      </c>
      <c r="I1310" t="s">
        <v>62</v>
      </c>
      <c r="J1310" s="1">
        <v>44603</v>
      </c>
      <c r="K1310" t="s">
        <v>98</v>
      </c>
      <c r="L1310" s="7">
        <v>12</v>
      </c>
      <c r="M1310">
        <f>ROUND(TTrainingSource[[#This Row],[Satisfaction_Score2]],0)</f>
        <v>3</v>
      </c>
      <c r="N1310">
        <v>3</v>
      </c>
    </row>
    <row r="1311" spans="1:14" x14ac:dyDescent="0.3">
      <c r="A1311" t="s">
        <v>700</v>
      </c>
      <c r="B1311" t="str">
        <f>TRIM(TTrainingSource[[#This Row],[EMPloyee_ID2]])</f>
        <v>EMP10653</v>
      </c>
      <c r="C1311" t="str">
        <f>IFERROR(VLOOKUP(TTrainingSource[[#This Row],[Employee_ID]],THrList[],3,FALSE),"")</f>
        <v>RODRIGUEZ</v>
      </c>
      <c r="D1311" t="str">
        <f>IFERROR(VLOOKUP(TTrainingSource[[#This Row],[Employee_ID]],THrList[],4,FALSE),"")</f>
        <v>Fatima</v>
      </c>
      <c r="E1311" t="str">
        <f>IFERROR(VLOOKUP(TTrainingSource[[#This Row],[Employee_ID]],THrList[],10,FALSE),"")</f>
        <v>Procurement</v>
      </c>
      <c r="F1311" t="str">
        <f>TRIM(PROPER(TTrainingSource[[#This Row],[Training_Status2]]))</f>
        <v>Planned</v>
      </c>
      <c r="G1311" t="s">
        <v>19</v>
      </c>
      <c r="H1311" t="str">
        <f>TRIM(PROPER(TTrainingSource[[#This Row],[Training_Title2]]))</f>
        <v>Data Analysis Fundamentals</v>
      </c>
      <c r="I1311" t="s">
        <v>9</v>
      </c>
      <c r="J1311" s="1">
        <v>45450</v>
      </c>
      <c r="K1311" t="s">
        <v>98</v>
      </c>
      <c r="L1311" s="7">
        <v>16</v>
      </c>
      <c r="M1311">
        <f>ROUND(TTrainingSource[[#This Row],[Satisfaction_Score2]],0)</f>
        <v>4</v>
      </c>
      <c r="N1311">
        <v>4</v>
      </c>
    </row>
    <row r="1312" spans="1:14" x14ac:dyDescent="0.3">
      <c r="A1312" t="s">
        <v>506</v>
      </c>
      <c r="B1312" t="str">
        <f>TRIM(TTrainingSource[[#This Row],[EMPloyee_ID2]])</f>
        <v>EMP10654</v>
      </c>
      <c r="C1312" t="str">
        <f>IFERROR(VLOOKUP(TTrainingSource[[#This Row],[Employee_ID]],THrList[],3,FALSE),"")</f>
        <v>LAURENT</v>
      </c>
      <c r="D1312" t="str">
        <f>IFERROR(VLOOKUP(TTrainingSource[[#This Row],[Employee_ID]],THrList[],4,FALSE),"")</f>
        <v>Mariama</v>
      </c>
      <c r="E1312" t="str">
        <f>IFERROR(VLOOKUP(TTrainingSource[[#This Row],[Employee_ID]],THrList[],10,FALSE),"")</f>
        <v>Compliance</v>
      </c>
      <c r="F1312" t="str">
        <f>TRIM(PROPER(TTrainingSource[[#This Row],[Training_Status2]]))</f>
        <v>In Progress</v>
      </c>
      <c r="G1312" t="s">
        <v>8</v>
      </c>
      <c r="H1312" t="str">
        <f>TRIM(PROPER(TTrainingSource[[#This Row],[Training_Title2]]))</f>
        <v>Introduction To Python For Data</v>
      </c>
      <c r="I1312" t="s">
        <v>62</v>
      </c>
      <c r="J1312" s="1">
        <v>45030</v>
      </c>
      <c r="K1312" t="s">
        <v>42</v>
      </c>
      <c r="L1312" s="7">
        <v>6</v>
      </c>
      <c r="M1312">
        <f>ROUND(TTrainingSource[[#This Row],[Satisfaction_Score2]],0)</f>
        <v>3</v>
      </c>
      <c r="N1312">
        <v>3</v>
      </c>
    </row>
    <row r="1313" spans="1:14" x14ac:dyDescent="0.3">
      <c r="A1313" t="s">
        <v>506</v>
      </c>
      <c r="B1313" t="str">
        <f>TRIM(TTrainingSource[[#This Row],[EMPloyee_ID2]])</f>
        <v>EMP10654</v>
      </c>
      <c r="C1313" t="str">
        <f>IFERROR(VLOOKUP(TTrainingSource[[#This Row],[Employee_ID]],THrList[],3,FALSE),"")</f>
        <v>LAURENT</v>
      </c>
      <c r="D1313" t="str">
        <f>IFERROR(VLOOKUP(TTrainingSource[[#This Row],[Employee_ID]],THrList[],4,FALSE),"")</f>
        <v>Mariama</v>
      </c>
      <c r="E1313" t="str">
        <f>IFERROR(VLOOKUP(TTrainingSource[[#This Row],[Employee_ID]],THrList[],10,FALSE),"")</f>
        <v>Compliance</v>
      </c>
      <c r="F1313" t="str">
        <f>TRIM(PROPER(TTrainingSource[[#This Row],[Training_Status2]]))</f>
        <v>Planned</v>
      </c>
      <c r="G1313" t="s">
        <v>19</v>
      </c>
      <c r="H1313" t="str">
        <f>TRIM(PROPER(TTrainingSource[[#This Row],[Training_Title2]]))</f>
        <v>Sql For Data Analytics</v>
      </c>
      <c r="I1313" t="s">
        <v>26</v>
      </c>
      <c r="J1313" s="1">
        <v>45862</v>
      </c>
      <c r="K1313" t="s">
        <v>42</v>
      </c>
      <c r="L1313" s="7">
        <v>24</v>
      </c>
      <c r="M1313">
        <f>ROUND(TTrainingSource[[#This Row],[Satisfaction_Score2]],0)</f>
        <v>4</v>
      </c>
      <c r="N1313">
        <v>4.4000000000000004</v>
      </c>
    </row>
    <row r="1314" spans="1:14" x14ac:dyDescent="0.3">
      <c r="A1314" t="s">
        <v>506</v>
      </c>
      <c r="B1314" t="str">
        <f>TRIM(TTrainingSource[[#This Row],[EMPloyee_ID2]])</f>
        <v>EMP10654</v>
      </c>
      <c r="C1314" t="str">
        <f>IFERROR(VLOOKUP(TTrainingSource[[#This Row],[Employee_ID]],THrList[],3,FALSE),"")</f>
        <v>LAURENT</v>
      </c>
      <c r="D1314" t="str">
        <f>IFERROR(VLOOKUP(TTrainingSource[[#This Row],[Employee_ID]],THrList[],4,FALSE),"")</f>
        <v>Mariama</v>
      </c>
      <c r="E1314" t="str">
        <f>IFERROR(VLOOKUP(TTrainingSource[[#This Row],[Employee_ID]],THrList[],10,FALSE),"")</f>
        <v>Compliance</v>
      </c>
      <c r="F1314" t="str">
        <f>TRIM(PROPER(TTrainingSource[[#This Row],[Training_Status2]]))</f>
        <v>In Progress</v>
      </c>
      <c r="G1314" t="s">
        <v>8</v>
      </c>
      <c r="H1314" t="str">
        <f>TRIM(PROPER(TTrainingSource[[#This Row],[Training_Title2]]))</f>
        <v>Customer Data Analysis</v>
      </c>
      <c r="I1314" t="s">
        <v>31</v>
      </c>
      <c r="J1314" s="1">
        <v>45649</v>
      </c>
      <c r="K1314" t="s">
        <v>98</v>
      </c>
      <c r="L1314" s="7">
        <v>16</v>
      </c>
      <c r="M1314">
        <f>ROUND(TTrainingSource[[#This Row],[Satisfaction_Score2]],0)</f>
        <v>4</v>
      </c>
      <c r="N1314">
        <v>3.6</v>
      </c>
    </row>
    <row r="1315" spans="1:14" x14ac:dyDescent="0.3">
      <c r="A1315" t="s">
        <v>506</v>
      </c>
      <c r="B1315" t="str">
        <f>TRIM(TTrainingSource[[#This Row],[EMPloyee_ID2]])</f>
        <v>EMP10654</v>
      </c>
      <c r="C1315" t="str">
        <f>IFERROR(VLOOKUP(TTrainingSource[[#This Row],[Employee_ID]],THrList[],3,FALSE),"")</f>
        <v>LAURENT</v>
      </c>
      <c r="D1315" t="str">
        <f>IFERROR(VLOOKUP(TTrainingSource[[#This Row],[Employee_ID]],THrList[],4,FALSE),"")</f>
        <v>Mariama</v>
      </c>
      <c r="E1315" t="str">
        <f>IFERROR(VLOOKUP(TTrainingSource[[#This Row],[Employee_ID]],THrList[],10,FALSE),"")</f>
        <v>Compliance</v>
      </c>
      <c r="F1315" t="str">
        <f>TRIM(PROPER(TTrainingSource[[#This Row],[Training_Status2]]))</f>
        <v>Completed</v>
      </c>
      <c r="G1315" t="s">
        <v>17</v>
      </c>
      <c r="H1315" t="str">
        <f>TRIM(PROPER(TTrainingSource[[#This Row],[Training_Title2]]))</f>
        <v>Digital Marketing Strategy</v>
      </c>
      <c r="I1315" t="s">
        <v>43</v>
      </c>
      <c r="J1315" s="1">
        <v>45106</v>
      </c>
      <c r="K1315" t="s">
        <v>29</v>
      </c>
      <c r="L1315" s="7">
        <v>8</v>
      </c>
      <c r="M1315">
        <f>ROUND(TTrainingSource[[#This Row],[Satisfaction_Score2]],0)</f>
        <v>4</v>
      </c>
      <c r="N1315">
        <v>4.0999999999999996</v>
      </c>
    </row>
    <row r="1316" spans="1:14" x14ac:dyDescent="0.3">
      <c r="A1316" t="s">
        <v>506</v>
      </c>
      <c r="B1316" t="str">
        <f>TRIM(TTrainingSource[[#This Row],[EMPloyee_ID2]])</f>
        <v>EMP10654</v>
      </c>
      <c r="C1316" t="str">
        <f>IFERROR(VLOOKUP(TTrainingSource[[#This Row],[Employee_ID]],THrList[],3,FALSE),"")</f>
        <v>LAURENT</v>
      </c>
      <c r="D1316" t="str">
        <f>IFERROR(VLOOKUP(TTrainingSource[[#This Row],[Employee_ID]],THrList[],4,FALSE),"")</f>
        <v>Mariama</v>
      </c>
      <c r="E1316" t="str">
        <f>IFERROR(VLOOKUP(TTrainingSource[[#This Row],[Employee_ID]],THrList[],10,FALSE),"")</f>
        <v>Compliance</v>
      </c>
      <c r="F1316" t="str">
        <f>TRIM(PROPER(TTrainingSource[[#This Row],[Training_Status2]]))</f>
        <v>Planned</v>
      </c>
      <c r="G1316" t="s">
        <v>19</v>
      </c>
      <c r="H1316" t="str">
        <f>TRIM(PROPER(TTrainingSource[[#This Row],[Training_Title2]]))</f>
        <v>Power Bi Reporting</v>
      </c>
      <c r="I1316" t="s">
        <v>24</v>
      </c>
      <c r="J1316" s="1">
        <v>45326</v>
      </c>
      <c r="K1316" t="s">
        <v>32</v>
      </c>
      <c r="L1316" s="7">
        <v>40</v>
      </c>
      <c r="M1316">
        <f>ROUND(TTrainingSource[[#This Row],[Satisfaction_Score2]],0)</f>
        <v>3</v>
      </c>
      <c r="N1316">
        <v>3.1</v>
      </c>
    </row>
    <row r="1317" spans="1:14" x14ac:dyDescent="0.3">
      <c r="A1317" t="s">
        <v>619</v>
      </c>
      <c r="B1317" t="str">
        <f>TRIM(TTrainingSource[[#This Row],[EMPloyee_ID2]])</f>
        <v>EMP10655</v>
      </c>
      <c r="C1317" t="str">
        <f>IFERROR(VLOOKUP(TTrainingSource[[#This Row],[Employee_ID]],THrList[],3,FALSE),"")</f>
        <v>KOUASSI</v>
      </c>
      <c r="D1317" t="str">
        <f>IFERROR(VLOOKUP(TTrainingSource[[#This Row],[Employee_ID]],THrList[],4,FALSE),"")</f>
        <v>Alexander</v>
      </c>
      <c r="E1317" t="str">
        <f>IFERROR(VLOOKUP(TTrainingSource[[#This Row],[Employee_ID]],THrList[],10,FALSE),"")</f>
        <v>Operations</v>
      </c>
      <c r="F1317" t="str">
        <f>TRIM(PROPER(TTrainingSource[[#This Row],[Training_Status2]]))</f>
        <v>Completed</v>
      </c>
      <c r="G1317" t="s">
        <v>69</v>
      </c>
      <c r="H1317" t="str">
        <f>TRIM(PROPER(TTrainingSource[[#This Row],[Training_Title2]]))</f>
        <v>Business Intelligence With Tableau</v>
      </c>
      <c r="I1317" t="s">
        <v>22</v>
      </c>
      <c r="J1317" s="1">
        <v>45282</v>
      </c>
      <c r="K1317" t="s">
        <v>29</v>
      </c>
      <c r="L1317" s="7">
        <v>24</v>
      </c>
      <c r="M1317">
        <f>ROUND(TTrainingSource[[#This Row],[Satisfaction_Score2]],0)</f>
        <v>3</v>
      </c>
      <c r="N1317">
        <v>3.1</v>
      </c>
    </row>
    <row r="1318" spans="1:14" x14ac:dyDescent="0.3">
      <c r="A1318" t="s">
        <v>501</v>
      </c>
      <c r="B1318" t="str">
        <f>TRIM(TTrainingSource[[#This Row],[EMPloyee_ID2]])</f>
        <v>EMP10655</v>
      </c>
      <c r="C1318" t="str">
        <f>IFERROR(VLOOKUP(TTrainingSource[[#This Row],[Employee_ID]],THrList[],3,FALSE),"")</f>
        <v>KOUASSI</v>
      </c>
      <c r="D1318" t="str">
        <f>IFERROR(VLOOKUP(TTrainingSource[[#This Row],[Employee_ID]],THrList[],4,FALSE),"")</f>
        <v>Alexander</v>
      </c>
      <c r="E1318" t="str">
        <f>IFERROR(VLOOKUP(TTrainingSource[[#This Row],[Employee_ID]],THrList[],10,FALSE),"")</f>
        <v>Operations</v>
      </c>
      <c r="F1318" t="str">
        <f>TRIM(PROPER(TTrainingSource[[#This Row],[Training_Status2]]))</f>
        <v>In Progress</v>
      </c>
      <c r="G1318" t="s">
        <v>8</v>
      </c>
      <c r="H1318" t="str">
        <f>TRIM(PROPER(TTrainingSource[[#This Row],[Training_Title2]]))</f>
        <v>Project Management Essentials</v>
      </c>
      <c r="I1318" t="s">
        <v>14</v>
      </c>
      <c r="J1318" s="1">
        <v>45415</v>
      </c>
      <c r="K1318" t="s">
        <v>42</v>
      </c>
      <c r="L1318" s="7">
        <v>0</v>
      </c>
      <c r="M1318">
        <f>ROUND(TTrainingSource[[#This Row],[Satisfaction_Score2]],0)</f>
        <v>5</v>
      </c>
      <c r="N1318">
        <v>4.5</v>
      </c>
    </row>
    <row r="1319" spans="1:14" x14ac:dyDescent="0.3">
      <c r="A1319" t="s">
        <v>619</v>
      </c>
      <c r="B1319" t="str">
        <f>TRIM(TTrainingSource[[#This Row],[EMPloyee_ID2]])</f>
        <v>EMP10655</v>
      </c>
      <c r="C1319" t="str">
        <f>IFERROR(VLOOKUP(TTrainingSource[[#This Row],[Employee_ID]],THrList[],3,FALSE),"")</f>
        <v>KOUASSI</v>
      </c>
      <c r="D1319" t="str">
        <f>IFERROR(VLOOKUP(TTrainingSource[[#This Row],[Employee_ID]],THrList[],4,FALSE),"")</f>
        <v>Alexander</v>
      </c>
      <c r="E1319" t="str">
        <f>IFERROR(VLOOKUP(TTrainingSource[[#This Row],[Employee_ID]],THrList[],10,FALSE),"")</f>
        <v>Operations</v>
      </c>
      <c r="F1319" t="str">
        <f>TRIM(PROPER(TTrainingSource[[#This Row],[Training_Status2]]))</f>
        <v>Completed</v>
      </c>
      <c r="G1319" t="s">
        <v>17</v>
      </c>
      <c r="H1319" t="str">
        <f>TRIM(PROPER(TTrainingSource[[#This Row],[Training_Title2]]))</f>
        <v>Communication For Analysts</v>
      </c>
      <c r="I1319" t="s">
        <v>28</v>
      </c>
      <c r="J1319" s="1">
        <v>44647</v>
      </c>
      <c r="K1319" t="s">
        <v>42</v>
      </c>
      <c r="L1319" s="7">
        <v>12</v>
      </c>
      <c r="M1319">
        <f>ROUND(TTrainingSource[[#This Row],[Satisfaction_Score2]],0)</f>
        <v>4</v>
      </c>
      <c r="N1319">
        <v>3.7</v>
      </c>
    </row>
    <row r="1320" spans="1:14" x14ac:dyDescent="0.3">
      <c r="A1320" t="s">
        <v>619</v>
      </c>
      <c r="B1320" t="str">
        <f>TRIM(TTrainingSource[[#This Row],[EMPloyee_ID2]])</f>
        <v>EMP10655</v>
      </c>
      <c r="C1320" t="str">
        <f>IFERROR(VLOOKUP(TTrainingSource[[#This Row],[Employee_ID]],THrList[],3,FALSE),"")</f>
        <v>KOUASSI</v>
      </c>
      <c r="D1320" t="str">
        <f>IFERROR(VLOOKUP(TTrainingSource[[#This Row],[Employee_ID]],THrList[],4,FALSE),"")</f>
        <v>Alexander</v>
      </c>
      <c r="E1320" t="str">
        <f>IFERROR(VLOOKUP(TTrainingSource[[#This Row],[Employee_ID]],THrList[],10,FALSE),"")</f>
        <v>Operations</v>
      </c>
      <c r="F1320" t="str">
        <f>TRIM(PROPER(TTrainingSource[[#This Row],[Training_Status2]]))</f>
        <v>Planned</v>
      </c>
      <c r="G1320" t="s">
        <v>19</v>
      </c>
      <c r="H1320" t="str">
        <f>TRIM(PROPER(TTrainingSource[[#This Row],[Training_Title2]]))</f>
        <v>Customer Data Analysis</v>
      </c>
      <c r="I1320" t="s">
        <v>31</v>
      </c>
      <c r="J1320" s="1">
        <v>45247</v>
      </c>
      <c r="K1320" t="s">
        <v>15</v>
      </c>
      <c r="L1320" s="7">
        <v>12</v>
      </c>
      <c r="M1320">
        <f>ROUND(TTrainingSource[[#This Row],[Satisfaction_Score2]],0)</f>
        <v>5</v>
      </c>
      <c r="N1320">
        <v>4.9000000000000004</v>
      </c>
    </row>
    <row r="1321" spans="1:14" x14ac:dyDescent="0.3">
      <c r="A1321" t="s">
        <v>501</v>
      </c>
      <c r="B1321" t="str">
        <f>TRIM(TTrainingSource[[#This Row],[EMPloyee_ID2]])</f>
        <v>EMP10655</v>
      </c>
      <c r="C1321" t="str">
        <f>IFERROR(VLOOKUP(TTrainingSource[[#This Row],[Employee_ID]],THrList[],3,FALSE),"")</f>
        <v>KOUASSI</v>
      </c>
      <c r="D1321" t="str">
        <f>IFERROR(VLOOKUP(TTrainingSource[[#This Row],[Employee_ID]],THrList[],4,FALSE),"")</f>
        <v>Alexander</v>
      </c>
      <c r="E1321" t="str">
        <f>IFERROR(VLOOKUP(TTrainingSource[[#This Row],[Employee_ID]],THrList[],10,FALSE),"")</f>
        <v>Operations</v>
      </c>
      <c r="F1321" t="str">
        <f>TRIM(PROPER(TTrainingSource[[#This Row],[Training_Status2]]))</f>
        <v>Completed</v>
      </c>
      <c r="G1321" t="s">
        <v>17</v>
      </c>
      <c r="H1321" t="str">
        <f>TRIM(PROPER(TTrainingSource[[#This Row],[Training_Title2]]))</f>
        <v>Sql For Data Analytics</v>
      </c>
      <c r="I1321" t="s">
        <v>26</v>
      </c>
      <c r="J1321" s="1">
        <v>45515</v>
      </c>
      <c r="K1321" t="s">
        <v>46</v>
      </c>
      <c r="L1321" s="7">
        <v>8</v>
      </c>
      <c r="M1321">
        <f>ROUND(TTrainingSource[[#This Row],[Satisfaction_Score2]],0)</f>
        <v>4</v>
      </c>
      <c r="N1321">
        <v>3.7</v>
      </c>
    </row>
    <row r="1322" spans="1:14" x14ac:dyDescent="0.3">
      <c r="A1322" t="s">
        <v>619</v>
      </c>
      <c r="B1322" t="str">
        <f>TRIM(TTrainingSource[[#This Row],[EMPloyee_ID2]])</f>
        <v>EMP10655</v>
      </c>
      <c r="C1322" t="str">
        <f>IFERROR(VLOOKUP(TTrainingSource[[#This Row],[Employee_ID]],THrList[],3,FALSE),"")</f>
        <v>KOUASSI</v>
      </c>
      <c r="D1322" t="str">
        <f>IFERROR(VLOOKUP(TTrainingSource[[#This Row],[Employee_ID]],THrList[],4,FALSE),"")</f>
        <v>Alexander</v>
      </c>
      <c r="E1322" t="str">
        <f>IFERROR(VLOOKUP(TTrainingSource[[#This Row],[Employee_ID]],THrList[],10,FALSE),"")</f>
        <v>Operations</v>
      </c>
      <c r="F1322" t="str">
        <f>TRIM(PROPER(TTrainingSource[[#This Row],[Training_Status2]]))</f>
        <v>Completed</v>
      </c>
      <c r="G1322" t="s">
        <v>17</v>
      </c>
      <c r="H1322" t="str">
        <f>TRIM(PROPER(TTrainingSource[[#This Row],[Training_Title2]]))</f>
        <v>Data Analysis Fundamentals</v>
      </c>
      <c r="I1322" t="s">
        <v>9</v>
      </c>
      <c r="J1322" s="1">
        <v>45368</v>
      </c>
      <c r="K1322" t="s">
        <v>32</v>
      </c>
      <c r="L1322" s="7">
        <v>32</v>
      </c>
      <c r="M1322">
        <f>ROUND(TTrainingSource[[#This Row],[Satisfaction_Score2]],0)</f>
        <v>4</v>
      </c>
      <c r="N1322">
        <v>3.9</v>
      </c>
    </row>
    <row r="1323" spans="1:14" x14ac:dyDescent="0.3">
      <c r="A1323" t="s">
        <v>727</v>
      </c>
      <c r="B1323" t="str">
        <f>TRIM(TTrainingSource[[#This Row],[EMPloyee_ID2]])</f>
        <v>EMP10656</v>
      </c>
      <c r="C1323" t="str">
        <f>IFERROR(VLOOKUP(TTrainingSource[[#This Row],[Employee_ID]],THrList[],3,FALSE),"")</f>
        <v>KOUASSI</v>
      </c>
      <c r="D1323" t="str">
        <f>IFERROR(VLOOKUP(TTrainingSource[[#This Row],[Employee_ID]],THrList[],4,FALSE),"")</f>
        <v>Claire</v>
      </c>
      <c r="E1323" t="str">
        <f>IFERROR(VLOOKUP(TTrainingSource[[#This Row],[Employee_ID]],THrList[],10,FALSE),"")</f>
        <v>Customer Support</v>
      </c>
      <c r="F1323" t="str">
        <f>TRIM(PROPER(TTrainingSource[[#This Row],[Training_Status2]]))</f>
        <v>Completed</v>
      </c>
      <c r="G1323" t="s">
        <v>17</v>
      </c>
      <c r="H1323" t="str">
        <f>TRIM(PROPER(TTrainingSource[[#This Row],[Training_Title2]]))</f>
        <v>Communication For Analysts</v>
      </c>
      <c r="I1323" t="s">
        <v>28</v>
      </c>
      <c r="J1323" s="1">
        <v>45202</v>
      </c>
      <c r="K1323" t="s">
        <v>44</v>
      </c>
      <c r="L1323" s="7">
        <v>8</v>
      </c>
      <c r="M1323">
        <f>ROUND(TTrainingSource[[#This Row],[Satisfaction_Score2]],0)</f>
        <v>5</v>
      </c>
      <c r="N1323">
        <v>4.8</v>
      </c>
    </row>
    <row r="1324" spans="1:14" x14ac:dyDescent="0.3">
      <c r="A1324" t="s">
        <v>561</v>
      </c>
      <c r="B1324" t="str">
        <f>TRIM(TTrainingSource[[#This Row],[EMPloyee_ID2]])</f>
        <v>EMP10656</v>
      </c>
      <c r="C1324" t="str">
        <f>IFERROR(VLOOKUP(TTrainingSource[[#This Row],[Employee_ID]],THrList[],3,FALSE),"")</f>
        <v>KOUASSI</v>
      </c>
      <c r="D1324" t="str">
        <f>IFERROR(VLOOKUP(TTrainingSource[[#This Row],[Employee_ID]],THrList[],4,FALSE),"")</f>
        <v>Claire</v>
      </c>
      <c r="E1324" t="str">
        <f>IFERROR(VLOOKUP(TTrainingSource[[#This Row],[Employee_ID]],THrList[],10,FALSE),"")</f>
        <v>Customer Support</v>
      </c>
      <c r="F1324" t="str">
        <f>TRIM(PROPER(TTrainingSource[[#This Row],[Training_Status2]]))</f>
        <v>In Progress</v>
      </c>
      <c r="G1324" t="s">
        <v>8</v>
      </c>
      <c r="H1324" t="str">
        <f>TRIM(PROPER(TTrainingSource[[#This Row],[Training_Title2]]))</f>
        <v>Business Intelligence With Tableau</v>
      </c>
      <c r="I1324" t="s">
        <v>349</v>
      </c>
      <c r="J1324" s="1">
        <v>45027</v>
      </c>
      <c r="K1324" t="s">
        <v>71</v>
      </c>
      <c r="L1324" s="7">
        <v>16</v>
      </c>
      <c r="M1324">
        <f>ROUND(TTrainingSource[[#This Row],[Satisfaction_Score2]],0)</f>
        <v>4</v>
      </c>
      <c r="N1324">
        <v>4</v>
      </c>
    </row>
    <row r="1325" spans="1:14" x14ac:dyDescent="0.3">
      <c r="A1325" t="s">
        <v>561</v>
      </c>
      <c r="B1325" t="str">
        <f>TRIM(TTrainingSource[[#This Row],[EMPloyee_ID2]])</f>
        <v>EMP10656</v>
      </c>
      <c r="C1325" t="str">
        <f>IFERROR(VLOOKUP(TTrainingSource[[#This Row],[Employee_ID]],THrList[],3,FALSE),"")</f>
        <v>KOUASSI</v>
      </c>
      <c r="D1325" t="str">
        <f>IFERROR(VLOOKUP(TTrainingSource[[#This Row],[Employee_ID]],THrList[],4,FALSE),"")</f>
        <v>Claire</v>
      </c>
      <c r="E1325" t="str">
        <f>IFERROR(VLOOKUP(TTrainingSource[[#This Row],[Employee_ID]],THrList[],10,FALSE),"")</f>
        <v>Customer Support</v>
      </c>
      <c r="F1325" t="str">
        <f>TRIM(PROPER(TTrainingSource[[#This Row],[Training_Status2]]))</f>
        <v>In Progress</v>
      </c>
      <c r="G1325" t="s">
        <v>8</v>
      </c>
      <c r="H1325" t="str">
        <f>TRIM(PROPER(TTrainingSource[[#This Row],[Training_Title2]]))</f>
        <v>Customer Data Analysis</v>
      </c>
      <c r="I1325" t="s">
        <v>31</v>
      </c>
      <c r="J1325" s="1">
        <v>45403</v>
      </c>
      <c r="K1325" t="s">
        <v>15</v>
      </c>
      <c r="L1325" s="7">
        <v>24</v>
      </c>
      <c r="M1325">
        <f>ROUND(TTrainingSource[[#This Row],[Satisfaction_Score2]],0)</f>
        <v>4</v>
      </c>
      <c r="N1325">
        <v>3.6</v>
      </c>
    </row>
    <row r="1326" spans="1:14" x14ac:dyDescent="0.3">
      <c r="A1326" t="s">
        <v>727</v>
      </c>
      <c r="B1326" t="str">
        <f>TRIM(TTrainingSource[[#This Row],[EMPloyee_ID2]])</f>
        <v>EMP10656</v>
      </c>
      <c r="C1326" t="str">
        <f>IFERROR(VLOOKUP(TTrainingSource[[#This Row],[Employee_ID]],THrList[],3,FALSE),"")</f>
        <v>KOUASSI</v>
      </c>
      <c r="D1326" t="str">
        <f>IFERROR(VLOOKUP(TTrainingSource[[#This Row],[Employee_ID]],THrList[],4,FALSE),"")</f>
        <v>Claire</v>
      </c>
      <c r="E1326" t="str">
        <f>IFERROR(VLOOKUP(TTrainingSource[[#This Row],[Employee_ID]],THrList[],10,FALSE),"")</f>
        <v>Customer Support</v>
      </c>
      <c r="F1326" t="str">
        <f>TRIM(PROPER(TTrainingSource[[#This Row],[Training_Status2]]))</f>
        <v>Planned</v>
      </c>
      <c r="G1326" t="s">
        <v>19</v>
      </c>
      <c r="H1326" t="str">
        <f>TRIM(PROPER(TTrainingSource[[#This Row],[Training_Title2]]))</f>
        <v>Advanced Excel For Business</v>
      </c>
      <c r="I1326" t="s">
        <v>52</v>
      </c>
      <c r="J1326" s="1">
        <v>45365</v>
      </c>
      <c r="K1326" t="s">
        <v>15</v>
      </c>
      <c r="L1326" s="7">
        <v>16</v>
      </c>
      <c r="M1326">
        <f>ROUND(TTrainingSource[[#This Row],[Satisfaction_Score2]],0)</f>
        <v>4</v>
      </c>
      <c r="N1326">
        <v>3.7</v>
      </c>
    </row>
    <row r="1327" spans="1:14" x14ac:dyDescent="0.3">
      <c r="A1327" t="s">
        <v>482</v>
      </c>
      <c r="B1327" t="str">
        <f>TRIM(TTrainingSource[[#This Row],[EMPloyee_ID2]])</f>
        <v>EMP10657</v>
      </c>
      <c r="C1327" t="str">
        <f>IFERROR(VLOOKUP(TTrainingSource[[#This Row],[Employee_ID]],THrList[],3,FALSE),"")</f>
        <v>THOMAS</v>
      </c>
      <c r="D1327" t="str">
        <f>IFERROR(VLOOKUP(TTrainingSource[[#This Row],[Employee_ID]],THrList[],4,FALSE),"")</f>
        <v>Charlotte</v>
      </c>
      <c r="E1327" t="str">
        <f>IFERROR(VLOOKUP(TTrainingSource[[#This Row],[Employee_ID]],THrList[],10,FALSE),"")</f>
        <v>Sales</v>
      </c>
      <c r="F1327" t="str">
        <f>TRIM(PROPER(TTrainingSource[[#This Row],[Training_Status2]]))</f>
        <v>Completed</v>
      </c>
      <c r="G1327" t="s">
        <v>17</v>
      </c>
      <c r="H1327" t="str">
        <f>TRIM(PROPER(TTrainingSource[[#This Row],[Training_Title2]]))</f>
        <v>Digital Marketing Strategy</v>
      </c>
      <c r="I1327" t="s">
        <v>43</v>
      </c>
      <c r="J1327" s="1">
        <v>45832</v>
      </c>
      <c r="K1327" t="s">
        <v>42</v>
      </c>
      <c r="L1327" s="7">
        <v>24</v>
      </c>
      <c r="M1327">
        <f>ROUND(TTrainingSource[[#This Row],[Satisfaction_Score2]],0)</f>
        <v>5</v>
      </c>
      <c r="N1327">
        <v>4.5</v>
      </c>
    </row>
    <row r="1328" spans="1:14" x14ac:dyDescent="0.3">
      <c r="A1328" t="s">
        <v>436</v>
      </c>
      <c r="B1328" t="str">
        <f>TRIM(TTrainingSource[[#This Row],[EMPloyee_ID2]])</f>
        <v>EMP10660</v>
      </c>
      <c r="C1328" t="str">
        <f>IFERROR(VLOOKUP(TTrainingSource[[#This Row],[Employee_ID]],THrList[],3,FALSE),"")</f>
        <v>DUBOIS</v>
      </c>
      <c r="D1328" t="str">
        <f>IFERROR(VLOOKUP(TTrainingSource[[#This Row],[Employee_ID]],THrList[],4,FALSE),"")</f>
        <v>Olivia</v>
      </c>
      <c r="E1328" t="str">
        <f>IFERROR(VLOOKUP(TTrainingSource[[#This Row],[Employee_ID]],THrList[],10,FALSE),"")</f>
        <v>Marketing</v>
      </c>
      <c r="F1328" t="str">
        <f>TRIM(PROPER(TTrainingSource[[#This Row],[Training_Status2]]))</f>
        <v>Completed</v>
      </c>
      <c r="G1328" t="s">
        <v>17</v>
      </c>
      <c r="H1328" t="str">
        <f>TRIM(PROPER(TTrainingSource[[#This Row],[Training_Title2]]))</f>
        <v>Digital Marketing Strategy</v>
      </c>
      <c r="I1328" t="s">
        <v>299</v>
      </c>
      <c r="J1328" s="1">
        <v>44943</v>
      </c>
      <c r="K1328" t="s">
        <v>42</v>
      </c>
      <c r="L1328" s="7">
        <v>8</v>
      </c>
      <c r="M1328">
        <f>ROUND(TTrainingSource[[#This Row],[Satisfaction_Score2]],0)</f>
        <v>3</v>
      </c>
      <c r="N1328">
        <v>3</v>
      </c>
    </row>
    <row r="1329" spans="1:14" x14ac:dyDescent="0.3">
      <c r="A1329" t="s">
        <v>208</v>
      </c>
      <c r="B1329" t="str">
        <f>TRIM(TTrainingSource[[#This Row],[EMPloyee_ID2]])</f>
        <v>EMP10662</v>
      </c>
      <c r="C1329" t="str">
        <f>IFERROR(VLOOKUP(TTrainingSource[[#This Row],[Employee_ID]],THrList[],3,FALSE),"")</f>
        <v>TOURE</v>
      </c>
      <c r="D1329" t="str">
        <f>IFERROR(VLOOKUP(TTrainingSource[[#This Row],[Employee_ID]],THrList[],4,FALSE),"")</f>
        <v>Amina</v>
      </c>
      <c r="E1329" t="str">
        <f>IFERROR(VLOOKUP(TTrainingSource[[#This Row],[Employee_ID]],THrList[],10,FALSE),"")</f>
        <v xml:space="preserve"> Finance</v>
      </c>
      <c r="F1329" t="str">
        <f>TRIM(PROPER(TTrainingSource[[#This Row],[Training_Status2]]))</f>
        <v>Completed</v>
      </c>
      <c r="G1329" t="s">
        <v>17</v>
      </c>
      <c r="H1329" t="str">
        <f>TRIM(PROPER(TTrainingSource[[#This Row],[Training_Title2]]))</f>
        <v>Customer Data Analysis</v>
      </c>
      <c r="I1329" t="s">
        <v>31</v>
      </c>
      <c r="J1329" s="1">
        <v>45048</v>
      </c>
      <c r="K1329" t="s">
        <v>32</v>
      </c>
      <c r="L1329" s="7">
        <v>24</v>
      </c>
      <c r="M1329">
        <f>ROUND(TTrainingSource[[#This Row],[Satisfaction_Score2]],0)</f>
        <v>5</v>
      </c>
      <c r="N1329">
        <v>4.5</v>
      </c>
    </row>
    <row r="1330" spans="1:14" x14ac:dyDescent="0.3">
      <c r="A1330" t="s">
        <v>134</v>
      </c>
      <c r="B1330" t="str">
        <f>TRIM(TTrainingSource[[#This Row],[EMPloyee_ID2]])</f>
        <v>EMP10663</v>
      </c>
      <c r="C1330" t="str">
        <f>IFERROR(VLOOKUP(TTrainingSource[[#This Row],[Employee_ID]],THrList[],3,FALSE),"")</f>
        <v>MENSAH</v>
      </c>
      <c r="D1330" t="str">
        <f>IFERROR(VLOOKUP(TTrainingSource[[#This Row],[Employee_ID]],THrList[],4,FALSE),"")</f>
        <v>Chinedu</v>
      </c>
      <c r="E1330" t="str">
        <f>IFERROR(VLOOKUP(TTrainingSource[[#This Row],[Employee_ID]],THrList[],10,FALSE),"")</f>
        <v>Customer Support</v>
      </c>
      <c r="F1330" t="str">
        <f>TRIM(PROPER(TTrainingSource[[#This Row],[Training_Status2]]))</f>
        <v>Completed</v>
      </c>
      <c r="G1330" t="s">
        <v>17</v>
      </c>
      <c r="H1330" t="str">
        <f>TRIM(PROPER(TTrainingSource[[#This Row],[Training_Title2]]))</f>
        <v>Financial Modeling Basics</v>
      </c>
      <c r="I1330" t="s">
        <v>38</v>
      </c>
      <c r="J1330" s="1">
        <v>45214</v>
      </c>
      <c r="K1330" t="s">
        <v>44</v>
      </c>
      <c r="L1330" s="7">
        <v>20</v>
      </c>
      <c r="M1330">
        <f>ROUND(TTrainingSource[[#This Row],[Satisfaction_Score2]],0)</f>
        <v>3</v>
      </c>
      <c r="N1330">
        <v>2.7</v>
      </c>
    </row>
    <row r="1331" spans="1:14" x14ac:dyDescent="0.3">
      <c r="A1331" t="s">
        <v>256</v>
      </c>
      <c r="B1331" t="str">
        <f>TRIM(TTrainingSource[[#This Row],[EMPloyee_ID2]])</f>
        <v>EMP10664</v>
      </c>
      <c r="C1331" t="str">
        <f>IFERROR(VLOOKUP(TTrainingSource[[#This Row],[Employee_ID]],THrList[],3,FALSE),"")</f>
        <v>MILLER</v>
      </c>
      <c r="D1331" t="str">
        <f>IFERROR(VLOOKUP(TTrainingSource[[#This Row],[Employee_ID]],THrList[],4,FALSE),"")</f>
        <v>Claire</v>
      </c>
      <c r="E1331" t="str">
        <f>IFERROR(VLOOKUP(TTrainingSource[[#This Row],[Employee_ID]],THrList[],10,FALSE),"")</f>
        <v>Human Resources</v>
      </c>
      <c r="F1331" t="str">
        <f>TRIM(PROPER(TTrainingSource[[#This Row],[Training_Status2]]))</f>
        <v>Planned</v>
      </c>
      <c r="G1331" t="s">
        <v>19</v>
      </c>
      <c r="H1331" t="str">
        <f>TRIM(PROPER(TTrainingSource[[#This Row],[Training_Title2]]))</f>
        <v>Customer Data Analysis</v>
      </c>
      <c r="I1331" t="s">
        <v>31</v>
      </c>
      <c r="J1331" s="1">
        <v>45155</v>
      </c>
      <c r="K1331" t="s">
        <v>29</v>
      </c>
      <c r="L1331" s="7">
        <v>8</v>
      </c>
      <c r="M1331">
        <f>ROUND(TTrainingSource[[#This Row],[Satisfaction_Score2]],0)</f>
        <v>4</v>
      </c>
      <c r="N1331">
        <v>3.5</v>
      </c>
    </row>
    <row r="1332" spans="1:14" x14ac:dyDescent="0.3">
      <c r="A1332" t="s">
        <v>723</v>
      </c>
      <c r="B1332" t="str">
        <f>TRIM(TTrainingSource[[#This Row],[EMPloyee_ID2]])</f>
        <v>EMP10664</v>
      </c>
      <c r="C1332" t="str">
        <f>IFERROR(VLOOKUP(TTrainingSource[[#This Row],[Employee_ID]],THrList[],3,FALSE),"")</f>
        <v>MILLER</v>
      </c>
      <c r="D1332" t="str">
        <f>IFERROR(VLOOKUP(TTrainingSource[[#This Row],[Employee_ID]],THrList[],4,FALSE),"")</f>
        <v>Claire</v>
      </c>
      <c r="E1332" t="str">
        <f>IFERROR(VLOOKUP(TTrainingSource[[#This Row],[Employee_ID]],THrList[],10,FALSE),"")</f>
        <v>Human Resources</v>
      </c>
      <c r="F1332" t="str">
        <f>TRIM(PROPER(TTrainingSource[[#This Row],[Training_Status2]]))</f>
        <v>Planned</v>
      </c>
      <c r="G1332" t="s">
        <v>19</v>
      </c>
      <c r="H1332" t="str">
        <f>TRIM(PROPER(TTrainingSource[[#This Row],[Training_Title2]]))</f>
        <v>Customer Data Analysis</v>
      </c>
      <c r="I1332" t="s">
        <v>264</v>
      </c>
      <c r="J1332" s="1">
        <v>44949</v>
      </c>
      <c r="K1332" t="s">
        <v>98</v>
      </c>
      <c r="L1332" s="7">
        <v>32</v>
      </c>
      <c r="M1332">
        <f>ROUND(TTrainingSource[[#This Row],[Satisfaction_Score2]],0)</f>
        <v>5</v>
      </c>
      <c r="N1332">
        <v>5</v>
      </c>
    </row>
    <row r="1333" spans="1:14" x14ac:dyDescent="0.3">
      <c r="A1333" t="s">
        <v>472</v>
      </c>
      <c r="B1333" t="str">
        <f>TRIM(TTrainingSource[[#This Row],[EMPloyee_ID2]])</f>
        <v>EMP10665</v>
      </c>
      <c r="C1333" t="str">
        <f>IFERROR(VLOOKUP(TTrainingSource[[#This Row],[Employee_ID]],THrList[],3,FALSE),"")</f>
        <v>SOW</v>
      </c>
      <c r="D1333" t="str">
        <f>IFERROR(VLOOKUP(TTrainingSource[[#This Row],[Employee_ID]],THrList[],4,FALSE),"")</f>
        <v>Amelia</v>
      </c>
      <c r="E1333" t="str">
        <f>IFERROR(VLOOKUP(TTrainingSource[[#This Row],[Employee_ID]],THrList[],10,FALSE),"")</f>
        <v>Compliance</v>
      </c>
      <c r="F1333" t="str">
        <f>TRIM(PROPER(TTrainingSource[[#This Row],[Training_Status2]]))</f>
        <v>Completed</v>
      </c>
      <c r="G1333" t="s">
        <v>17</v>
      </c>
      <c r="H1333" t="str">
        <f>TRIM(PROPER(TTrainingSource[[#This Row],[Training_Title2]]))</f>
        <v>Project Management Essentials</v>
      </c>
      <c r="I1333" t="s">
        <v>14</v>
      </c>
      <c r="J1333" s="1">
        <v>45263</v>
      </c>
      <c r="K1333" t="s">
        <v>32</v>
      </c>
      <c r="L1333" s="7">
        <v>6</v>
      </c>
      <c r="M1333">
        <f>ROUND(TTrainingSource[[#This Row],[Satisfaction_Score2]],0)</f>
        <v>3</v>
      </c>
      <c r="N1333">
        <v>2.8</v>
      </c>
    </row>
    <row r="1334" spans="1:14" x14ac:dyDescent="0.3">
      <c r="A1334" t="s">
        <v>215</v>
      </c>
      <c r="B1334" t="str">
        <f>TRIM(TTrainingSource[[#This Row],[EMPloyee_ID2]])</f>
        <v>EMP10666</v>
      </c>
      <c r="C1334" t="str">
        <f>IFERROR(VLOOKUP(TTrainingSource[[#This Row],[Employee_ID]],THrList[],3,FALSE),"")</f>
        <v>MERCIER</v>
      </c>
      <c r="D1334" t="str">
        <f>IFERROR(VLOOKUP(TTrainingSource[[#This Row],[Employee_ID]],THrList[],4,FALSE),"")</f>
        <v>Marie</v>
      </c>
      <c r="E1334" t="str">
        <f>IFERROR(VLOOKUP(TTrainingSource[[#This Row],[Employee_ID]],THrList[],10,FALSE),"")</f>
        <v>Marketing</v>
      </c>
      <c r="F1334" t="str">
        <f>TRIM(PROPER(TTrainingSource[[#This Row],[Training_Status2]]))</f>
        <v>Completed</v>
      </c>
      <c r="G1334" t="s">
        <v>17</v>
      </c>
      <c r="H1334" t="str">
        <f>TRIM(PROPER(TTrainingSource[[#This Row],[Training_Title2]]))</f>
        <v>Power Bi Reporting</v>
      </c>
      <c r="I1334" t="s">
        <v>24</v>
      </c>
      <c r="J1334" s="1">
        <v>45611</v>
      </c>
      <c r="K1334" t="s">
        <v>98</v>
      </c>
      <c r="L1334" s="7">
        <v>6</v>
      </c>
      <c r="M1334">
        <f>ROUND(TTrainingSource[[#This Row],[Satisfaction_Score2]],0)</f>
        <v>4</v>
      </c>
      <c r="N1334">
        <v>3.9</v>
      </c>
    </row>
    <row r="1335" spans="1:14" x14ac:dyDescent="0.3">
      <c r="A1335" t="s">
        <v>668</v>
      </c>
      <c r="B1335" t="str">
        <f>TRIM(TTrainingSource[[#This Row],[EMPloyee_ID2]])</f>
        <v>EMP10666</v>
      </c>
      <c r="C1335" t="str">
        <f>IFERROR(VLOOKUP(TTrainingSource[[#This Row],[Employee_ID]],THrList[],3,FALSE),"")</f>
        <v>MERCIER</v>
      </c>
      <c r="D1335" t="str">
        <f>IFERROR(VLOOKUP(TTrainingSource[[#This Row],[Employee_ID]],THrList[],4,FALSE),"")</f>
        <v>Marie</v>
      </c>
      <c r="E1335" t="str">
        <f>IFERROR(VLOOKUP(TTrainingSource[[#This Row],[Employee_ID]],THrList[],10,FALSE),"")</f>
        <v>Marketing</v>
      </c>
      <c r="F1335" t="str">
        <f>TRIM(PROPER(TTrainingSource[[#This Row],[Training_Status2]]))</f>
        <v>Planned</v>
      </c>
      <c r="G1335" t="s">
        <v>19</v>
      </c>
      <c r="H1335" t="str">
        <f>TRIM(PROPER(TTrainingSource[[#This Row],[Training_Title2]]))</f>
        <v>Advanced Excel For Business</v>
      </c>
      <c r="I1335" t="s">
        <v>52</v>
      </c>
      <c r="J1335" s="1">
        <v>45455</v>
      </c>
      <c r="K1335" t="s">
        <v>1072</v>
      </c>
      <c r="L1335" s="7">
        <v>24</v>
      </c>
      <c r="M1335">
        <f>ROUND(TTrainingSource[[#This Row],[Satisfaction_Score2]],0)</f>
        <v>4</v>
      </c>
      <c r="N1335">
        <v>3.8</v>
      </c>
    </row>
    <row r="1336" spans="1:14" x14ac:dyDescent="0.3">
      <c r="A1336" t="s">
        <v>353</v>
      </c>
      <c r="B1336" t="str">
        <f>TRIM(TTrainingSource[[#This Row],[EMPloyee_ID2]])</f>
        <v>EMP10667</v>
      </c>
      <c r="C1336" t="str">
        <f>IFERROR(VLOOKUP(TTrainingSource[[#This Row],[Employee_ID]],THrList[],3,FALSE),"")</f>
        <v>ALI</v>
      </c>
      <c r="D1336" t="str">
        <f>IFERROR(VLOOKUP(TTrainingSource[[#This Row],[Employee_ID]],THrList[],4,FALSE),"")</f>
        <v>Zainab</v>
      </c>
      <c r="E1336" t="str">
        <f>IFERROR(VLOOKUP(TTrainingSource[[#This Row],[Employee_ID]],THrList[],10,FALSE),"")</f>
        <v>Human Resources</v>
      </c>
      <c r="F1336" t="str">
        <f>TRIM(PROPER(TTrainingSource[[#This Row],[Training_Status2]]))</f>
        <v>Planned</v>
      </c>
      <c r="G1336" t="s">
        <v>10</v>
      </c>
      <c r="H1336" t="str">
        <f>TRIM(PROPER(TTrainingSource[[#This Row],[Training_Title2]]))</f>
        <v>Business Intelligence With Tableau</v>
      </c>
      <c r="I1336" t="s">
        <v>22</v>
      </c>
      <c r="J1336" s="1">
        <v>45544</v>
      </c>
      <c r="K1336" t="s">
        <v>39</v>
      </c>
      <c r="L1336" s="7">
        <v>8</v>
      </c>
      <c r="M1336">
        <f>ROUND(TTrainingSource[[#This Row],[Satisfaction_Score2]],0)</f>
        <v>3</v>
      </c>
      <c r="N1336">
        <v>3.4</v>
      </c>
    </row>
    <row r="1337" spans="1:14" x14ac:dyDescent="0.3">
      <c r="A1337" t="s">
        <v>353</v>
      </c>
      <c r="B1337" t="str">
        <f>TRIM(TTrainingSource[[#This Row],[EMPloyee_ID2]])</f>
        <v>EMP10667</v>
      </c>
      <c r="C1337" t="str">
        <f>IFERROR(VLOOKUP(TTrainingSource[[#This Row],[Employee_ID]],THrList[],3,FALSE),"")</f>
        <v>ALI</v>
      </c>
      <c r="D1337" t="str">
        <f>IFERROR(VLOOKUP(TTrainingSource[[#This Row],[Employee_ID]],THrList[],4,FALSE),"")</f>
        <v>Zainab</v>
      </c>
      <c r="E1337" t="str">
        <f>IFERROR(VLOOKUP(TTrainingSource[[#This Row],[Employee_ID]],THrList[],10,FALSE),"")</f>
        <v>Human Resources</v>
      </c>
      <c r="F1337" t="str">
        <f>TRIM(PROPER(TTrainingSource[[#This Row],[Training_Status2]]))</f>
        <v>In Progress</v>
      </c>
      <c r="G1337" t="s">
        <v>8</v>
      </c>
      <c r="H1337" t="str">
        <f>TRIM(PROPER(TTrainingSource[[#This Row],[Training_Title2]]))</f>
        <v>Data Visualization Best Practices</v>
      </c>
      <c r="I1337" t="s">
        <v>151</v>
      </c>
      <c r="J1337" s="1">
        <v>44731</v>
      </c>
      <c r="K1337" t="s">
        <v>32</v>
      </c>
      <c r="L1337" s="7">
        <v>4</v>
      </c>
      <c r="M1337">
        <f>ROUND(TTrainingSource[[#This Row],[Satisfaction_Score2]],0)</f>
        <v>3</v>
      </c>
      <c r="N1337">
        <v>3.2</v>
      </c>
    </row>
    <row r="1338" spans="1:14" x14ac:dyDescent="0.3">
      <c r="A1338" t="s">
        <v>120</v>
      </c>
      <c r="B1338" t="str">
        <f>TRIM(TTrainingSource[[#This Row],[EMPloyee_ID2]])</f>
        <v>EMP10669</v>
      </c>
      <c r="C1338" t="str">
        <f>IFERROR(VLOOKUP(TTrainingSource[[#This Row],[Employee_ID]],THrList[],3,FALSE),"")</f>
        <v>KHAN</v>
      </c>
      <c r="D1338" t="str">
        <f>IFERROR(VLOOKUP(TTrainingSource[[#This Row],[Employee_ID]],THrList[],4,FALSE),"")</f>
        <v>Mia</v>
      </c>
      <c r="E1338" t="str">
        <f>IFERROR(VLOOKUP(TTrainingSource[[#This Row],[Employee_ID]],THrList[],10,FALSE),"")</f>
        <v>Operations</v>
      </c>
      <c r="F1338" t="str">
        <f>TRIM(PROPER(TTrainingSource[[#This Row],[Training_Status2]]))</f>
        <v>Planned</v>
      </c>
      <c r="G1338" t="s">
        <v>19</v>
      </c>
      <c r="H1338" t="str">
        <f>TRIM(PROPER(TTrainingSource[[#This Row],[Training_Title2]]))</f>
        <v>Sql For Data Analytics</v>
      </c>
      <c r="I1338" t="s">
        <v>26</v>
      </c>
      <c r="J1338" s="1">
        <v>44857</v>
      </c>
      <c r="K1338" t="s">
        <v>98</v>
      </c>
      <c r="L1338" s="7">
        <v>8</v>
      </c>
      <c r="M1338">
        <f>ROUND(TTrainingSource[[#This Row],[Satisfaction_Score2]],0)</f>
        <v>4</v>
      </c>
      <c r="N1338">
        <v>4.2</v>
      </c>
    </row>
    <row r="1339" spans="1:14" x14ac:dyDescent="0.3">
      <c r="A1339" t="s">
        <v>279</v>
      </c>
      <c r="B1339" t="str">
        <f>TRIM(TTrainingSource[[#This Row],[EMPloyee_ID2]])</f>
        <v>EMP10670</v>
      </c>
      <c r="C1339" t="str">
        <f>IFERROR(VLOOKUP(TTrainingSource[[#This Row],[Employee_ID]],THrList[],3,FALSE),"")</f>
        <v>PATEL</v>
      </c>
      <c r="D1339" t="str">
        <f>IFERROR(VLOOKUP(TTrainingSource[[#This Row],[Employee_ID]],THrList[],4,FALSE),"")</f>
        <v>Nadia</v>
      </c>
      <c r="E1339" t="str">
        <f>IFERROR(VLOOKUP(TTrainingSource[[#This Row],[Employee_ID]],THrList[],10,FALSE),"")</f>
        <v>Compliance</v>
      </c>
      <c r="F1339" t="str">
        <f>TRIM(PROPER(TTrainingSource[[#This Row],[Training_Status2]]))</f>
        <v>Completed</v>
      </c>
      <c r="G1339" t="s">
        <v>17</v>
      </c>
      <c r="H1339" t="str">
        <f>TRIM(PROPER(TTrainingSource[[#This Row],[Training_Title2]]))</f>
        <v>Business Intelligence With Tableau</v>
      </c>
      <c r="I1339" t="s">
        <v>22</v>
      </c>
      <c r="J1339" s="1">
        <v>45260</v>
      </c>
      <c r="K1339" t="s">
        <v>71</v>
      </c>
      <c r="L1339" s="7">
        <v>8</v>
      </c>
      <c r="M1339">
        <f>ROUND(TTrainingSource[[#This Row],[Satisfaction_Score2]],0)</f>
        <v>4</v>
      </c>
      <c r="N1339">
        <v>3.8</v>
      </c>
    </row>
    <row r="1340" spans="1:14" x14ac:dyDescent="0.3">
      <c r="A1340" t="s">
        <v>279</v>
      </c>
      <c r="B1340" t="str">
        <f>TRIM(TTrainingSource[[#This Row],[EMPloyee_ID2]])</f>
        <v>EMP10670</v>
      </c>
      <c r="C1340" t="str">
        <f>IFERROR(VLOOKUP(TTrainingSource[[#This Row],[Employee_ID]],THrList[],3,FALSE),"")</f>
        <v>PATEL</v>
      </c>
      <c r="D1340" t="str">
        <f>IFERROR(VLOOKUP(TTrainingSource[[#This Row],[Employee_ID]],THrList[],4,FALSE),"")</f>
        <v>Nadia</v>
      </c>
      <c r="E1340" t="str">
        <f>IFERROR(VLOOKUP(TTrainingSource[[#This Row],[Employee_ID]],THrList[],10,FALSE),"")</f>
        <v>Compliance</v>
      </c>
      <c r="F1340" t="str">
        <f>TRIM(PROPER(TTrainingSource[[#This Row],[Training_Status2]]))</f>
        <v>Completed</v>
      </c>
      <c r="G1340" t="s">
        <v>17</v>
      </c>
      <c r="H1340" t="str">
        <f>TRIM(PROPER(TTrainingSource[[#This Row],[Training_Title2]]))</f>
        <v>Data Visualization Best Practices</v>
      </c>
      <c r="I1340" t="s">
        <v>20</v>
      </c>
      <c r="J1340" s="1">
        <v>45916</v>
      </c>
      <c r="K1340" t="s">
        <v>44</v>
      </c>
      <c r="L1340" s="7">
        <v>16</v>
      </c>
      <c r="M1340">
        <f>ROUND(TTrainingSource[[#This Row],[Satisfaction_Score2]],0)</f>
        <v>5</v>
      </c>
      <c r="N1340">
        <v>4.5</v>
      </c>
    </row>
    <row r="1341" spans="1:14" x14ac:dyDescent="0.3">
      <c r="A1341" t="s">
        <v>279</v>
      </c>
      <c r="B1341" t="str">
        <f>TRIM(TTrainingSource[[#This Row],[EMPloyee_ID2]])</f>
        <v>EMP10670</v>
      </c>
      <c r="C1341" t="str">
        <f>IFERROR(VLOOKUP(TTrainingSource[[#This Row],[Employee_ID]],THrList[],3,FALSE),"")</f>
        <v>PATEL</v>
      </c>
      <c r="D1341" t="str">
        <f>IFERROR(VLOOKUP(TTrainingSource[[#This Row],[Employee_ID]],THrList[],4,FALSE),"")</f>
        <v>Nadia</v>
      </c>
      <c r="E1341" t="str">
        <f>IFERROR(VLOOKUP(TTrainingSource[[#This Row],[Employee_ID]],THrList[],10,FALSE),"")</f>
        <v>Compliance</v>
      </c>
      <c r="F1341" t="str">
        <f>TRIM(PROPER(TTrainingSource[[#This Row],[Training_Status2]]))</f>
        <v>Planned</v>
      </c>
      <c r="G1341" t="s">
        <v>19</v>
      </c>
      <c r="H1341" t="str">
        <f>TRIM(PROPER(TTrainingSource[[#This Row],[Training_Title2]]))</f>
        <v>Sql For Data Analytics</v>
      </c>
      <c r="I1341" t="s">
        <v>26</v>
      </c>
      <c r="J1341" s="1">
        <v>44879</v>
      </c>
      <c r="K1341" t="s">
        <v>42</v>
      </c>
      <c r="L1341" s="7">
        <v>4</v>
      </c>
      <c r="M1341">
        <f>ROUND(TTrainingSource[[#This Row],[Satisfaction_Score2]],0)</f>
        <v>3</v>
      </c>
      <c r="N1341">
        <v>3.4</v>
      </c>
    </row>
    <row r="1342" spans="1:14" x14ac:dyDescent="0.3">
      <c r="A1342" t="s">
        <v>279</v>
      </c>
      <c r="B1342" t="str">
        <f>TRIM(TTrainingSource[[#This Row],[EMPloyee_ID2]])</f>
        <v>EMP10670</v>
      </c>
      <c r="C1342" t="str">
        <f>IFERROR(VLOOKUP(TTrainingSource[[#This Row],[Employee_ID]],THrList[],3,FALSE),"")</f>
        <v>PATEL</v>
      </c>
      <c r="D1342" t="str">
        <f>IFERROR(VLOOKUP(TTrainingSource[[#This Row],[Employee_ID]],THrList[],4,FALSE),"")</f>
        <v>Nadia</v>
      </c>
      <c r="E1342" t="str">
        <f>IFERROR(VLOOKUP(TTrainingSource[[#This Row],[Employee_ID]],THrList[],10,FALSE),"")</f>
        <v>Compliance</v>
      </c>
      <c r="F1342" t="str">
        <f>TRIM(PROPER(TTrainingSource[[#This Row],[Training_Status2]]))</f>
        <v>In Progress</v>
      </c>
      <c r="G1342" t="s">
        <v>8</v>
      </c>
      <c r="H1342" t="str">
        <f>TRIM(PROPER(TTrainingSource[[#This Row],[Training_Title2]]))</f>
        <v>Introduction To Python For Data</v>
      </c>
      <c r="I1342" t="s">
        <v>307</v>
      </c>
      <c r="J1342" s="1">
        <v>44631</v>
      </c>
      <c r="K1342" t="s">
        <v>42</v>
      </c>
      <c r="L1342" s="7">
        <v>40</v>
      </c>
      <c r="M1342">
        <f>ROUND(TTrainingSource[[#This Row],[Satisfaction_Score2]],0)</f>
        <v>4</v>
      </c>
      <c r="N1342">
        <v>3.8</v>
      </c>
    </row>
    <row r="1343" spans="1:14" x14ac:dyDescent="0.3">
      <c r="A1343" t="s">
        <v>514</v>
      </c>
      <c r="B1343" t="str">
        <f>TRIM(TTrainingSource[[#This Row],[EMPloyee_ID2]])</f>
        <v>EMP10672</v>
      </c>
      <c r="C1343" t="str">
        <f>IFERROR(VLOOKUP(TTrainingSource[[#This Row],[Employee_ID]],THrList[],3,FALSE),"")</f>
        <v>JONES</v>
      </c>
      <c r="D1343" t="str">
        <f>IFERROR(VLOOKUP(TTrainingSource[[#This Row],[Employee_ID]],THrList[],4,FALSE),"")</f>
        <v>Yaw</v>
      </c>
      <c r="E1343" t="str">
        <f>IFERROR(VLOOKUP(TTrainingSource[[#This Row],[Employee_ID]],THrList[],10,FALSE),"")</f>
        <v>Operations</v>
      </c>
      <c r="F1343" t="str">
        <f>TRIM(PROPER(TTrainingSource[[#This Row],[Training_Status2]]))</f>
        <v>Completed</v>
      </c>
      <c r="G1343" t="s">
        <v>35</v>
      </c>
      <c r="H1343" t="str">
        <f>TRIM(PROPER(TTrainingSource[[#This Row],[Training_Title2]]))</f>
        <v>Power Bi Reporting</v>
      </c>
      <c r="I1343" t="s">
        <v>24</v>
      </c>
      <c r="J1343" s="1">
        <v>45568</v>
      </c>
      <c r="K1343" t="s">
        <v>15</v>
      </c>
      <c r="L1343" s="7">
        <v>20</v>
      </c>
      <c r="M1343">
        <f>ROUND(TTrainingSource[[#This Row],[Satisfaction_Score2]],0)</f>
        <v>4</v>
      </c>
      <c r="N1343">
        <v>3.9</v>
      </c>
    </row>
    <row r="1344" spans="1:14" x14ac:dyDescent="0.3">
      <c r="A1344" t="s">
        <v>518</v>
      </c>
      <c r="B1344" t="str">
        <f>TRIM(TTrainingSource[[#This Row],[EMPloyee_ID2]])</f>
        <v>EMP10672</v>
      </c>
      <c r="C1344" t="str">
        <f>IFERROR(VLOOKUP(TTrainingSource[[#This Row],[Employee_ID]],THrList[],3,FALSE),"")</f>
        <v>JONES</v>
      </c>
      <c r="D1344" t="str">
        <f>IFERROR(VLOOKUP(TTrainingSource[[#This Row],[Employee_ID]],THrList[],4,FALSE),"")</f>
        <v>Yaw</v>
      </c>
      <c r="E1344" t="str">
        <f>IFERROR(VLOOKUP(TTrainingSource[[#This Row],[Employee_ID]],THrList[],10,FALSE),"")</f>
        <v>Operations</v>
      </c>
      <c r="F1344" t="str">
        <f>TRIM(PROPER(TTrainingSource[[#This Row],[Training_Status2]]))</f>
        <v>Completed</v>
      </c>
      <c r="G1344" t="s">
        <v>17</v>
      </c>
      <c r="H1344" t="str">
        <f>TRIM(PROPER(TTrainingSource[[#This Row],[Training_Title2]]))</f>
        <v>Business Intelligence With Tableau</v>
      </c>
      <c r="I1344" t="s">
        <v>22</v>
      </c>
      <c r="J1344" s="1">
        <v>45721</v>
      </c>
      <c r="K1344" t="s">
        <v>29</v>
      </c>
      <c r="L1344" s="7">
        <v>16</v>
      </c>
      <c r="M1344">
        <f>ROUND(TTrainingSource[[#This Row],[Satisfaction_Score2]],0)</f>
        <v>4</v>
      </c>
      <c r="N1344">
        <v>4</v>
      </c>
    </row>
    <row r="1345" spans="1:14" x14ac:dyDescent="0.3">
      <c r="A1345" t="s">
        <v>518</v>
      </c>
      <c r="B1345" t="str">
        <f>TRIM(TTrainingSource[[#This Row],[EMPloyee_ID2]])</f>
        <v>EMP10672</v>
      </c>
      <c r="C1345" t="str">
        <f>IFERROR(VLOOKUP(TTrainingSource[[#This Row],[Employee_ID]],THrList[],3,FALSE),"")</f>
        <v>JONES</v>
      </c>
      <c r="D1345" t="str">
        <f>IFERROR(VLOOKUP(TTrainingSource[[#This Row],[Employee_ID]],THrList[],4,FALSE),"")</f>
        <v>Yaw</v>
      </c>
      <c r="E1345" t="str">
        <f>IFERROR(VLOOKUP(TTrainingSource[[#This Row],[Employee_ID]],THrList[],10,FALSE),"")</f>
        <v>Operations</v>
      </c>
      <c r="F1345" t="str">
        <f>TRIM(PROPER(TTrainingSource[[#This Row],[Training_Status2]]))</f>
        <v>Completed</v>
      </c>
      <c r="G1345" t="s">
        <v>17</v>
      </c>
      <c r="H1345" t="str">
        <f>TRIM(PROPER(TTrainingSource[[#This Row],[Training_Title2]]))</f>
        <v>Project Management Essentials</v>
      </c>
      <c r="I1345" t="s">
        <v>14</v>
      </c>
      <c r="J1345" s="1">
        <v>45558</v>
      </c>
      <c r="K1345" t="s">
        <v>98</v>
      </c>
      <c r="L1345" s="7">
        <v>4</v>
      </c>
      <c r="M1345">
        <f>ROUND(TTrainingSource[[#This Row],[Satisfaction_Score2]],0)</f>
        <v>5</v>
      </c>
      <c r="N1345">
        <v>4.9000000000000004</v>
      </c>
    </row>
    <row r="1346" spans="1:14" x14ac:dyDescent="0.3">
      <c r="A1346" t="s">
        <v>514</v>
      </c>
      <c r="B1346" t="str">
        <f>TRIM(TTrainingSource[[#This Row],[EMPloyee_ID2]])</f>
        <v>EMP10672</v>
      </c>
      <c r="C1346" t="str">
        <f>IFERROR(VLOOKUP(TTrainingSource[[#This Row],[Employee_ID]],THrList[],3,FALSE),"")</f>
        <v>JONES</v>
      </c>
      <c r="D1346" t="str">
        <f>IFERROR(VLOOKUP(TTrainingSource[[#This Row],[Employee_ID]],THrList[],4,FALSE),"")</f>
        <v>Yaw</v>
      </c>
      <c r="E1346" t="str">
        <f>IFERROR(VLOOKUP(TTrainingSource[[#This Row],[Employee_ID]],THrList[],10,FALSE),"")</f>
        <v>Operations</v>
      </c>
      <c r="F1346" t="str">
        <f>TRIM(PROPER(TTrainingSource[[#This Row],[Training_Status2]]))</f>
        <v>In Progress</v>
      </c>
      <c r="G1346" t="s">
        <v>8</v>
      </c>
      <c r="H1346" t="str">
        <f>TRIM(PROPER(TTrainingSource[[#This Row],[Training_Title2]]))</f>
        <v>Financial Modeling Basics</v>
      </c>
      <c r="I1346" t="s">
        <v>331</v>
      </c>
      <c r="J1346" s="1">
        <v>45635</v>
      </c>
      <c r="K1346" t="s">
        <v>42</v>
      </c>
      <c r="L1346" s="7">
        <v>24</v>
      </c>
      <c r="M1346">
        <f>ROUND(TTrainingSource[[#This Row],[Satisfaction_Score2]],0)</f>
        <v>4</v>
      </c>
      <c r="N1346">
        <v>3.8</v>
      </c>
    </row>
    <row r="1347" spans="1:14" x14ac:dyDescent="0.3">
      <c r="A1347" t="s">
        <v>27</v>
      </c>
      <c r="B1347" t="str">
        <f>TRIM(TTrainingSource[[#This Row],[EMPloyee_ID2]])</f>
        <v>EMP10673</v>
      </c>
      <c r="C1347" t="str">
        <f>IFERROR(VLOOKUP(TTrainingSource[[#This Row],[Employee_ID]],THrList[],3,FALSE),"")</f>
        <v>DIOP</v>
      </c>
      <c r="D1347" t="str">
        <f>IFERROR(VLOOKUP(TTrainingSource[[#This Row],[Employee_ID]],THrList[],4,FALSE),"")</f>
        <v>Emma</v>
      </c>
      <c r="E1347" t="str">
        <f>IFERROR(VLOOKUP(TTrainingSource[[#This Row],[Employee_ID]],THrList[],10,FALSE),"")</f>
        <v>Finance</v>
      </c>
      <c r="F1347" t="str">
        <f>TRIM(PROPER(TTrainingSource[[#This Row],[Training_Status2]]))</f>
        <v>Completed</v>
      </c>
      <c r="G1347" t="s">
        <v>17</v>
      </c>
      <c r="H1347" t="str">
        <f>TRIM(PROPER(TTrainingSource[[#This Row],[Training_Title2]]))</f>
        <v>Communication For Analysts</v>
      </c>
      <c r="I1347" t="s">
        <v>28</v>
      </c>
      <c r="J1347" s="1">
        <v>45379</v>
      </c>
      <c r="K1347" t="s">
        <v>29</v>
      </c>
      <c r="L1347" s="7">
        <v>20</v>
      </c>
      <c r="M1347">
        <f>ROUND(TTrainingSource[[#This Row],[Satisfaction_Score2]],0)</f>
        <v>4</v>
      </c>
      <c r="N1347">
        <v>3.6</v>
      </c>
    </row>
    <row r="1348" spans="1:14" x14ac:dyDescent="0.3">
      <c r="A1348" t="s">
        <v>27</v>
      </c>
      <c r="B1348" t="str">
        <f>TRIM(TTrainingSource[[#This Row],[EMPloyee_ID2]])</f>
        <v>EMP10673</v>
      </c>
      <c r="C1348" t="str">
        <f>IFERROR(VLOOKUP(TTrainingSource[[#This Row],[Employee_ID]],THrList[],3,FALSE),"")</f>
        <v>DIOP</v>
      </c>
      <c r="D1348" t="str">
        <f>IFERROR(VLOOKUP(TTrainingSource[[#This Row],[Employee_ID]],THrList[],4,FALSE),"")</f>
        <v>Emma</v>
      </c>
      <c r="E1348" t="str">
        <f>IFERROR(VLOOKUP(TTrainingSource[[#This Row],[Employee_ID]],THrList[],10,FALSE),"")</f>
        <v>Finance</v>
      </c>
      <c r="F1348" t="str">
        <f>TRIM(PROPER(TTrainingSource[[#This Row],[Training_Status2]]))</f>
        <v>Completed</v>
      </c>
      <c r="G1348" t="s">
        <v>17</v>
      </c>
      <c r="H1348" t="str">
        <f>TRIM(PROPER(TTrainingSource[[#This Row],[Training_Title2]]))</f>
        <v>Financial Modeling Basics</v>
      </c>
      <c r="I1348" t="s">
        <v>38</v>
      </c>
      <c r="J1348" s="1">
        <v>45182</v>
      </c>
      <c r="K1348" t="s">
        <v>29</v>
      </c>
      <c r="L1348" s="7">
        <v>32</v>
      </c>
      <c r="M1348">
        <f>ROUND(TTrainingSource[[#This Row],[Satisfaction_Score2]],0)</f>
        <v>3</v>
      </c>
      <c r="N1348">
        <v>2.8</v>
      </c>
    </row>
    <row r="1349" spans="1:14" x14ac:dyDescent="0.3">
      <c r="A1349" t="s">
        <v>27</v>
      </c>
      <c r="B1349" t="str">
        <f>TRIM(TTrainingSource[[#This Row],[EMPloyee_ID2]])</f>
        <v>EMP10673</v>
      </c>
      <c r="C1349" t="str">
        <f>IFERROR(VLOOKUP(TTrainingSource[[#This Row],[Employee_ID]],THrList[],3,FALSE),"")</f>
        <v>DIOP</v>
      </c>
      <c r="D1349" t="str">
        <f>IFERROR(VLOOKUP(TTrainingSource[[#This Row],[Employee_ID]],THrList[],4,FALSE),"")</f>
        <v>Emma</v>
      </c>
      <c r="E1349" t="str">
        <f>IFERROR(VLOOKUP(TTrainingSource[[#This Row],[Employee_ID]],THrList[],10,FALSE),"")</f>
        <v>Finance</v>
      </c>
      <c r="F1349" t="str">
        <f>TRIM(PROPER(TTrainingSource[[#This Row],[Training_Status2]]))</f>
        <v>In Progress</v>
      </c>
      <c r="G1349" t="s">
        <v>8</v>
      </c>
      <c r="H1349" t="str">
        <f>TRIM(PROPER(TTrainingSource[[#This Row],[Training_Title2]]))</f>
        <v>Digital Marketing Strategy</v>
      </c>
      <c r="I1349" t="s">
        <v>299</v>
      </c>
      <c r="J1349" s="1">
        <v>44625</v>
      </c>
      <c r="K1349" t="s">
        <v>71</v>
      </c>
      <c r="L1349" s="7">
        <v>32</v>
      </c>
      <c r="M1349">
        <f>ROUND(TTrainingSource[[#This Row],[Satisfaction_Score2]],0)</f>
        <v>4</v>
      </c>
      <c r="N1349">
        <v>3.9</v>
      </c>
    </row>
    <row r="1350" spans="1:14" x14ac:dyDescent="0.3">
      <c r="A1350" t="s">
        <v>146</v>
      </c>
      <c r="B1350" t="str">
        <f>TRIM(TTrainingSource[[#This Row],[EMPloyee_ID2]])</f>
        <v>EMP10674</v>
      </c>
      <c r="C1350" t="str">
        <f>IFERROR(VLOOKUP(TTrainingSource[[#This Row],[Employee_ID]],THrList[],3,FALSE),"")</f>
        <v>PETIT</v>
      </c>
      <c r="D1350" t="str">
        <f>IFERROR(VLOOKUP(TTrainingSource[[#This Row],[Employee_ID]],THrList[],4,FALSE),"")</f>
        <v>Akosua</v>
      </c>
      <c r="E1350" t="str">
        <f>IFERROR(VLOOKUP(TTrainingSource[[#This Row],[Employee_ID]],THrList[],10,FALSE),"")</f>
        <v>Compliance</v>
      </c>
      <c r="F1350" t="str">
        <f>TRIM(PROPER(TTrainingSource[[#This Row],[Training_Status2]]))</f>
        <v>Completed</v>
      </c>
      <c r="G1350" t="s">
        <v>17</v>
      </c>
      <c r="H1350" t="str">
        <f>TRIM(PROPER(TTrainingSource[[#This Row],[Training_Title2]]))</f>
        <v>Customer Data Analysis</v>
      </c>
      <c r="I1350" t="s">
        <v>31</v>
      </c>
      <c r="J1350" s="1">
        <v>45688</v>
      </c>
      <c r="K1350" t="s">
        <v>44</v>
      </c>
      <c r="L1350" s="7">
        <v>20</v>
      </c>
      <c r="M1350">
        <f>ROUND(TTrainingSource[[#This Row],[Satisfaction_Score2]],0)</f>
        <v>3</v>
      </c>
      <c r="N1350">
        <v>3</v>
      </c>
    </row>
    <row r="1351" spans="1:14" x14ac:dyDescent="0.3">
      <c r="A1351" t="s">
        <v>146</v>
      </c>
      <c r="B1351" t="str">
        <f>TRIM(TTrainingSource[[#This Row],[EMPloyee_ID2]])</f>
        <v>EMP10674</v>
      </c>
      <c r="C1351" t="str">
        <f>IFERROR(VLOOKUP(TTrainingSource[[#This Row],[Employee_ID]],THrList[],3,FALSE),"")</f>
        <v>PETIT</v>
      </c>
      <c r="D1351" t="str">
        <f>IFERROR(VLOOKUP(TTrainingSource[[#This Row],[Employee_ID]],THrList[],4,FALSE),"")</f>
        <v>Akosua</v>
      </c>
      <c r="E1351" t="str">
        <f>IFERROR(VLOOKUP(TTrainingSource[[#This Row],[Employee_ID]],THrList[],10,FALSE),"")</f>
        <v>Compliance</v>
      </c>
      <c r="F1351" t="str">
        <f>TRIM(PROPER(TTrainingSource[[#This Row],[Training_Status2]]))</f>
        <v>Completed</v>
      </c>
      <c r="G1351" t="s">
        <v>17</v>
      </c>
      <c r="H1351" t="str">
        <f>TRIM(PROPER(TTrainingSource[[#This Row],[Training_Title2]]))</f>
        <v>Financial Modeling Basics</v>
      </c>
      <c r="I1351" t="s">
        <v>38</v>
      </c>
      <c r="J1351" s="1">
        <v>44669</v>
      </c>
      <c r="K1351" t="s">
        <v>42</v>
      </c>
      <c r="L1351" s="7">
        <v>0</v>
      </c>
      <c r="M1351">
        <f>ROUND(TTrainingSource[[#This Row],[Satisfaction_Score2]],0)</f>
        <v>4</v>
      </c>
      <c r="N1351">
        <v>4.0999999999999996</v>
      </c>
    </row>
    <row r="1352" spans="1:14" x14ac:dyDescent="0.3">
      <c r="A1352" t="s">
        <v>146</v>
      </c>
      <c r="B1352" t="str">
        <f>TRIM(TTrainingSource[[#This Row],[EMPloyee_ID2]])</f>
        <v>EMP10674</v>
      </c>
      <c r="C1352" t="str">
        <f>IFERROR(VLOOKUP(TTrainingSource[[#This Row],[Employee_ID]],THrList[],3,FALSE),"")</f>
        <v>PETIT</v>
      </c>
      <c r="D1352" t="str">
        <f>IFERROR(VLOOKUP(TTrainingSource[[#This Row],[Employee_ID]],THrList[],4,FALSE),"")</f>
        <v>Akosua</v>
      </c>
      <c r="E1352" t="str">
        <f>IFERROR(VLOOKUP(TTrainingSource[[#This Row],[Employee_ID]],THrList[],10,FALSE),"")</f>
        <v>Compliance</v>
      </c>
      <c r="F1352" t="str">
        <f>TRIM(PROPER(TTrainingSource[[#This Row],[Training_Status2]]))</f>
        <v>Completed</v>
      </c>
      <c r="G1352" t="s">
        <v>17</v>
      </c>
      <c r="H1352" t="str">
        <f>TRIM(PROPER(TTrainingSource[[#This Row],[Training_Title2]]))</f>
        <v>Sql For Data Analytics</v>
      </c>
      <c r="I1352" t="s">
        <v>26</v>
      </c>
      <c r="J1352" s="1">
        <v>44869</v>
      </c>
      <c r="K1352" t="s">
        <v>39</v>
      </c>
      <c r="L1352" s="7">
        <v>40</v>
      </c>
      <c r="M1352">
        <f>ROUND(TTrainingSource[[#This Row],[Satisfaction_Score2]],0)</f>
        <v>4</v>
      </c>
      <c r="N1352">
        <v>4</v>
      </c>
    </row>
    <row r="1353" spans="1:14" x14ac:dyDescent="0.3">
      <c r="A1353" t="s">
        <v>287</v>
      </c>
      <c r="B1353" t="str">
        <f>TRIM(TTrainingSource[[#This Row],[EMPloyee_ID2]])</f>
        <v>EMP10675</v>
      </c>
      <c r="C1353" t="str">
        <f>IFERROR(VLOOKUP(TTrainingSource[[#This Row],[Employee_ID]],THrList[],3,FALSE),"")</f>
        <v>THOMAS</v>
      </c>
      <c r="D1353" t="str">
        <f>IFERROR(VLOOKUP(TTrainingSource[[#This Row],[Employee_ID]],THrList[],4,FALSE),"")</f>
        <v>Harper</v>
      </c>
      <c r="E1353" t="str">
        <f>IFERROR(VLOOKUP(TTrainingSource[[#This Row],[Employee_ID]],THrList[],10,FALSE),"")</f>
        <v>Marketing</v>
      </c>
      <c r="F1353" t="str">
        <f>TRIM(PROPER(TTrainingSource[[#This Row],[Training_Status2]]))</f>
        <v>Completed</v>
      </c>
      <c r="G1353" t="s">
        <v>17</v>
      </c>
      <c r="H1353" t="str">
        <f>TRIM(PROPER(TTrainingSource[[#This Row],[Training_Title2]]))</f>
        <v>Digital Marketing Strategy</v>
      </c>
      <c r="I1353" t="s">
        <v>43</v>
      </c>
      <c r="J1353" s="1">
        <v>44980</v>
      </c>
      <c r="K1353" t="s">
        <v>1072</v>
      </c>
      <c r="L1353" s="7">
        <v>40</v>
      </c>
      <c r="M1353">
        <f>ROUND(TTrainingSource[[#This Row],[Satisfaction_Score2]],0)</f>
        <v>4</v>
      </c>
      <c r="N1353">
        <v>4.4000000000000004</v>
      </c>
    </row>
    <row r="1354" spans="1:14" x14ac:dyDescent="0.3">
      <c r="A1354" t="s">
        <v>287</v>
      </c>
      <c r="B1354" t="str">
        <f>TRIM(TTrainingSource[[#This Row],[EMPloyee_ID2]])</f>
        <v>EMP10675</v>
      </c>
      <c r="C1354" t="str">
        <f>IFERROR(VLOOKUP(TTrainingSource[[#This Row],[Employee_ID]],THrList[],3,FALSE),"")</f>
        <v>THOMAS</v>
      </c>
      <c r="D1354" t="str">
        <f>IFERROR(VLOOKUP(TTrainingSource[[#This Row],[Employee_ID]],THrList[],4,FALSE),"")</f>
        <v>Harper</v>
      </c>
      <c r="E1354" t="str">
        <f>IFERROR(VLOOKUP(TTrainingSource[[#This Row],[Employee_ID]],THrList[],10,FALSE),"")</f>
        <v>Marketing</v>
      </c>
      <c r="F1354" t="str">
        <f>TRIM(PROPER(TTrainingSource[[#This Row],[Training_Status2]]))</f>
        <v>Completed</v>
      </c>
      <c r="G1354" t="s">
        <v>17</v>
      </c>
      <c r="H1354" t="str">
        <f>TRIM(PROPER(TTrainingSource[[#This Row],[Training_Title2]]))</f>
        <v>Power Bi Reporting</v>
      </c>
      <c r="I1354" t="s">
        <v>24</v>
      </c>
      <c r="J1354" s="1">
        <v>45508</v>
      </c>
      <c r="K1354" t="s">
        <v>42</v>
      </c>
      <c r="L1354" s="7">
        <v>8</v>
      </c>
      <c r="M1354">
        <f>ROUND(TTrainingSource[[#This Row],[Satisfaction_Score2]],0)</f>
        <v>4</v>
      </c>
      <c r="N1354">
        <v>4.0999999999999996</v>
      </c>
    </row>
    <row r="1355" spans="1:14" x14ac:dyDescent="0.3">
      <c r="A1355" t="s">
        <v>607</v>
      </c>
      <c r="B1355" t="str">
        <f>TRIM(TTrainingSource[[#This Row],[EMPloyee_ID2]])</f>
        <v>EMP10676</v>
      </c>
      <c r="C1355" t="str">
        <f>IFERROR(VLOOKUP(TTrainingSource[[#This Row],[Employee_ID]],THrList[],3,FALSE),"")</f>
        <v>SOW</v>
      </c>
      <c r="D1355" t="str">
        <f>IFERROR(VLOOKUP(TTrainingSource[[#This Row],[Employee_ID]],THrList[],4,FALSE),"")</f>
        <v>Ngozi</v>
      </c>
      <c r="E1355" t="str">
        <f>IFERROR(VLOOKUP(TTrainingSource[[#This Row],[Employee_ID]],THrList[],10,FALSE),"")</f>
        <v>Compliance</v>
      </c>
      <c r="F1355" t="str">
        <f>TRIM(PROPER(TTrainingSource[[#This Row],[Training_Status2]]))</f>
        <v>Completed</v>
      </c>
      <c r="G1355" t="s">
        <v>17</v>
      </c>
      <c r="H1355" t="str">
        <f>TRIM(PROPER(TTrainingSource[[#This Row],[Training_Title2]]))</f>
        <v>Introduction To Python For Data</v>
      </c>
      <c r="I1355" t="s">
        <v>62</v>
      </c>
      <c r="J1355" s="1">
        <v>44828</v>
      </c>
      <c r="K1355" t="s">
        <v>42</v>
      </c>
      <c r="L1355" s="7">
        <v>4</v>
      </c>
      <c r="M1355">
        <f>ROUND(TTrainingSource[[#This Row],[Satisfaction_Score2]],0)</f>
        <v>4</v>
      </c>
      <c r="N1355">
        <v>3.9</v>
      </c>
    </row>
    <row r="1356" spans="1:14" x14ac:dyDescent="0.3">
      <c r="A1356" t="s">
        <v>425</v>
      </c>
      <c r="B1356" t="str">
        <f>TRIM(TTrainingSource[[#This Row],[EMPloyee_ID2]])</f>
        <v>EMP10677</v>
      </c>
      <c r="C1356" t="str">
        <f>IFERROR(VLOOKUP(TTrainingSource[[#This Row],[Employee_ID]],THrList[],3,FALSE),"")</f>
        <v>KHAN</v>
      </c>
      <c r="D1356" t="str">
        <f>IFERROR(VLOOKUP(TTrainingSource[[#This Row],[Employee_ID]],THrList[],4,FALSE),"")</f>
        <v>Amelia</v>
      </c>
      <c r="E1356" t="str">
        <f>IFERROR(VLOOKUP(TTrainingSource[[#This Row],[Employee_ID]],THrList[],10,FALSE),"")</f>
        <v>Marketing</v>
      </c>
      <c r="F1356" t="str">
        <f>TRIM(PROPER(TTrainingSource[[#This Row],[Training_Status2]]))</f>
        <v>Planned</v>
      </c>
      <c r="G1356" t="s">
        <v>19</v>
      </c>
      <c r="H1356" t="str">
        <f>TRIM(PROPER(TTrainingSource[[#This Row],[Training_Title2]]))</f>
        <v>Project Management Essentials</v>
      </c>
      <c r="I1356" t="s">
        <v>14</v>
      </c>
      <c r="J1356" s="1">
        <v>45116</v>
      </c>
      <c r="K1356" t="s">
        <v>29</v>
      </c>
      <c r="L1356" s="7">
        <v>24</v>
      </c>
      <c r="M1356">
        <f>ROUND(TTrainingSource[[#This Row],[Satisfaction_Score2]],0)</f>
        <v>4</v>
      </c>
      <c r="N1356">
        <v>3.5</v>
      </c>
    </row>
    <row r="1357" spans="1:14" x14ac:dyDescent="0.3">
      <c r="A1357" t="s">
        <v>103</v>
      </c>
      <c r="B1357" t="str">
        <f>TRIM(TTrainingSource[[#This Row],[EMPloyee_ID2]])</f>
        <v>EMP10678</v>
      </c>
      <c r="C1357" t="str">
        <f>IFERROR(VLOOKUP(TTrainingSource[[#This Row],[Employee_ID]],THrList[],3,FALSE),"")</f>
        <v>KHAN</v>
      </c>
      <c r="D1357" t="str">
        <f>IFERROR(VLOOKUP(TTrainingSource[[#This Row],[Employee_ID]],THrList[],4,FALSE),"")</f>
        <v>Fatima</v>
      </c>
      <c r="E1357" t="str">
        <f>IFERROR(VLOOKUP(TTrainingSource[[#This Row],[Employee_ID]],THrList[],10,FALSE),"")</f>
        <v>Marketing</v>
      </c>
      <c r="F1357" t="str">
        <f>TRIM(PROPER(TTrainingSource[[#This Row],[Training_Status2]]))</f>
        <v>Completed</v>
      </c>
      <c r="G1357" t="s">
        <v>17</v>
      </c>
      <c r="H1357" t="str">
        <f>TRIM(PROPER(TTrainingSource[[#This Row],[Training_Title2]]))</f>
        <v>Communication For Analysts</v>
      </c>
      <c r="I1357" t="s">
        <v>28</v>
      </c>
      <c r="J1357" s="1">
        <v>45464</v>
      </c>
      <c r="K1357" t="s">
        <v>42</v>
      </c>
      <c r="L1357" s="7">
        <v>24</v>
      </c>
      <c r="M1357">
        <f>ROUND(TTrainingSource[[#This Row],[Satisfaction_Score2]],0)</f>
        <v>3</v>
      </c>
      <c r="N1357">
        <v>3.2</v>
      </c>
    </row>
    <row r="1358" spans="1:14" x14ac:dyDescent="0.3">
      <c r="A1358" t="s">
        <v>103</v>
      </c>
      <c r="B1358" t="str">
        <f>TRIM(TTrainingSource[[#This Row],[EMPloyee_ID2]])</f>
        <v>EMP10678</v>
      </c>
      <c r="C1358" t="str">
        <f>IFERROR(VLOOKUP(TTrainingSource[[#This Row],[Employee_ID]],THrList[],3,FALSE),"")</f>
        <v>KHAN</v>
      </c>
      <c r="D1358" t="str">
        <f>IFERROR(VLOOKUP(TTrainingSource[[#This Row],[Employee_ID]],THrList[],4,FALSE),"")</f>
        <v>Fatima</v>
      </c>
      <c r="E1358" t="str">
        <f>IFERROR(VLOOKUP(TTrainingSource[[#This Row],[Employee_ID]],THrList[],10,FALSE),"")</f>
        <v>Marketing</v>
      </c>
      <c r="F1358" t="str">
        <f>TRIM(PROPER(TTrainingSource[[#This Row],[Training_Status2]]))</f>
        <v>Planned</v>
      </c>
      <c r="G1358" t="s">
        <v>19</v>
      </c>
      <c r="H1358" t="str">
        <f>TRIM(PROPER(TTrainingSource[[#This Row],[Training_Title2]]))</f>
        <v>Financial Modeling Basics</v>
      </c>
      <c r="I1358" t="s">
        <v>38</v>
      </c>
      <c r="J1358" s="1">
        <v>45109</v>
      </c>
      <c r="K1358" t="s">
        <v>44</v>
      </c>
      <c r="L1358" s="7">
        <v>12</v>
      </c>
      <c r="M1358">
        <f>ROUND(TTrainingSource[[#This Row],[Satisfaction_Score2]],0)</f>
        <v>4</v>
      </c>
      <c r="N1358">
        <v>3.7</v>
      </c>
    </row>
    <row r="1359" spans="1:14" x14ac:dyDescent="0.3">
      <c r="A1359" t="s">
        <v>522</v>
      </c>
      <c r="B1359" t="str">
        <f>TRIM(TTrainingSource[[#This Row],[EMPloyee_ID2]])</f>
        <v>EMP10679</v>
      </c>
      <c r="C1359" t="str">
        <f>IFERROR(VLOOKUP(TTrainingSource[[#This Row],[Employee_ID]],THrList[],3,FALSE),"")</f>
        <v>KIM</v>
      </c>
      <c r="D1359" t="str">
        <f>IFERROR(VLOOKUP(TTrainingSource[[#This Row],[Employee_ID]],THrList[],4,FALSE),"")</f>
        <v>Claire</v>
      </c>
      <c r="E1359" t="str">
        <f>IFERROR(VLOOKUP(TTrainingSource[[#This Row],[Employee_ID]],THrList[],10,FALSE),"")</f>
        <v>Finance</v>
      </c>
      <c r="F1359" t="str">
        <f>TRIM(PROPER(TTrainingSource[[#This Row],[Training_Status2]]))</f>
        <v>Completed</v>
      </c>
      <c r="G1359" t="s">
        <v>17</v>
      </c>
      <c r="H1359" t="str">
        <f>TRIM(PROPER(TTrainingSource[[#This Row],[Training_Title2]]))</f>
        <v>Sql For Data Analytics</v>
      </c>
      <c r="I1359" t="s">
        <v>26</v>
      </c>
      <c r="J1359" s="1">
        <v>45197</v>
      </c>
      <c r="K1359" t="s">
        <v>12</v>
      </c>
      <c r="L1359" s="7">
        <v>4</v>
      </c>
      <c r="M1359">
        <f>ROUND(TTrainingSource[[#This Row],[Satisfaction_Score2]],0)</f>
        <v>3</v>
      </c>
      <c r="N1359">
        <v>2.9</v>
      </c>
    </row>
    <row r="1360" spans="1:14" x14ac:dyDescent="0.3">
      <c r="A1360" t="s">
        <v>460</v>
      </c>
      <c r="B1360" t="str">
        <f>TRIM(TTrainingSource[[#This Row],[EMPloyee_ID2]])</f>
        <v>EMP10680</v>
      </c>
      <c r="C1360" t="str">
        <f>IFERROR(VLOOKUP(TTrainingSource[[#This Row],[Employee_ID]],THrList[],3,FALSE),"")</f>
        <v>MILLER</v>
      </c>
      <c r="D1360" t="str">
        <f>IFERROR(VLOOKUP(TTrainingSource[[#This Row],[Employee_ID]],THrList[],4,FALSE),"")</f>
        <v>Charlotte</v>
      </c>
      <c r="E1360" t="str">
        <f>IFERROR(VLOOKUP(TTrainingSource[[#This Row],[Employee_ID]],THrList[],10,FALSE),"")</f>
        <v>Human Resources</v>
      </c>
      <c r="F1360" t="str">
        <f>TRIM(PROPER(TTrainingSource[[#This Row],[Training_Status2]]))</f>
        <v>Completed</v>
      </c>
      <c r="G1360" t="s">
        <v>17</v>
      </c>
      <c r="H1360" t="str">
        <f>TRIM(PROPER(TTrainingSource[[#This Row],[Training_Title2]]))</f>
        <v>Project Management Essentials</v>
      </c>
      <c r="I1360" t="s">
        <v>14</v>
      </c>
      <c r="J1360" s="1">
        <v>45303</v>
      </c>
      <c r="K1360" t="s">
        <v>1072</v>
      </c>
      <c r="L1360" s="7">
        <v>8</v>
      </c>
      <c r="M1360">
        <f>ROUND(TTrainingSource[[#This Row],[Satisfaction_Score2]],0)</f>
        <v>5</v>
      </c>
      <c r="N1360">
        <v>4.5999999999999996</v>
      </c>
    </row>
    <row r="1361" spans="1:14" x14ac:dyDescent="0.3">
      <c r="A1361" t="s">
        <v>460</v>
      </c>
      <c r="B1361" t="str">
        <f>TRIM(TTrainingSource[[#This Row],[EMPloyee_ID2]])</f>
        <v>EMP10680</v>
      </c>
      <c r="C1361" t="str">
        <f>IFERROR(VLOOKUP(TTrainingSource[[#This Row],[Employee_ID]],THrList[],3,FALSE),"")</f>
        <v>MILLER</v>
      </c>
      <c r="D1361" t="str">
        <f>IFERROR(VLOOKUP(TTrainingSource[[#This Row],[Employee_ID]],THrList[],4,FALSE),"")</f>
        <v>Charlotte</v>
      </c>
      <c r="E1361" t="str">
        <f>IFERROR(VLOOKUP(TTrainingSource[[#This Row],[Employee_ID]],THrList[],10,FALSE),"")</f>
        <v>Human Resources</v>
      </c>
      <c r="F1361" t="str">
        <f>TRIM(PROPER(TTrainingSource[[#This Row],[Training_Status2]]))</f>
        <v>Completed</v>
      </c>
      <c r="G1361" t="s">
        <v>17</v>
      </c>
      <c r="H1361" t="str">
        <f>TRIM(PROPER(TTrainingSource[[#This Row],[Training_Title2]]))</f>
        <v>Digital Marketing Strategy</v>
      </c>
      <c r="I1361" t="s">
        <v>43</v>
      </c>
      <c r="J1361" s="1">
        <v>45845</v>
      </c>
      <c r="K1361" t="s">
        <v>132</v>
      </c>
      <c r="L1361" s="7">
        <v>32</v>
      </c>
      <c r="M1361">
        <f>ROUND(TTrainingSource[[#This Row],[Satisfaction_Score2]],0)</f>
        <v>4</v>
      </c>
      <c r="N1361">
        <v>3.6</v>
      </c>
    </row>
    <row r="1362" spans="1:14" x14ac:dyDescent="0.3">
      <c r="A1362" t="s">
        <v>460</v>
      </c>
      <c r="B1362" t="str">
        <f>TRIM(TTrainingSource[[#This Row],[EMPloyee_ID2]])</f>
        <v>EMP10680</v>
      </c>
      <c r="C1362" t="str">
        <f>IFERROR(VLOOKUP(TTrainingSource[[#This Row],[Employee_ID]],THrList[],3,FALSE),"")</f>
        <v>MILLER</v>
      </c>
      <c r="D1362" t="str">
        <f>IFERROR(VLOOKUP(TTrainingSource[[#This Row],[Employee_ID]],THrList[],4,FALSE),"")</f>
        <v>Charlotte</v>
      </c>
      <c r="E1362" t="str">
        <f>IFERROR(VLOOKUP(TTrainingSource[[#This Row],[Employee_ID]],THrList[],10,FALSE),"")</f>
        <v>Human Resources</v>
      </c>
      <c r="F1362" t="str">
        <f>TRIM(PROPER(TTrainingSource[[#This Row],[Training_Status2]]))</f>
        <v>Completed</v>
      </c>
      <c r="G1362" t="s">
        <v>17</v>
      </c>
      <c r="H1362" t="str">
        <f>TRIM(PROPER(TTrainingSource[[#This Row],[Training_Title2]]))</f>
        <v>Financial Modeling Basics</v>
      </c>
      <c r="I1362" t="s">
        <v>38</v>
      </c>
      <c r="J1362" s="1">
        <v>45078</v>
      </c>
      <c r="K1362" t="s">
        <v>32</v>
      </c>
      <c r="L1362" s="7">
        <v>20</v>
      </c>
      <c r="M1362">
        <f>ROUND(TTrainingSource[[#This Row],[Satisfaction_Score2]],0)</f>
        <v>5</v>
      </c>
      <c r="N1362">
        <v>4.5</v>
      </c>
    </row>
    <row r="1363" spans="1:14" x14ac:dyDescent="0.3">
      <c r="A1363" t="s">
        <v>611</v>
      </c>
      <c r="B1363" t="str">
        <f>TRIM(TTrainingSource[[#This Row],[EMPloyee_ID2]])</f>
        <v>EMP10681</v>
      </c>
      <c r="C1363" t="str">
        <f>IFERROR(VLOOKUP(TTrainingSource[[#This Row],[Employee_ID]],THrList[],3,FALSE),"")</f>
        <v>GIRARD</v>
      </c>
      <c r="D1363" t="str">
        <f>IFERROR(VLOOKUP(TTrainingSource[[#This Row],[Employee_ID]],THrList[],4,FALSE),"")</f>
        <v>Ibrahim</v>
      </c>
      <c r="E1363" t="str">
        <f>IFERROR(VLOOKUP(TTrainingSource[[#This Row],[Employee_ID]],THrList[],10,FALSE),"")</f>
        <v>IT</v>
      </c>
      <c r="F1363" t="str">
        <f>TRIM(PROPER(TTrainingSource[[#This Row],[Training_Status2]]))</f>
        <v>In Progress</v>
      </c>
      <c r="G1363" t="s">
        <v>8</v>
      </c>
      <c r="H1363" t="str">
        <f>TRIM(PROPER(TTrainingSource[[#This Row],[Training_Title2]]))</f>
        <v>Customer Data Analysis</v>
      </c>
      <c r="I1363" t="s">
        <v>31</v>
      </c>
      <c r="J1363" s="1">
        <v>45722</v>
      </c>
      <c r="K1363" t="s">
        <v>44</v>
      </c>
      <c r="L1363" s="7">
        <v>6</v>
      </c>
      <c r="M1363">
        <f>ROUND(TTrainingSource[[#This Row],[Satisfaction_Score2]],0)</f>
        <v>3</v>
      </c>
      <c r="N1363">
        <v>3.4</v>
      </c>
    </row>
    <row r="1364" spans="1:14" x14ac:dyDescent="0.3">
      <c r="A1364" t="s">
        <v>611</v>
      </c>
      <c r="B1364" t="str">
        <f>TRIM(TTrainingSource[[#This Row],[EMPloyee_ID2]])</f>
        <v>EMP10681</v>
      </c>
      <c r="C1364" t="str">
        <f>IFERROR(VLOOKUP(TTrainingSource[[#This Row],[Employee_ID]],THrList[],3,FALSE),"")</f>
        <v>GIRARD</v>
      </c>
      <c r="D1364" t="str">
        <f>IFERROR(VLOOKUP(TTrainingSource[[#This Row],[Employee_ID]],THrList[],4,FALSE),"")</f>
        <v>Ibrahim</v>
      </c>
      <c r="E1364" t="str">
        <f>IFERROR(VLOOKUP(TTrainingSource[[#This Row],[Employee_ID]],THrList[],10,FALSE),"")</f>
        <v>IT</v>
      </c>
      <c r="F1364" t="str">
        <f>TRIM(PROPER(TTrainingSource[[#This Row],[Training_Status2]]))</f>
        <v>Completed</v>
      </c>
      <c r="G1364" t="s">
        <v>17</v>
      </c>
      <c r="H1364" t="str">
        <f>TRIM(PROPER(TTrainingSource[[#This Row],[Training_Title2]]))</f>
        <v>Financial Modeling Basics</v>
      </c>
      <c r="I1364" t="s">
        <v>38</v>
      </c>
      <c r="J1364" s="1">
        <v>44876</v>
      </c>
      <c r="K1364" t="s">
        <v>132</v>
      </c>
      <c r="L1364" s="7">
        <v>8</v>
      </c>
      <c r="M1364">
        <f>ROUND(TTrainingSource[[#This Row],[Satisfaction_Score2]],0)</f>
        <v>4</v>
      </c>
      <c r="N1364">
        <v>3.9</v>
      </c>
    </row>
    <row r="1365" spans="1:14" x14ac:dyDescent="0.3">
      <c r="A1365" t="s">
        <v>126</v>
      </c>
      <c r="B1365" t="str">
        <f>TRIM(TTrainingSource[[#This Row],[EMPloyee_ID2]])</f>
        <v>EMP10682</v>
      </c>
      <c r="C1365" t="str">
        <f>IFERROR(VLOOKUP(TTrainingSource[[#This Row],[Employee_ID]],THrList[],3,FALSE),"")</f>
        <v>WILSON</v>
      </c>
      <c r="D1365" t="str">
        <f>IFERROR(VLOOKUP(TTrainingSource[[#This Row],[Employee_ID]],THrList[],4,FALSE),"")</f>
        <v>Charlotte</v>
      </c>
      <c r="E1365" t="str">
        <f>IFERROR(VLOOKUP(TTrainingSource[[#This Row],[Employee_ID]],THrList[],10,FALSE),"")</f>
        <v>Sales</v>
      </c>
      <c r="F1365" t="str">
        <f>TRIM(PROPER(TTrainingSource[[#This Row],[Training_Status2]]))</f>
        <v>Completed</v>
      </c>
      <c r="G1365" t="s">
        <v>17</v>
      </c>
      <c r="H1365" t="str">
        <f>TRIM(PROPER(TTrainingSource[[#This Row],[Training_Title2]]))</f>
        <v>Customer Data Analysis</v>
      </c>
      <c r="I1365" t="s">
        <v>50</v>
      </c>
      <c r="J1365" s="1">
        <v>45673</v>
      </c>
      <c r="K1365" t="s">
        <v>46</v>
      </c>
      <c r="L1365" s="7">
        <v>4</v>
      </c>
      <c r="M1365">
        <f>ROUND(TTrainingSource[[#This Row],[Satisfaction_Score2]],0)</f>
        <v>3</v>
      </c>
      <c r="N1365">
        <v>3.4</v>
      </c>
    </row>
    <row r="1366" spans="1:14" x14ac:dyDescent="0.3">
      <c r="A1366" t="s">
        <v>126</v>
      </c>
      <c r="B1366" t="str">
        <f>TRIM(TTrainingSource[[#This Row],[EMPloyee_ID2]])</f>
        <v>EMP10682</v>
      </c>
      <c r="C1366" t="str">
        <f>IFERROR(VLOOKUP(TTrainingSource[[#This Row],[Employee_ID]],THrList[],3,FALSE),"")</f>
        <v>WILSON</v>
      </c>
      <c r="D1366" t="str">
        <f>IFERROR(VLOOKUP(TTrainingSource[[#This Row],[Employee_ID]],THrList[],4,FALSE),"")</f>
        <v>Charlotte</v>
      </c>
      <c r="E1366" t="str">
        <f>IFERROR(VLOOKUP(TTrainingSource[[#This Row],[Employee_ID]],THrList[],10,FALSE),"")</f>
        <v>Sales</v>
      </c>
      <c r="F1366" t="str">
        <f>TRIM(PROPER(TTrainingSource[[#This Row],[Training_Status2]]))</f>
        <v>Planned</v>
      </c>
      <c r="G1366" t="s">
        <v>19</v>
      </c>
      <c r="H1366" t="str">
        <f>TRIM(PROPER(TTrainingSource[[#This Row],[Training_Title2]]))</f>
        <v>Customer Data Analysis</v>
      </c>
      <c r="I1366" t="s">
        <v>264</v>
      </c>
      <c r="J1366" s="1">
        <v>45810</v>
      </c>
      <c r="K1366" t="s">
        <v>132</v>
      </c>
      <c r="L1366" s="7">
        <v>40</v>
      </c>
      <c r="M1366">
        <f>ROUND(TTrainingSource[[#This Row],[Satisfaction_Score2]],0)</f>
        <v>4</v>
      </c>
      <c r="N1366">
        <v>4.3</v>
      </c>
    </row>
    <row r="1367" spans="1:14" x14ac:dyDescent="0.3">
      <c r="A1367" t="s">
        <v>504</v>
      </c>
      <c r="B1367" t="str">
        <f>TRIM(TTrainingSource[[#This Row],[EMPloyee_ID2]])</f>
        <v>EMP10682</v>
      </c>
      <c r="C1367" t="str">
        <f>IFERROR(VLOOKUP(TTrainingSource[[#This Row],[Employee_ID]],THrList[],3,FALSE),"")</f>
        <v>WILSON</v>
      </c>
      <c r="D1367" t="str">
        <f>IFERROR(VLOOKUP(TTrainingSource[[#This Row],[Employee_ID]],THrList[],4,FALSE),"")</f>
        <v>Charlotte</v>
      </c>
      <c r="E1367" t="str">
        <f>IFERROR(VLOOKUP(TTrainingSource[[#This Row],[Employee_ID]],THrList[],10,FALSE),"")</f>
        <v>Sales</v>
      </c>
      <c r="F1367" t="str">
        <f>TRIM(PROPER(TTrainingSource[[#This Row],[Training_Status2]]))</f>
        <v>Completed</v>
      </c>
      <c r="G1367" t="s">
        <v>17</v>
      </c>
      <c r="H1367" t="str">
        <f>TRIM(PROPER(TTrainingSource[[#This Row],[Training_Title2]]))</f>
        <v>Data Visualization Best Practices</v>
      </c>
      <c r="I1367" t="s">
        <v>20</v>
      </c>
      <c r="J1367" s="1">
        <v>45577</v>
      </c>
      <c r="K1367" t="s">
        <v>29</v>
      </c>
      <c r="L1367" s="7">
        <v>6</v>
      </c>
      <c r="M1367">
        <f>ROUND(TTrainingSource[[#This Row],[Satisfaction_Score2]],0)</f>
        <v>4</v>
      </c>
      <c r="N1367">
        <v>4.4000000000000004</v>
      </c>
    </row>
    <row r="1368" spans="1:14" x14ac:dyDescent="0.3">
      <c r="A1368" t="s">
        <v>126</v>
      </c>
      <c r="B1368" t="str">
        <f>TRIM(TTrainingSource[[#This Row],[EMPloyee_ID2]])</f>
        <v>EMP10682</v>
      </c>
      <c r="C1368" t="str">
        <f>IFERROR(VLOOKUP(TTrainingSource[[#This Row],[Employee_ID]],THrList[],3,FALSE),"")</f>
        <v>WILSON</v>
      </c>
      <c r="D1368" t="str">
        <f>IFERROR(VLOOKUP(TTrainingSource[[#This Row],[Employee_ID]],THrList[],4,FALSE),"")</f>
        <v>Charlotte</v>
      </c>
      <c r="E1368" t="str">
        <f>IFERROR(VLOOKUP(TTrainingSource[[#This Row],[Employee_ID]],THrList[],10,FALSE),"")</f>
        <v>Sales</v>
      </c>
      <c r="F1368" t="str">
        <f>TRIM(PROPER(TTrainingSource[[#This Row],[Training_Status2]]))</f>
        <v>In Progress</v>
      </c>
      <c r="G1368" t="s">
        <v>8</v>
      </c>
      <c r="H1368" t="str">
        <f>TRIM(PROPER(TTrainingSource[[#This Row],[Training_Title2]]))</f>
        <v>Data Visualization Best Practices</v>
      </c>
      <c r="I1368" t="s">
        <v>20</v>
      </c>
      <c r="J1368" s="1">
        <v>45599</v>
      </c>
      <c r="K1368" t="s">
        <v>71</v>
      </c>
      <c r="L1368" s="7">
        <v>16</v>
      </c>
      <c r="M1368">
        <f>ROUND(TTrainingSource[[#This Row],[Satisfaction_Score2]],0)</f>
        <v>4</v>
      </c>
      <c r="N1368">
        <v>4.3</v>
      </c>
    </row>
    <row r="1369" spans="1:14" x14ac:dyDescent="0.3">
      <c r="A1369" t="s">
        <v>504</v>
      </c>
      <c r="B1369" t="str">
        <f>TRIM(TTrainingSource[[#This Row],[EMPloyee_ID2]])</f>
        <v>EMP10682</v>
      </c>
      <c r="C1369" t="str">
        <f>IFERROR(VLOOKUP(TTrainingSource[[#This Row],[Employee_ID]],THrList[],3,FALSE),"")</f>
        <v>WILSON</v>
      </c>
      <c r="D1369" t="str">
        <f>IFERROR(VLOOKUP(TTrainingSource[[#This Row],[Employee_ID]],THrList[],4,FALSE),"")</f>
        <v>Charlotte</v>
      </c>
      <c r="E1369" t="str">
        <f>IFERROR(VLOOKUP(TTrainingSource[[#This Row],[Employee_ID]],THrList[],10,FALSE),"")</f>
        <v>Sales</v>
      </c>
      <c r="F1369" t="str">
        <f>TRIM(PROPER(TTrainingSource[[#This Row],[Training_Status2]]))</f>
        <v>Completed</v>
      </c>
      <c r="G1369" t="s">
        <v>17</v>
      </c>
      <c r="H1369" t="str">
        <f>TRIM(PROPER(TTrainingSource[[#This Row],[Training_Title2]]))</f>
        <v>Financial Modeling Basics</v>
      </c>
      <c r="I1369" t="s">
        <v>38</v>
      </c>
      <c r="J1369" s="1">
        <v>45113</v>
      </c>
      <c r="K1369" t="s">
        <v>46</v>
      </c>
      <c r="L1369" s="7">
        <v>12</v>
      </c>
      <c r="M1369">
        <f>ROUND(TTrainingSource[[#This Row],[Satisfaction_Score2]],0)</f>
        <v>3</v>
      </c>
      <c r="N1369">
        <v>3.2</v>
      </c>
    </row>
    <row r="1370" spans="1:14" x14ac:dyDescent="0.3">
      <c r="A1370" t="s">
        <v>295</v>
      </c>
      <c r="B1370" t="str">
        <f>TRIM(TTrainingSource[[#This Row],[EMPloyee_ID2]])</f>
        <v>EMP10683</v>
      </c>
      <c r="C1370" t="str">
        <f>IFERROR(VLOOKUP(TTrainingSource[[#This Row],[Employee_ID]],THrList[],3,FALSE),"")</f>
        <v>WILSON</v>
      </c>
      <c r="D1370" t="str">
        <f>IFERROR(VLOOKUP(TTrainingSource[[#This Row],[Employee_ID]],THrList[],4,FALSE),"")</f>
        <v>Henry</v>
      </c>
      <c r="E1370" t="str">
        <f>IFERROR(VLOOKUP(TTrainingSource[[#This Row],[Employee_ID]],THrList[],10,FALSE),"")</f>
        <v>IT</v>
      </c>
      <c r="F1370" t="str">
        <f>TRIM(PROPER(TTrainingSource[[#This Row],[Training_Status2]]))</f>
        <v>In Progress</v>
      </c>
      <c r="G1370" t="s">
        <v>8</v>
      </c>
      <c r="H1370" t="str">
        <f>TRIM(PROPER(TTrainingSource[[#This Row],[Training_Title2]]))</f>
        <v>Customer Data Analysis</v>
      </c>
      <c r="I1370" t="s">
        <v>31</v>
      </c>
      <c r="J1370" s="1">
        <v>44599</v>
      </c>
      <c r="K1370" t="s">
        <v>44</v>
      </c>
      <c r="L1370" s="7">
        <v>40</v>
      </c>
      <c r="M1370">
        <f>ROUND(TTrainingSource[[#This Row],[Satisfaction_Score2]],0)</f>
        <v>3</v>
      </c>
      <c r="N1370">
        <v>2.5</v>
      </c>
    </row>
    <row r="1371" spans="1:14" x14ac:dyDescent="0.3">
      <c r="A1371" t="s">
        <v>295</v>
      </c>
      <c r="B1371" t="str">
        <f>TRIM(TTrainingSource[[#This Row],[EMPloyee_ID2]])</f>
        <v>EMP10683</v>
      </c>
      <c r="C1371" t="str">
        <f>IFERROR(VLOOKUP(TTrainingSource[[#This Row],[Employee_ID]],THrList[],3,FALSE),"")</f>
        <v>WILSON</v>
      </c>
      <c r="D1371" t="str">
        <f>IFERROR(VLOOKUP(TTrainingSource[[#This Row],[Employee_ID]],THrList[],4,FALSE),"")</f>
        <v>Henry</v>
      </c>
      <c r="E1371" t="str">
        <f>IFERROR(VLOOKUP(TTrainingSource[[#This Row],[Employee_ID]],THrList[],10,FALSE),"")</f>
        <v>IT</v>
      </c>
      <c r="F1371" t="str">
        <f>TRIM(PROPER(TTrainingSource[[#This Row],[Training_Status2]]))</f>
        <v>Planned</v>
      </c>
      <c r="G1371" t="s">
        <v>19</v>
      </c>
      <c r="H1371" t="str">
        <f>TRIM(PROPER(TTrainingSource[[#This Row],[Training_Title2]]))</f>
        <v>Introduction To Python For Data</v>
      </c>
      <c r="I1371" t="s">
        <v>62</v>
      </c>
      <c r="J1371" s="1">
        <v>45658</v>
      </c>
      <c r="K1371" t="s">
        <v>39</v>
      </c>
      <c r="L1371" s="7">
        <v>8</v>
      </c>
      <c r="M1371">
        <f>ROUND(TTrainingSource[[#This Row],[Satisfaction_Score2]],0)</f>
        <v>3</v>
      </c>
      <c r="N1371">
        <v>3.1</v>
      </c>
    </row>
    <row r="1372" spans="1:14" x14ac:dyDescent="0.3">
      <c r="A1372" t="s">
        <v>295</v>
      </c>
      <c r="B1372" t="str">
        <f>TRIM(TTrainingSource[[#This Row],[EMPloyee_ID2]])</f>
        <v>EMP10683</v>
      </c>
      <c r="C1372" t="str">
        <f>IFERROR(VLOOKUP(TTrainingSource[[#This Row],[Employee_ID]],THrList[],3,FALSE),"")</f>
        <v>WILSON</v>
      </c>
      <c r="D1372" t="str">
        <f>IFERROR(VLOOKUP(TTrainingSource[[#This Row],[Employee_ID]],THrList[],4,FALSE),"")</f>
        <v>Henry</v>
      </c>
      <c r="E1372" t="str">
        <f>IFERROR(VLOOKUP(TTrainingSource[[#This Row],[Employee_ID]],THrList[],10,FALSE),"")</f>
        <v>IT</v>
      </c>
      <c r="F1372" t="str">
        <f>TRIM(PROPER(TTrainingSource[[#This Row],[Training_Status2]]))</f>
        <v>Planned</v>
      </c>
      <c r="G1372" t="s">
        <v>19</v>
      </c>
      <c r="H1372" t="str">
        <f>TRIM(PROPER(TTrainingSource[[#This Row],[Training_Title2]]))</f>
        <v>Digital Marketing Strategy</v>
      </c>
      <c r="I1372" t="s">
        <v>43</v>
      </c>
      <c r="J1372" s="1">
        <v>45264</v>
      </c>
      <c r="K1372" t="s">
        <v>42</v>
      </c>
      <c r="L1372" s="7">
        <v>32</v>
      </c>
      <c r="M1372">
        <f>ROUND(TTrainingSource[[#This Row],[Satisfaction_Score2]],0)</f>
        <v>4</v>
      </c>
      <c r="N1372">
        <v>4.2</v>
      </c>
    </row>
    <row r="1373" spans="1:14" x14ac:dyDescent="0.3">
      <c r="A1373" t="s">
        <v>545</v>
      </c>
      <c r="B1373" t="str">
        <f>TRIM(TTrainingSource[[#This Row],[EMPloyee_ID2]])</f>
        <v>EMP10684</v>
      </c>
      <c r="C1373" t="str">
        <f>IFERROR(VLOOKUP(TTrainingSource[[#This Row],[Employee_ID]],THrList[],3,FALSE),"")</f>
        <v>BROWN</v>
      </c>
      <c r="D1373" t="str">
        <f>IFERROR(VLOOKUP(TTrainingSource[[#This Row],[Employee_ID]],THrList[],4,FALSE),"")</f>
        <v>Kofi</v>
      </c>
      <c r="E1373" t="str">
        <f>IFERROR(VLOOKUP(TTrainingSource[[#This Row],[Employee_ID]],THrList[],10,FALSE),"")</f>
        <v>IT</v>
      </c>
      <c r="F1373" t="str">
        <f>TRIM(PROPER(TTrainingSource[[#This Row],[Training_Status2]]))</f>
        <v>Completed</v>
      </c>
      <c r="G1373" t="s">
        <v>17</v>
      </c>
      <c r="H1373" t="str">
        <f>TRIM(PROPER(TTrainingSource[[#This Row],[Training_Title2]]))</f>
        <v>Advanced Excel For Business</v>
      </c>
      <c r="I1373" t="s">
        <v>52</v>
      </c>
      <c r="J1373" s="1">
        <v>45914</v>
      </c>
      <c r="K1373" t="s">
        <v>32</v>
      </c>
      <c r="L1373" s="7">
        <v>12</v>
      </c>
      <c r="M1373">
        <f>ROUND(TTrainingSource[[#This Row],[Satisfaction_Score2]],0)</f>
        <v>4</v>
      </c>
      <c r="N1373">
        <v>3.8</v>
      </c>
    </row>
    <row r="1374" spans="1:14" x14ac:dyDescent="0.3">
      <c r="A1374" t="s">
        <v>383</v>
      </c>
      <c r="B1374" t="str">
        <f>TRIM(TTrainingSource[[#This Row],[EMPloyee_ID2]])</f>
        <v>EMP10685</v>
      </c>
      <c r="C1374" t="str">
        <f>IFERROR(VLOOKUP(TTrainingSource[[#This Row],[Employee_ID]],THrList[],3,FALSE),"")</f>
        <v>JACKSON</v>
      </c>
      <c r="D1374" t="str">
        <f>IFERROR(VLOOKUP(TTrainingSource[[#This Row],[Employee_ID]],THrList[],4,FALSE),"")</f>
        <v>Yaw</v>
      </c>
      <c r="E1374" t="str">
        <f>IFERROR(VLOOKUP(TTrainingSource[[#This Row],[Employee_ID]],THrList[],10,FALSE),"")</f>
        <v>IT</v>
      </c>
      <c r="F1374" t="str">
        <f>TRIM(PROPER(TTrainingSource[[#This Row],[Training_Status2]]))</f>
        <v>In Progress</v>
      </c>
      <c r="G1374" t="s">
        <v>8</v>
      </c>
      <c r="H1374" t="str">
        <f>TRIM(PROPER(TTrainingSource[[#This Row],[Training_Title2]]))</f>
        <v>Financial Modeling Basics</v>
      </c>
      <c r="I1374" t="s">
        <v>38</v>
      </c>
      <c r="J1374" s="1">
        <v>45324</v>
      </c>
      <c r="K1374" t="s">
        <v>32</v>
      </c>
      <c r="L1374" s="7">
        <v>12</v>
      </c>
      <c r="M1374">
        <f>ROUND(TTrainingSource[[#This Row],[Satisfaction_Score2]],0)</f>
        <v>5</v>
      </c>
      <c r="N1374">
        <v>4.8</v>
      </c>
    </row>
    <row r="1375" spans="1:14" x14ac:dyDescent="0.3">
      <c r="A1375" t="s">
        <v>383</v>
      </c>
      <c r="B1375" t="str">
        <f>TRIM(TTrainingSource[[#This Row],[EMPloyee_ID2]])</f>
        <v>EMP10685</v>
      </c>
      <c r="C1375" t="str">
        <f>IFERROR(VLOOKUP(TTrainingSource[[#This Row],[Employee_ID]],THrList[],3,FALSE),"")</f>
        <v>JACKSON</v>
      </c>
      <c r="D1375" t="str">
        <f>IFERROR(VLOOKUP(TTrainingSource[[#This Row],[Employee_ID]],THrList[],4,FALSE),"")</f>
        <v>Yaw</v>
      </c>
      <c r="E1375" t="str">
        <f>IFERROR(VLOOKUP(TTrainingSource[[#This Row],[Employee_ID]],THrList[],10,FALSE),"")</f>
        <v>IT</v>
      </c>
      <c r="F1375" t="str">
        <f>TRIM(PROPER(TTrainingSource[[#This Row],[Training_Status2]]))</f>
        <v>Planned</v>
      </c>
      <c r="G1375" t="s">
        <v>19</v>
      </c>
      <c r="H1375" t="str">
        <f>TRIM(PROPER(TTrainingSource[[#This Row],[Training_Title2]]))</f>
        <v>Customer Data Analysis</v>
      </c>
      <c r="I1375" t="s">
        <v>31</v>
      </c>
      <c r="J1375" s="1">
        <v>45854</v>
      </c>
      <c r="K1375" t="s">
        <v>42</v>
      </c>
      <c r="L1375" s="7">
        <v>40</v>
      </c>
      <c r="M1375">
        <f>ROUND(TTrainingSource[[#This Row],[Satisfaction_Score2]],0)</f>
        <v>4</v>
      </c>
      <c r="N1375">
        <v>4.0999999999999996</v>
      </c>
    </row>
    <row r="1376" spans="1:14" x14ac:dyDescent="0.3">
      <c r="A1376" t="s">
        <v>395</v>
      </c>
      <c r="B1376" t="str">
        <f>TRIM(TTrainingSource[[#This Row],[EMPloyee_ID2]])</f>
        <v>EMP10686</v>
      </c>
      <c r="C1376" t="str">
        <f>IFERROR(VLOOKUP(TTrainingSource[[#This Row],[Employee_ID]],THrList[],3,FALSE),"")</f>
        <v>FOURNIER</v>
      </c>
      <c r="D1376" t="str">
        <f>IFERROR(VLOOKUP(TTrainingSource[[#This Row],[Employee_ID]],THrList[],4,FALSE),"")</f>
        <v>Hassan</v>
      </c>
      <c r="E1376" t="str">
        <f>IFERROR(VLOOKUP(TTrainingSource[[#This Row],[Employee_ID]],THrList[],10,FALSE),"")</f>
        <v>Operations</v>
      </c>
      <c r="F1376" t="str">
        <f>TRIM(PROPER(TTrainingSource[[#This Row],[Training_Status2]]))</f>
        <v>In Progress</v>
      </c>
      <c r="G1376" t="s">
        <v>8</v>
      </c>
      <c r="H1376" t="str">
        <f>TRIM(PROPER(TTrainingSource[[#This Row],[Training_Title2]]))</f>
        <v>Sql For Data Analytics</v>
      </c>
      <c r="I1376" t="s">
        <v>26</v>
      </c>
      <c r="J1376" s="1">
        <v>45224</v>
      </c>
      <c r="K1376" t="s">
        <v>32</v>
      </c>
      <c r="L1376" s="7">
        <v>12</v>
      </c>
      <c r="M1376">
        <f>ROUND(TTrainingSource[[#This Row],[Satisfaction_Score2]],0)</f>
        <v>5</v>
      </c>
      <c r="N1376">
        <v>4.8</v>
      </c>
    </row>
    <row r="1377" spans="1:14" x14ac:dyDescent="0.3">
      <c r="A1377" t="s">
        <v>395</v>
      </c>
      <c r="B1377" t="str">
        <f>TRIM(TTrainingSource[[#This Row],[EMPloyee_ID2]])</f>
        <v>EMP10686</v>
      </c>
      <c r="C1377" t="str">
        <f>IFERROR(VLOOKUP(TTrainingSource[[#This Row],[Employee_ID]],THrList[],3,FALSE),"")</f>
        <v>FOURNIER</v>
      </c>
      <c r="D1377" t="str">
        <f>IFERROR(VLOOKUP(TTrainingSource[[#This Row],[Employee_ID]],THrList[],4,FALSE),"")</f>
        <v>Hassan</v>
      </c>
      <c r="E1377" t="str">
        <f>IFERROR(VLOOKUP(TTrainingSource[[#This Row],[Employee_ID]],THrList[],10,FALSE),"")</f>
        <v>Operations</v>
      </c>
      <c r="F1377" t="str">
        <f>TRIM(PROPER(TTrainingSource[[#This Row],[Training_Status2]]))</f>
        <v>Completed</v>
      </c>
      <c r="G1377" t="s">
        <v>17</v>
      </c>
      <c r="H1377" t="str">
        <f>TRIM(PROPER(TTrainingSource[[#This Row],[Training_Title2]]))</f>
        <v>Business Intelligence With Tableau</v>
      </c>
      <c r="I1377" t="s">
        <v>22</v>
      </c>
      <c r="J1377" s="1">
        <v>45767</v>
      </c>
      <c r="K1377" t="s">
        <v>46</v>
      </c>
      <c r="L1377" s="7">
        <v>32</v>
      </c>
      <c r="M1377">
        <f>ROUND(TTrainingSource[[#This Row],[Satisfaction_Score2]],0)</f>
        <v>5</v>
      </c>
      <c r="N1377">
        <v>4.8</v>
      </c>
    </row>
    <row r="1378" spans="1:14" x14ac:dyDescent="0.3">
      <c r="A1378" t="s">
        <v>144</v>
      </c>
      <c r="B1378" t="str">
        <f>TRIM(TTrainingSource[[#This Row],[EMPloyee_ID2]])</f>
        <v>EMP10687</v>
      </c>
      <c r="C1378" t="str">
        <f>IFERROR(VLOOKUP(TTrainingSource[[#This Row],[Employee_ID]],THrList[],3,FALSE),"")</f>
        <v>LOPEZ</v>
      </c>
      <c r="D1378" t="str">
        <f>IFERROR(VLOOKUP(TTrainingSource[[#This Row],[Employee_ID]],THrList[],4,FALSE),"")</f>
        <v>Ethan</v>
      </c>
      <c r="E1378" t="str">
        <f>IFERROR(VLOOKUP(TTrainingSource[[#This Row],[Employee_ID]],THrList[],10,FALSE),"")</f>
        <v>Sales</v>
      </c>
      <c r="F1378" t="str">
        <f>TRIM(PROPER(TTrainingSource[[#This Row],[Training_Status2]]))</f>
        <v>Planned</v>
      </c>
      <c r="G1378" t="s">
        <v>19</v>
      </c>
      <c r="H1378" t="str">
        <f>TRIM(PROPER(TTrainingSource[[#This Row],[Training_Title2]]))</f>
        <v>Data Visualization Best Practices</v>
      </c>
      <c r="I1378" t="s">
        <v>20</v>
      </c>
      <c r="J1378" s="1">
        <v>45348</v>
      </c>
      <c r="K1378" t="s">
        <v>42</v>
      </c>
      <c r="L1378" s="7">
        <v>20</v>
      </c>
      <c r="M1378">
        <f>ROUND(TTrainingSource[[#This Row],[Satisfaction_Score2]],0)</f>
        <v>4</v>
      </c>
      <c r="N1378">
        <v>4.0999999999999996</v>
      </c>
    </row>
    <row r="1379" spans="1:14" x14ac:dyDescent="0.3">
      <c r="A1379" t="s">
        <v>144</v>
      </c>
      <c r="B1379" t="str">
        <f>TRIM(TTrainingSource[[#This Row],[EMPloyee_ID2]])</f>
        <v>EMP10687</v>
      </c>
      <c r="C1379" t="str">
        <f>IFERROR(VLOOKUP(TTrainingSource[[#This Row],[Employee_ID]],THrList[],3,FALSE),"")</f>
        <v>LOPEZ</v>
      </c>
      <c r="D1379" t="str">
        <f>IFERROR(VLOOKUP(TTrainingSource[[#This Row],[Employee_ID]],THrList[],4,FALSE),"")</f>
        <v>Ethan</v>
      </c>
      <c r="E1379" t="str">
        <f>IFERROR(VLOOKUP(TTrainingSource[[#This Row],[Employee_ID]],THrList[],10,FALSE),"")</f>
        <v>Sales</v>
      </c>
      <c r="F1379" t="str">
        <f>TRIM(PROPER(TTrainingSource[[#This Row],[Training_Status2]]))</f>
        <v>Completed</v>
      </c>
      <c r="G1379" t="s">
        <v>17</v>
      </c>
      <c r="H1379" t="str">
        <f>TRIM(PROPER(TTrainingSource[[#This Row],[Training_Title2]]))</f>
        <v>Sql For Data Analytics</v>
      </c>
      <c r="I1379" t="s">
        <v>26</v>
      </c>
      <c r="J1379" s="1">
        <v>45701</v>
      </c>
      <c r="K1379" t="s">
        <v>46</v>
      </c>
      <c r="L1379" s="7">
        <v>24</v>
      </c>
      <c r="M1379">
        <f>ROUND(TTrainingSource[[#This Row],[Satisfaction_Score2]],0)</f>
        <v>5</v>
      </c>
      <c r="N1379">
        <v>4.5</v>
      </c>
    </row>
    <row r="1380" spans="1:14" x14ac:dyDescent="0.3">
      <c r="A1380" t="s">
        <v>744</v>
      </c>
      <c r="B1380" t="str">
        <f>TRIM(TTrainingSource[[#This Row],[EMPloyee_ID2]])</f>
        <v>EMP10687</v>
      </c>
      <c r="C1380" t="str">
        <f>IFERROR(VLOOKUP(TTrainingSource[[#This Row],[Employee_ID]],THrList[],3,FALSE),"")</f>
        <v>LOPEZ</v>
      </c>
      <c r="D1380" t="str">
        <f>IFERROR(VLOOKUP(TTrainingSource[[#This Row],[Employee_ID]],THrList[],4,FALSE),"")</f>
        <v>Ethan</v>
      </c>
      <c r="E1380" t="str">
        <f>IFERROR(VLOOKUP(TTrainingSource[[#This Row],[Employee_ID]],THrList[],10,FALSE),"")</f>
        <v>Sales</v>
      </c>
      <c r="F1380" t="str">
        <f>TRIM(PROPER(TTrainingSource[[#This Row],[Training_Status2]]))</f>
        <v>Completed</v>
      </c>
      <c r="G1380" t="s">
        <v>17</v>
      </c>
      <c r="H1380" t="str">
        <f>TRIM(PROPER(TTrainingSource[[#This Row],[Training_Title2]]))</f>
        <v>Communication For Analysts</v>
      </c>
      <c r="I1380" t="s">
        <v>401</v>
      </c>
      <c r="J1380" s="1">
        <v>45054</v>
      </c>
      <c r="K1380" t="s">
        <v>132</v>
      </c>
      <c r="L1380" s="7">
        <v>8</v>
      </c>
      <c r="M1380">
        <f>ROUND(TTrainingSource[[#This Row],[Satisfaction_Score2]],0)</f>
        <v>4</v>
      </c>
      <c r="N1380">
        <v>4.2</v>
      </c>
    </row>
    <row r="1381" spans="1:14" x14ac:dyDescent="0.3">
      <c r="A1381" t="s">
        <v>478</v>
      </c>
      <c r="B1381" t="str">
        <f>TRIM(TTrainingSource[[#This Row],[EMPloyee_ID2]])</f>
        <v>EMP10689</v>
      </c>
      <c r="C1381" t="str">
        <f>IFERROR(VLOOKUP(TTrainingSource[[#This Row],[Employee_ID]],THrList[],3,FALSE),"")</f>
        <v>TOURE</v>
      </c>
      <c r="D1381" t="str">
        <f>IFERROR(VLOOKUP(TTrainingSource[[#This Row],[Employee_ID]],THrList[],4,FALSE),"")</f>
        <v>Hassan</v>
      </c>
      <c r="E1381" t="str">
        <f>IFERROR(VLOOKUP(TTrainingSource[[#This Row],[Employee_ID]],THrList[],10,FALSE),"")</f>
        <v>Marketing</v>
      </c>
      <c r="F1381" t="str">
        <f>TRIM(PROPER(TTrainingSource[[#This Row],[Training_Status2]]))</f>
        <v>In Progress</v>
      </c>
      <c r="G1381" t="s">
        <v>8</v>
      </c>
      <c r="H1381" t="str">
        <f>TRIM(PROPER(TTrainingSource[[#This Row],[Training_Title2]]))</f>
        <v>Project Management Essentials</v>
      </c>
      <c r="I1381" t="s">
        <v>14</v>
      </c>
      <c r="J1381" s="1">
        <v>45407</v>
      </c>
      <c r="K1381" t="s">
        <v>1072</v>
      </c>
      <c r="L1381" s="7">
        <v>24</v>
      </c>
      <c r="M1381">
        <f>ROUND(TTrainingSource[[#This Row],[Satisfaction_Score2]],0)</f>
        <v>5</v>
      </c>
      <c r="N1381">
        <v>4.7</v>
      </c>
    </row>
    <row r="1382" spans="1:14" x14ac:dyDescent="0.3">
      <c r="A1382" t="s">
        <v>588</v>
      </c>
      <c r="B1382" t="str">
        <f>TRIM(TTrainingSource[[#This Row],[EMPloyee_ID2]])</f>
        <v>EMP10689</v>
      </c>
      <c r="C1382" t="str">
        <f>IFERROR(VLOOKUP(TTrainingSource[[#This Row],[Employee_ID]],THrList[],3,FALSE),"")</f>
        <v>TOURE</v>
      </c>
      <c r="D1382" t="str">
        <f>IFERROR(VLOOKUP(TTrainingSource[[#This Row],[Employee_ID]],THrList[],4,FALSE),"")</f>
        <v>Hassan</v>
      </c>
      <c r="E1382" t="str">
        <f>IFERROR(VLOOKUP(TTrainingSource[[#This Row],[Employee_ID]],THrList[],10,FALSE),"")</f>
        <v>Marketing</v>
      </c>
      <c r="F1382" t="str">
        <f>TRIM(PROPER(TTrainingSource[[#This Row],[Training_Status2]]))</f>
        <v>In Progress</v>
      </c>
      <c r="G1382" t="s">
        <v>8</v>
      </c>
      <c r="H1382" t="str">
        <f>TRIM(PROPER(TTrainingSource[[#This Row],[Training_Title2]]))</f>
        <v>Communication For Analysts</v>
      </c>
      <c r="I1382" t="s">
        <v>297</v>
      </c>
      <c r="J1382" s="1">
        <v>44984</v>
      </c>
      <c r="K1382" t="s">
        <v>44</v>
      </c>
      <c r="L1382" s="7">
        <v>6</v>
      </c>
      <c r="M1382">
        <f>ROUND(TTrainingSource[[#This Row],[Satisfaction_Score2]],0)</f>
        <v>5</v>
      </c>
      <c r="N1382">
        <v>4.8</v>
      </c>
    </row>
    <row r="1383" spans="1:14" x14ac:dyDescent="0.3">
      <c r="A1383" t="s">
        <v>588</v>
      </c>
      <c r="B1383" t="str">
        <f>TRIM(TTrainingSource[[#This Row],[EMPloyee_ID2]])</f>
        <v>EMP10689</v>
      </c>
      <c r="C1383" t="str">
        <f>IFERROR(VLOOKUP(TTrainingSource[[#This Row],[Employee_ID]],THrList[],3,FALSE),"")</f>
        <v>TOURE</v>
      </c>
      <c r="D1383" t="str">
        <f>IFERROR(VLOOKUP(TTrainingSource[[#This Row],[Employee_ID]],THrList[],4,FALSE),"")</f>
        <v>Hassan</v>
      </c>
      <c r="E1383" t="str">
        <f>IFERROR(VLOOKUP(TTrainingSource[[#This Row],[Employee_ID]],THrList[],10,FALSE),"")</f>
        <v>Marketing</v>
      </c>
      <c r="F1383" t="str">
        <f>TRIM(PROPER(TTrainingSource[[#This Row],[Training_Status2]]))</f>
        <v>Completed</v>
      </c>
      <c r="G1383" t="s">
        <v>17</v>
      </c>
      <c r="H1383" t="str">
        <f>TRIM(PROPER(TTrainingSource[[#This Row],[Training_Title2]]))</f>
        <v>Communication For Analysts</v>
      </c>
      <c r="I1383" t="s">
        <v>28</v>
      </c>
      <c r="J1383" s="1">
        <v>44725</v>
      </c>
      <c r="K1383" t="s">
        <v>98</v>
      </c>
      <c r="L1383" s="7">
        <v>20</v>
      </c>
      <c r="M1383">
        <f>ROUND(TTrainingSource[[#This Row],[Satisfaction_Score2]],0)</f>
        <v>4</v>
      </c>
      <c r="N1383">
        <v>4</v>
      </c>
    </row>
    <row r="1384" spans="1:14" x14ac:dyDescent="0.3">
      <c r="A1384" t="s">
        <v>157</v>
      </c>
      <c r="B1384" t="str">
        <f>TRIM(TTrainingSource[[#This Row],[EMPloyee_ID2]])</f>
        <v>EMP10690</v>
      </c>
      <c r="C1384" t="str">
        <f>IFERROR(VLOOKUP(TTrainingSource[[#This Row],[Employee_ID]],THrList[],3,FALSE),"")</f>
        <v>MILLER</v>
      </c>
      <c r="D1384" t="str">
        <f>IFERROR(VLOOKUP(TTrainingSource[[#This Row],[Employee_ID]],THrList[],4,FALSE),"")</f>
        <v>Liam</v>
      </c>
      <c r="E1384" t="str">
        <f>IFERROR(VLOOKUP(TTrainingSource[[#This Row],[Employee_ID]],THrList[],10,FALSE),"")</f>
        <v>Sales</v>
      </c>
      <c r="F1384" t="str">
        <f>TRIM(PROPER(TTrainingSource[[#This Row],[Training_Status2]]))</f>
        <v>Completed</v>
      </c>
      <c r="G1384" t="s">
        <v>17</v>
      </c>
      <c r="H1384" t="str">
        <f>TRIM(PROPER(TTrainingSource[[#This Row],[Training_Title2]]))</f>
        <v>Sql For Data Analytics</v>
      </c>
      <c r="I1384" t="s">
        <v>26</v>
      </c>
      <c r="J1384" s="1">
        <v>45498</v>
      </c>
      <c r="K1384" t="s">
        <v>46</v>
      </c>
      <c r="L1384" s="7">
        <v>24</v>
      </c>
      <c r="M1384">
        <f>ROUND(TTrainingSource[[#This Row],[Satisfaction_Score2]],0)</f>
        <v>5</v>
      </c>
      <c r="N1384">
        <v>4.7</v>
      </c>
    </row>
    <row r="1385" spans="1:14" x14ac:dyDescent="0.3">
      <c r="A1385" t="s">
        <v>157</v>
      </c>
      <c r="B1385" t="str">
        <f>TRIM(TTrainingSource[[#This Row],[EMPloyee_ID2]])</f>
        <v>EMP10690</v>
      </c>
      <c r="C1385" t="str">
        <f>IFERROR(VLOOKUP(TTrainingSource[[#This Row],[Employee_ID]],THrList[],3,FALSE),"")</f>
        <v>MILLER</v>
      </c>
      <c r="D1385" t="str">
        <f>IFERROR(VLOOKUP(TTrainingSource[[#This Row],[Employee_ID]],THrList[],4,FALSE),"")</f>
        <v>Liam</v>
      </c>
      <c r="E1385" t="str">
        <f>IFERROR(VLOOKUP(TTrainingSource[[#This Row],[Employee_ID]],THrList[],10,FALSE),"")</f>
        <v>Sales</v>
      </c>
      <c r="F1385" t="str">
        <f>TRIM(PROPER(TTrainingSource[[#This Row],[Training_Status2]]))</f>
        <v>Completed</v>
      </c>
      <c r="G1385" t="s">
        <v>17</v>
      </c>
      <c r="H1385" t="str">
        <f>TRIM(PROPER(TTrainingSource[[#This Row],[Training_Title2]]))</f>
        <v>Data Visualization Best Practices</v>
      </c>
      <c r="I1385" t="s">
        <v>151</v>
      </c>
      <c r="J1385" s="1">
        <v>45233</v>
      </c>
      <c r="K1385" t="s">
        <v>32</v>
      </c>
      <c r="L1385" s="7">
        <v>12</v>
      </c>
      <c r="M1385">
        <f>ROUND(TTrainingSource[[#This Row],[Satisfaction_Score2]],0)</f>
        <v>4</v>
      </c>
      <c r="N1385">
        <v>4.0999999999999996</v>
      </c>
    </row>
    <row r="1386" spans="1:14" x14ac:dyDescent="0.3">
      <c r="A1386" t="s">
        <v>707</v>
      </c>
      <c r="B1386" t="str">
        <f>TRIM(TTrainingSource[[#This Row],[EMPloyee_ID2]])</f>
        <v>EMP10690</v>
      </c>
      <c r="C1386" t="str">
        <f>IFERROR(VLOOKUP(TTrainingSource[[#This Row],[Employee_ID]],THrList[],3,FALSE),"")</f>
        <v>MILLER</v>
      </c>
      <c r="D1386" t="str">
        <f>IFERROR(VLOOKUP(TTrainingSource[[#This Row],[Employee_ID]],THrList[],4,FALSE),"")</f>
        <v>Liam</v>
      </c>
      <c r="E1386" t="str">
        <f>IFERROR(VLOOKUP(TTrainingSource[[#This Row],[Employee_ID]],THrList[],10,FALSE),"")</f>
        <v>Sales</v>
      </c>
      <c r="F1386" t="str">
        <f>TRIM(PROPER(TTrainingSource[[#This Row],[Training_Status2]]))</f>
        <v>Planned</v>
      </c>
      <c r="G1386" t="s">
        <v>10</v>
      </c>
      <c r="H1386" t="str">
        <f>TRIM(PROPER(TTrainingSource[[#This Row],[Training_Title2]]))</f>
        <v>Data Visualization Best Practices</v>
      </c>
      <c r="I1386" t="s">
        <v>20</v>
      </c>
      <c r="J1386" s="1">
        <v>45711</v>
      </c>
      <c r="K1386" t="s">
        <v>44</v>
      </c>
      <c r="L1386" s="7">
        <v>32</v>
      </c>
      <c r="M1386">
        <f>ROUND(TTrainingSource[[#This Row],[Satisfaction_Score2]],0)</f>
        <v>4</v>
      </c>
      <c r="N1386">
        <v>3.8</v>
      </c>
    </row>
    <row r="1387" spans="1:14" x14ac:dyDescent="0.3">
      <c r="A1387" t="s">
        <v>379</v>
      </c>
      <c r="B1387" t="str">
        <f>TRIM(TTrainingSource[[#This Row],[EMPloyee_ID2]])</f>
        <v>EMP10691</v>
      </c>
      <c r="C1387" t="str">
        <f>IFERROR(VLOOKUP(TTrainingSource[[#This Row],[Employee_ID]],THrList[],3,FALSE),"")</f>
        <v>LEROY</v>
      </c>
      <c r="D1387" t="str">
        <f>IFERROR(VLOOKUP(TTrainingSource[[#This Row],[Employee_ID]],THrList[],4,FALSE),"")</f>
        <v>Akosua</v>
      </c>
      <c r="E1387" t="str">
        <f>IFERROR(VLOOKUP(TTrainingSource[[#This Row],[Employee_ID]],THrList[],10,FALSE),"")</f>
        <v>Operations</v>
      </c>
      <c r="F1387" t="str">
        <f>TRIM(PROPER(TTrainingSource[[#This Row],[Training_Status2]]))</f>
        <v>Completed</v>
      </c>
      <c r="G1387" t="s">
        <v>17</v>
      </c>
      <c r="H1387" t="str">
        <f>TRIM(PROPER(TTrainingSource[[#This Row],[Training_Title2]]))</f>
        <v>Advanced Excel For Business</v>
      </c>
      <c r="I1387" t="s">
        <v>346</v>
      </c>
      <c r="J1387" s="1">
        <v>45164</v>
      </c>
      <c r="K1387" t="s">
        <v>29</v>
      </c>
      <c r="L1387" s="7">
        <v>40</v>
      </c>
      <c r="M1387">
        <f>ROUND(TTrainingSource[[#This Row],[Satisfaction_Score2]],0)</f>
        <v>5</v>
      </c>
      <c r="N1387">
        <v>5</v>
      </c>
    </row>
    <row r="1388" spans="1:14" x14ac:dyDescent="0.3">
      <c r="A1388" t="s">
        <v>379</v>
      </c>
      <c r="B1388" t="str">
        <f>TRIM(TTrainingSource[[#This Row],[EMPloyee_ID2]])</f>
        <v>EMP10691</v>
      </c>
      <c r="C1388" t="str">
        <f>IFERROR(VLOOKUP(TTrainingSource[[#This Row],[Employee_ID]],THrList[],3,FALSE),"")</f>
        <v>LEROY</v>
      </c>
      <c r="D1388" t="str">
        <f>IFERROR(VLOOKUP(TTrainingSource[[#This Row],[Employee_ID]],THrList[],4,FALSE),"")</f>
        <v>Akosua</v>
      </c>
      <c r="E1388" t="str">
        <f>IFERROR(VLOOKUP(TTrainingSource[[#This Row],[Employee_ID]],THrList[],10,FALSE),"")</f>
        <v>Operations</v>
      </c>
      <c r="F1388" t="str">
        <f>TRIM(PROPER(TTrainingSource[[#This Row],[Training_Status2]]))</f>
        <v>Completed</v>
      </c>
      <c r="G1388" t="s">
        <v>17</v>
      </c>
      <c r="H1388" t="str">
        <f>TRIM(PROPER(TTrainingSource[[#This Row],[Training_Title2]]))</f>
        <v>Project Management Essentials</v>
      </c>
      <c r="I1388" t="s">
        <v>14</v>
      </c>
      <c r="J1388" s="1">
        <v>45399</v>
      </c>
      <c r="K1388" t="s">
        <v>71</v>
      </c>
      <c r="L1388" s="7">
        <v>6</v>
      </c>
      <c r="M1388">
        <f>ROUND(TTrainingSource[[#This Row],[Satisfaction_Score2]],0)</f>
        <v>4</v>
      </c>
      <c r="N1388">
        <v>4.4000000000000004</v>
      </c>
    </row>
    <row r="1389" spans="1:14" x14ac:dyDescent="0.3">
      <c r="A1389" t="s">
        <v>1066</v>
      </c>
      <c r="B1389" t="str">
        <f>TRIM(TTrainingSource[[#This Row],[EMPloyee_ID2]])</f>
        <v>EMP10692</v>
      </c>
      <c r="C1389" t="str">
        <f>IFERROR(VLOOKUP(TTrainingSource[[#This Row],[Employee_ID]],THrList[],3,FALSE),"")</f>
        <v>CAMARA</v>
      </c>
      <c r="D1389" t="str">
        <f>IFERROR(VLOOKUP(TTrainingSource[[#This Row],[Employee_ID]],THrList[],4,FALSE),"")</f>
        <v>Layla</v>
      </c>
      <c r="E1389" t="str">
        <f>IFERROR(VLOOKUP(TTrainingSource[[#This Row],[Employee_ID]],THrList[],10,FALSE),"")</f>
        <v>Human Resources</v>
      </c>
      <c r="F1389" t="str">
        <f>TRIM(PROPER(TTrainingSource[[#This Row],[Training_Status2]]))</f>
        <v>Planned</v>
      </c>
      <c r="G1389" t="s">
        <v>19</v>
      </c>
      <c r="H1389" t="str">
        <f>TRIM(PROPER(TTrainingSource[[#This Row],[Training_Title2]]))</f>
        <v>Sql For Data Analytics</v>
      </c>
      <c r="I1389" t="s">
        <v>26</v>
      </c>
      <c r="J1389" s="1">
        <v>45559</v>
      </c>
      <c r="K1389" t="s">
        <v>12</v>
      </c>
      <c r="L1389" s="7">
        <v>6</v>
      </c>
      <c r="M1389">
        <f>ROUND(TTrainingSource[[#This Row],[Satisfaction_Score2]],0)</f>
        <v>3</v>
      </c>
      <c r="N1389">
        <v>3.3</v>
      </c>
    </row>
    <row r="1390" spans="1:14" x14ac:dyDescent="0.3">
      <c r="A1390" t="s">
        <v>343</v>
      </c>
      <c r="B1390" t="str">
        <f>TRIM(TTrainingSource[[#This Row],[EMPloyee_ID2]])</f>
        <v>EMP10693</v>
      </c>
      <c r="C1390" t="str">
        <f>IFERROR(VLOOKUP(TTrainingSource[[#This Row],[Employee_ID]],THrList[],3,FALSE),"")</f>
        <v>RODRIGUEZ</v>
      </c>
      <c r="D1390" t="str">
        <f>IFERROR(VLOOKUP(TTrainingSource[[#This Row],[Employee_ID]],THrList[],4,FALSE),"")</f>
        <v>Amelia</v>
      </c>
      <c r="E1390" t="str">
        <f>IFERROR(VLOOKUP(TTrainingSource[[#This Row],[Employee_ID]],THrList[],10,FALSE),"")</f>
        <v>Procurement</v>
      </c>
      <c r="F1390" t="str">
        <f>TRIM(PROPER(TTrainingSource[[#This Row],[Training_Status2]]))</f>
        <v>Completed</v>
      </c>
      <c r="G1390" t="s">
        <v>17</v>
      </c>
      <c r="H1390" t="str">
        <f>TRIM(PROPER(TTrainingSource[[#This Row],[Training_Title2]]))</f>
        <v>Advanced Excel For Business</v>
      </c>
      <c r="I1390" t="s">
        <v>52</v>
      </c>
      <c r="J1390" s="1">
        <v>45594</v>
      </c>
      <c r="K1390" t="s">
        <v>1072</v>
      </c>
      <c r="L1390" s="7">
        <v>40</v>
      </c>
      <c r="M1390">
        <f>ROUND(TTrainingSource[[#This Row],[Satisfaction_Score2]],0)</f>
        <v>4</v>
      </c>
      <c r="N1390">
        <v>3.9</v>
      </c>
    </row>
    <row r="1391" spans="1:14" x14ac:dyDescent="0.3">
      <c r="A1391" t="s">
        <v>139</v>
      </c>
      <c r="B1391" t="str">
        <f>TRIM(TTrainingSource[[#This Row],[EMPloyee_ID2]])</f>
        <v>EMP10694</v>
      </c>
      <c r="C1391" t="str">
        <f>IFERROR(VLOOKUP(TTrainingSource[[#This Row],[Employee_ID]],THrList[],3,FALSE),"")</f>
        <v>ROUSSEAU</v>
      </c>
      <c r="D1391" t="str">
        <f>IFERROR(VLOOKUP(TTrainingSource[[#This Row],[Employee_ID]],THrList[],4,FALSE),"")</f>
        <v>Liam</v>
      </c>
      <c r="E1391" t="str">
        <f>IFERROR(VLOOKUP(TTrainingSource[[#This Row],[Employee_ID]],THrList[],10,FALSE),"")</f>
        <v>Finance</v>
      </c>
      <c r="F1391" t="str">
        <f>TRIM(PROPER(TTrainingSource[[#This Row],[Training_Status2]]))</f>
        <v>In Progress</v>
      </c>
      <c r="G1391" t="s">
        <v>8</v>
      </c>
      <c r="H1391" t="str">
        <f>TRIM(PROPER(TTrainingSource[[#This Row],[Training_Title2]]))</f>
        <v>Advanced Excel For Business</v>
      </c>
      <c r="I1391" t="s">
        <v>52</v>
      </c>
      <c r="J1391" s="1">
        <v>45695</v>
      </c>
      <c r="K1391" t="s">
        <v>42</v>
      </c>
      <c r="L1391" s="7">
        <v>0</v>
      </c>
      <c r="M1391">
        <f>ROUND(TTrainingSource[[#This Row],[Satisfaction_Score2]],0)</f>
        <v>3</v>
      </c>
      <c r="N1391">
        <v>2.9</v>
      </c>
    </row>
    <row r="1392" spans="1:14" x14ac:dyDescent="0.3">
      <c r="A1392" t="s">
        <v>776</v>
      </c>
      <c r="B1392" t="str">
        <f>TRIM(TTrainingSource[[#This Row],[EMPloyee_ID2]])</f>
        <v>EMP10695</v>
      </c>
      <c r="C1392" t="str">
        <f>IFERROR(VLOOKUP(TTrainingSource[[#This Row],[Employee_ID]],THrList[],3,FALSE),"")</f>
        <v>LAURENT</v>
      </c>
      <c r="D1392" t="str">
        <f>IFERROR(VLOOKUP(TTrainingSource[[#This Row],[Employee_ID]],THrList[],4,FALSE),"")</f>
        <v>Olivia</v>
      </c>
      <c r="E1392" t="str">
        <f>IFERROR(VLOOKUP(TTrainingSource[[#This Row],[Employee_ID]],THrList[],10,FALSE),"")</f>
        <v>Customer Support</v>
      </c>
      <c r="F1392" t="str">
        <f>TRIM(PROPER(TTrainingSource[[#This Row],[Training_Status2]]))</f>
        <v>Planned</v>
      </c>
      <c r="G1392" t="s">
        <v>19</v>
      </c>
      <c r="H1392" t="str">
        <f>TRIM(PROPER(TTrainingSource[[#This Row],[Training_Title2]]))</f>
        <v>Customer Data Analysis</v>
      </c>
      <c r="I1392" t="s">
        <v>491</v>
      </c>
      <c r="J1392" s="1">
        <v>44730</v>
      </c>
      <c r="K1392" t="s">
        <v>29</v>
      </c>
      <c r="L1392" s="7">
        <v>24</v>
      </c>
      <c r="M1392">
        <f>ROUND(TTrainingSource[[#This Row],[Satisfaction_Score2]],0)</f>
        <v>5</v>
      </c>
      <c r="N1392">
        <v>4.9000000000000004</v>
      </c>
    </row>
    <row r="1393" spans="1:14" x14ac:dyDescent="0.3">
      <c r="A1393" t="s">
        <v>666</v>
      </c>
      <c r="B1393" t="str">
        <f>TRIM(TTrainingSource[[#This Row],[EMPloyee_ID2]])</f>
        <v>EMP10696</v>
      </c>
      <c r="C1393" t="str">
        <f>IFERROR(VLOOKUP(TTrainingSource[[#This Row],[Employee_ID]],THrList[],3,FALSE),"")</f>
        <v>MOORE</v>
      </c>
      <c r="D1393" t="str">
        <f>IFERROR(VLOOKUP(TTrainingSource[[#This Row],[Employee_ID]],THrList[],4,FALSE),"")</f>
        <v>Antoine</v>
      </c>
      <c r="E1393" t="str">
        <f>IFERROR(VLOOKUP(TTrainingSource[[#This Row],[Employee_ID]],THrList[],10,FALSE),"")</f>
        <v>Finance</v>
      </c>
      <c r="F1393" t="str">
        <f>TRIM(PROPER(TTrainingSource[[#This Row],[Training_Status2]]))</f>
        <v>Completed</v>
      </c>
      <c r="G1393" t="s">
        <v>17</v>
      </c>
      <c r="H1393" t="str">
        <f>TRIM(PROPER(TTrainingSource[[#This Row],[Training_Title2]]))</f>
        <v>Sql For Data Analytics</v>
      </c>
      <c r="I1393" t="s">
        <v>26</v>
      </c>
      <c r="J1393" s="1">
        <v>44925</v>
      </c>
      <c r="K1393" t="s">
        <v>32</v>
      </c>
      <c r="L1393" s="7">
        <v>40</v>
      </c>
      <c r="M1393">
        <f>ROUND(TTrainingSource[[#This Row],[Satisfaction_Score2]],0)</f>
        <v>4</v>
      </c>
      <c r="N1393">
        <v>4.3</v>
      </c>
    </row>
    <row r="1394" spans="1:14" x14ac:dyDescent="0.3">
      <c r="A1394" t="s">
        <v>489</v>
      </c>
      <c r="B1394" t="str">
        <f>TRIM(TTrainingSource[[#This Row],[EMPloyee_ID2]])</f>
        <v>EMP10697</v>
      </c>
      <c r="C1394" t="str">
        <f>IFERROR(VLOOKUP(TTrainingSource[[#This Row],[Employee_ID]],THrList[],3,FALSE),"")</f>
        <v>BALDE</v>
      </c>
      <c r="D1394" t="str">
        <f>IFERROR(VLOOKUP(TTrainingSource[[#This Row],[Employee_ID]],THrList[],4,FALSE),"")</f>
        <v>Omar</v>
      </c>
      <c r="E1394" t="str">
        <f>IFERROR(VLOOKUP(TTrainingSource[[#This Row],[Employee_ID]],THrList[],10,FALSE),"")</f>
        <v>Finance</v>
      </c>
      <c r="F1394" t="str">
        <f>TRIM(PROPER(TTrainingSource[[#This Row],[Training_Status2]]))</f>
        <v>Completed</v>
      </c>
      <c r="G1394" t="s">
        <v>17</v>
      </c>
      <c r="H1394" t="str">
        <f>TRIM(PROPER(TTrainingSource[[#This Row],[Training_Title2]]))</f>
        <v>Business Intelligence With Tableau</v>
      </c>
      <c r="I1394" t="s">
        <v>22</v>
      </c>
      <c r="J1394" s="1">
        <v>45167</v>
      </c>
      <c r="K1394" t="s">
        <v>44</v>
      </c>
      <c r="L1394" s="7">
        <v>20</v>
      </c>
      <c r="M1394">
        <f>ROUND(TTrainingSource[[#This Row],[Satisfaction_Score2]],0)</f>
        <v>4</v>
      </c>
      <c r="N1394">
        <v>4.0999999999999996</v>
      </c>
    </row>
    <row r="1395" spans="1:14" x14ac:dyDescent="0.3">
      <c r="A1395" t="s">
        <v>489</v>
      </c>
      <c r="B1395" t="str">
        <f>TRIM(TTrainingSource[[#This Row],[EMPloyee_ID2]])</f>
        <v>EMP10697</v>
      </c>
      <c r="C1395" t="str">
        <f>IFERROR(VLOOKUP(TTrainingSource[[#This Row],[Employee_ID]],THrList[],3,FALSE),"")</f>
        <v>BALDE</v>
      </c>
      <c r="D1395" t="str">
        <f>IFERROR(VLOOKUP(TTrainingSource[[#This Row],[Employee_ID]],THrList[],4,FALSE),"")</f>
        <v>Omar</v>
      </c>
      <c r="E1395" t="str">
        <f>IFERROR(VLOOKUP(TTrainingSource[[#This Row],[Employee_ID]],THrList[],10,FALSE),"")</f>
        <v>Finance</v>
      </c>
      <c r="F1395" t="str">
        <f>TRIM(PROPER(TTrainingSource[[#This Row],[Training_Status2]]))</f>
        <v>Completed</v>
      </c>
      <c r="G1395" t="s">
        <v>17</v>
      </c>
      <c r="H1395" t="str">
        <f>TRIM(PROPER(TTrainingSource[[#This Row],[Training_Title2]]))</f>
        <v>Communication For Analysts</v>
      </c>
      <c r="I1395" t="s">
        <v>28</v>
      </c>
      <c r="J1395" s="1">
        <v>45269</v>
      </c>
      <c r="K1395" t="s">
        <v>46</v>
      </c>
      <c r="L1395" s="7">
        <v>16</v>
      </c>
      <c r="M1395">
        <f>ROUND(TTrainingSource[[#This Row],[Satisfaction_Score2]],0)</f>
        <v>3</v>
      </c>
      <c r="N1395">
        <v>2.6</v>
      </c>
    </row>
    <row r="1396" spans="1:14" x14ac:dyDescent="0.3">
      <c r="A1396" t="s">
        <v>303</v>
      </c>
      <c r="B1396" t="str">
        <f>TRIM(TTrainingSource[[#This Row],[EMPloyee_ID2]])</f>
        <v>EMP10698</v>
      </c>
      <c r="C1396" t="str">
        <f>IFERROR(VLOOKUP(TTrainingSource[[#This Row],[Employee_ID]],THrList[],3,FALSE),"")</f>
        <v>LEFEVRE</v>
      </c>
      <c r="D1396" t="str">
        <f>IFERROR(VLOOKUP(TTrainingSource[[#This Row],[Employee_ID]],THrList[],4,FALSE),"")</f>
        <v>Sophie</v>
      </c>
      <c r="E1396" t="str">
        <f>IFERROR(VLOOKUP(TTrainingSource[[#This Row],[Employee_ID]],THrList[],10,FALSE),"")</f>
        <v>Human Resources</v>
      </c>
      <c r="F1396" t="str">
        <f>TRIM(PROPER(TTrainingSource[[#This Row],[Training_Status2]]))</f>
        <v>Completed</v>
      </c>
      <c r="G1396" t="s">
        <v>17</v>
      </c>
      <c r="H1396" t="str">
        <f>TRIM(PROPER(TTrainingSource[[#This Row],[Training_Title2]]))</f>
        <v>Advanced Excel For Business</v>
      </c>
      <c r="I1396" t="s">
        <v>52</v>
      </c>
      <c r="J1396" s="1">
        <v>45118</v>
      </c>
      <c r="K1396" t="s">
        <v>44</v>
      </c>
      <c r="L1396" s="7">
        <v>24</v>
      </c>
      <c r="M1396">
        <f>ROUND(TTrainingSource[[#This Row],[Satisfaction_Score2]],0)</f>
        <v>3</v>
      </c>
      <c r="N1396">
        <v>3.1</v>
      </c>
    </row>
    <row r="1397" spans="1:14" x14ac:dyDescent="0.3">
      <c r="A1397" t="s">
        <v>303</v>
      </c>
      <c r="B1397" t="str">
        <f>TRIM(TTrainingSource[[#This Row],[EMPloyee_ID2]])</f>
        <v>EMP10698</v>
      </c>
      <c r="C1397" t="str">
        <f>IFERROR(VLOOKUP(TTrainingSource[[#This Row],[Employee_ID]],THrList[],3,FALSE),"")</f>
        <v>LEFEVRE</v>
      </c>
      <c r="D1397" t="str">
        <f>IFERROR(VLOOKUP(TTrainingSource[[#This Row],[Employee_ID]],THrList[],4,FALSE),"")</f>
        <v>Sophie</v>
      </c>
      <c r="E1397" t="str">
        <f>IFERROR(VLOOKUP(TTrainingSource[[#This Row],[Employee_ID]],THrList[],10,FALSE),"")</f>
        <v>Human Resources</v>
      </c>
      <c r="F1397" t="str">
        <f>TRIM(PROPER(TTrainingSource[[#This Row],[Training_Status2]]))</f>
        <v>Completed</v>
      </c>
      <c r="G1397" t="s">
        <v>17</v>
      </c>
      <c r="H1397" t="str">
        <f>TRIM(PROPER(TTrainingSource[[#This Row],[Training_Title2]]))</f>
        <v>Business Intelligence With Tableau</v>
      </c>
      <c r="I1397" t="s">
        <v>22</v>
      </c>
      <c r="J1397" s="1">
        <v>45357</v>
      </c>
      <c r="K1397" t="s">
        <v>44</v>
      </c>
      <c r="L1397" s="7">
        <v>8</v>
      </c>
      <c r="M1397">
        <f>ROUND(TTrainingSource[[#This Row],[Satisfaction_Score2]],0)</f>
        <v>3</v>
      </c>
      <c r="N1397">
        <v>2.9</v>
      </c>
    </row>
    <row r="1398" spans="1:14" x14ac:dyDescent="0.3">
      <c r="A1398" t="s">
        <v>303</v>
      </c>
      <c r="B1398" t="str">
        <f>TRIM(TTrainingSource[[#This Row],[EMPloyee_ID2]])</f>
        <v>EMP10698</v>
      </c>
      <c r="C1398" t="str">
        <f>IFERROR(VLOOKUP(TTrainingSource[[#This Row],[Employee_ID]],THrList[],3,FALSE),"")</f>
        <v>LEFEVRE</v>
      </c>
      <c r="D1398" t="str">
        <f>IFERROR(VLOOKUP(TTrainingSource[[#This Row],[Employee_ID]],THrList[],4,FALSE),"")</f>
        <v>Sophie</v>
      </c>
      <c r="E1398" t="str">
        <f>IFERROR(VLOOKUP(TTrainingSource[[#This Row],[Employee_ID]],THrList[],10,FALSE),"")</f>
        <v>Human Resources</v>
      </c>
      <c r="F1398" t="str">
        <f>TRIM(PROPER(TTrainingSource[[#This Row],[Training_Status2]]))</f>
        <v>In Progress</v>
      </c>
      <c r="G1398" t="s">
        <v>8</v>
      </c>
      <c r="H1398" t="str">
        <f>TRIM(PROPER(TTrainingSource[[#This Row],[Training_Title2]]))</f>
        <v>Introduction To Python For Data</v>
      </c>
      <c r="I1398" t="s">
        <v>467</v>
      </c>
      <c r="J1398" s="1">
        <v>45738</v>
      </c>
      <c r="K1398" t="s">
        <v>39</v>
      </c>
      <c r="L1398" s="7">
        <v>8</v>
      </c>
      <c r="M1398">
        <f>ROUND(TTrainingSource[[#This Row],[Satisfaction_Score2]],0)</f>
        <v>3</v>
      </c>
      <c r="N1398">
        <v>3.4</v>
      </c>
    </row>
    <row r="1399" spans="1:14" x14ac:dyDescent="0.3">
      <c r="A1399" t="s">
        <v>303</v>
      </c>
      <c r="B1399" t="str">
        <f>TRIM(TTrainingSource[[#This Row],[EMPloyee_ID2]])</f>
        <v>EMP10698</v>
      </c>
      <c r="C1399" t="str">
        <f>IFERROR(VLOOKUP(TTrainingSource[[#This Row],[Employee_ID]],THrList[],3,FALSE),"")</f>
        <v>LEFEVRE</v>
      </c>
      <c r="D1399" t="str">
        <f>IFERROR(VLOOKUP(TTrainingSource[[#This Row],[Employee_ID]],THrList[],4,FALSE),"")</f>
        <v>Sophie</v>
      </c>
      <c r="E1399" t="str">
        <f>IFERROR(VLOOKUP(TTrainingSource[[#This Row],[Employee_ID]],THrList[],10,FALSE),"")</f>
        <v>Human Resources</v>
      </c>
      <c r="F1399" t="str">
        <f>TRIM(PROPER(TTrainingSource[[#This Row],[Training_Status2]]))</f>
        <v>Completed</v>
      </c>
      <c r="G1399" t="s">
        <v>17</v>
      </c>
      <c r="H1399" t="str">
        <f>TRIM(PROPER(TTrainingSource[[#This Row],[Training_Title2]]))</f>
        <v>Introduction To Python For Data</v>
      </c>
      <c r="I1399" t="s">
        <v>62</v>
      </c>
      <c r="J1399" s="1">
        <v>44733</v>
      </c>
      <c r="K1399" t="s">
        <v>29</v>
      </c>
      <c r="L1399" s="7">
        <v>40</v>
      </c>
      <c r="M1399">
        <f>ROUND(TTrainingSource[[#This Row],[Satisfaction_Score2]],0)</f>
        <v>4</v>
      </c>
      <c r="N1399">
        <v>4.3</v>
      </c>
    </row>
    <row r="1400" spans="1:14" x14ac:dyDescent="0.3">
      <c r="A1400" t="s">
        <v>546</v>
      </c>
      <c r="B1400" t="str">
        <f>TRIM(TTrainingSource[[#This Row],[EMPloyee_ID2]])</f>
        <v>EMP10699</v>
      </c>
      <c r="C1400" t="str">
        <f>IFERROR(VLOOKUP(TTrainingSource[[#This Row],[Employee_ID]],THrList[],3,FALSE),"")</f>
        <v>RODRIGUEZ</v>
      </c>
      <c r="D1400" t="str">
        <f>IFERROR(VLOOKUP(TTrainingSource[[#This Row],[Employee_ID]],THrList[],4,FALSE),"")</f>
        <v>Hassan</v>
      </c>
      <c r="E1400" t="str">
        <f>IFERROR(VLOOKUP(TTrainingSource[[#This Row],[Employee_ID]],THrList[],10,FALSE),"")</f>
        <v>Operations</v>
      </c>
      <c r="F1400" t="str">
        <f>TRIM(PROPER(TTrainingSource[[#This Row],[Training_Status2]]))</f>
        <v>Completed</v>
      </c>
      <c r="G1400" t="s">
        <v>17</v>
      </c>
      <c r="H1400" t="str">
        <f>TRIM(PROPER(TTrainingSource[[#This Row],[Training_Title2]]))</f>
        <v>Communication For Analysts</v>
      </c>
      <c r="I1400" t="s">
        <v>28</v>
      </c>
      <c r="J1400" s="1">
        <v>44762</v>
      </c>
      <c r="K1400" t="s">
        <v>32</v>
      </c>
      <c r="L1400" s="7">
        <v>24</v>
      </c>
      <c r="M1400">
        <f>ROUND(TTrainingSource[[#This Row],[Satisfaction_Score2]],0)</f>
        <v>3</v>
      </c>
      <c r="N1400">
        <v>2.7</v>
      </c>
    </row>
    <row r="1401" spans="1:14" x14ac:dyDescent="0.3">
      <c r="A1401" t="s">
        <v>633</v>
      </c>
      <c r="B1401" t="str">
        <f>TRIM(TTrainingSource[[#This Row],[EMPloyee_ID2]])</f>
        <v>EMP10699</v>
      </c>
      <c r="C1401" t="str">
        <f>IFERROR(VLOOKUP(TTrainingSource[[#This Row],[Employee_ID]],THrList[],3,FALSE),"")</f>
        <v>RODRIGUEZ</v>
      </c>
      <c r="D1401" t="str">
        <f>IFERROR(VLOOKUP(TTrainingSource[[#This Row],[Employee_ID]],THrList[],4,FALSE),"")</f>
        <v>Hassan</v>
      </c>
      <c r="E1401" t="str">
        <f>IFERROR(VLOOKUP(TTrainingSource[[#This Row],[Employee_ID]],THrList[],10,FALSE),"")</f>
        <v>Operations</v>
      </c>
      <c r="F1401" t="str">
        <f>TRIM(PROPER(TTrainingSource[[#This Row],[Training_Status2]]))</f>
        <v>Completed</v>
      </c>
      <c r="G1401" t="s">
        <v>69</v>
      </c>
      <c r="H1401" t="str">
        <f>TRIM(PROPER(TTrainingSource[[#This Row],[Training_Title2]]))</f>
        <v>Financial Modeling Basics</v>
      </c>
      <c r="I1401" t="s">
        <v>38</v>
      </c>
      <c r="J1401" s="1">
        <v>45420</v>
      </c>
      <c r="K1401" t="s">
        <v>42</v>
      </c>
      <c r="L1401" s="7">
        <v>6</v>
      </c>
      <c r="M1401">
        <f>ROUND(TTrainingSource[[#This Row],[Satisfaction_Score2]],0)</f>
        <v>3</v>
      </c>
      <c r="N1401">
        <v>2.8</v>
      </c>
    </row>
  </sheetData>
  <phoneticPr fontId="4" type="noConversion"/>
  <conditionalFormatting sqref="A2:N1401">
    <cfRule type="expression" dxfId="8549" priority="1">
      <formula>$M2=5</formula>
    </cfRule>
    <cfRule type="expression" dxfId="8548" priority="2">
      <formula>$M2&lt;=2</formula>
    </cfRule>
  </conditionalFormatting>
  <dataValidations count="6">
    <dataValidation type="list" allowBlank="1" showInputMessage="1" showErrorMessage="1" sqref="F2:F1401" xr:uid="{FAE127FA-04D2-458E-93CF-882E82F39660}">
      <formula1>ListTrainingStatus</formula1>
    </dataValidation>
    <dataValidation type="list" allowBlank="1" showInputMessage="1" showErrorMessage="1" sqref="H2:H1401" xr:uid="{12CAB0D5-CB32-497E-ABD0-D89D51AB8D62}">
      <formula1>ListTrainingTitle</formula1>
    </dataValidation>
    <dataValidation type="list" allowBlank="1" showInputMessage="1" showErrorMessage="1" sqref="K2:K1401" xr:uid="{7784EE61-4E9D-49DC-A98F-8692DF867B2A}">
      <formula1>ListTrainingProvider</formula1>
    </dataValidation>
    <dataValidation type="decimal" allowBlank="1" showInputMessage="1" showErrorMessage="1" sqref="N2:N1401" xr:uid="{18B1D3B5-F2E2-4326-9E52-3D7F7A4C6467}">
      <formula1>1</formula1>
      <formula2>5</formula2>
    </dataValidation>
    <dataValidation type="whole" allowBlank="1" showInputMessage="1" showErrorMessage="1" sqref="M2:M1401" xr:uid="{A3A57982-BE6E-467C-9658-15F20F9C8110}">
      <formula1>1</formula1>
      <formula2>5</formula2>
    </dataValidation>
    <dataValidation type="date" allowBlank="1" showInputMessage="1" showErrorMessage="1" sqref="J2:J1401" xr:uid="{53650E70-1316-4E9C-A78C-6E30EC5190A0}">
      <formula1>44197</formula1>
      <formula2>47848</formula2>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01"/>
  <sheetViews>
    <sheetView showGridLines="0" topLeftCell="A2" workbookViewId="0">
      <selection activeCell="F12" sqref="F12"/>
    </sheetView>
  </sheetViews>
  <sheetFormatPr defaultRowHeight="14.4" x14ac:dyDescent="0.3"/>
  <cols>
    <col min="1" max="1" width="14" customWidth="1"/>
    <col min="2" max="2" width="12.21875" hidden="1" customWidth="1"/>
    <col min="3" max="3" width="12.21875" customWidth="1"/>
    <col min="4" max="4" width="12.33203125" customWidth="1"/>
    <col min="5" max="5" width="9" customWidth="1"/>
    <col min="6" max="6" width="15.77734375" customWidth="1"/>
    <col min="8" max="8" width="11.109375" customWidth="1"/>
    <col min="9" max="9" width="19.88671875" customWidth="1"/>
    <col min="10" max="10" width="19.77734375" customWidth="1"/>
  </cols>
  <sheetData>
    <row r="1" spans="1:10" x14ac:dyDescent="0.3">
      <c r="A1" s="2" t="s">
        <v>0</v>
      </c>
      <c r="B1" s="2" t="s">
        <v>781</v>
      </c>
      <c r="C1" s="2" t="s">
        <v>1067</v>
      </c>
      <c r="D1" s="2" t="s">
        <v>782</v>
      </c>
      <c r="E1" s="2" t="s">
        <v>783</v>
      </c>
      <c r="F1" s="2" t="s">
        <v>784</v>
      </c>
      <c r="G1" s="2" t="s">
        <v>785</v>
      </c>
      <c r="H1" s="2" t="s">
        <v>786</v>
      </c>
      <c r="I1" s="2" t="s">
        <v>787</v>
      </c>
      <c r="J1" s="2" t="s">
        <v>788</v>
      </c>
    </row>
    <row r="2" spans="1:10" x14ac:dyDescent="0.3">
      <c r="A2" t="s">
        <v>642</v>
      </c>
      <c r="B2" t="s">
        <v>789</v>
      </c>
      <c r="C2" t="str">
        <f>UPPER(THrList[[#This Row],[Last_Name]])</f>
        <v>LEROY</v>
      </c>
      <c r="D2" t="s">
        <v>790</v>
      </c>
      <c r="E2" t="s">
        <v>791</v>
      </c>
      <c r="F2" s="1">
        <v>34182</v>
      </c>
      <c r="G2">
        <f ca="1">DATEDIF(THrList[[#This Row],[Date_of_Birth]],NOW(),"Y")</f>
        <v>32</v>
      </c>
      <c r="H2" t="s">
        <v>792</v>
      </c>
      <c r="I2" t="s">
        <v>793</v>
      </c>
      <c r="J2" t="s">
        <v>794</v>
      </c>
    </row>
    <row r="3" spans="1:10" x14ac:dyDescent="0.3">
      <c r="A3" t="s">
        <v>572</v>
      </c>
      <c r="B3" t="s">
        <v>795</v>
      </c>
      <c r="C3" t="str">
        <f>UPPER(THrList[[#This Row],[Last_Name]])</f>
        <v>GIRARD</v>
      </c>
      <c r="D3" t="s">
        <v>796</v>
      </c>
      <c r="E3" t="s">
        <v>797</v>
      </c>
      <c r="F3" s="1">
        <v>29461</v>
      </c>
      <c r="G3">
        <f ca="1">DATEDIF(THrList[[#This Row],[Date_of_Birth]],NOW(),"Y")</f>
        <v>45</v>
      </c>
      <c r="H3" t="s">
        <v>792</v>
      </c>
      <c r="I3" t="s">
        <v>798</v>
      </c>
      <c r="J3" t="s">
        <v>799</v>
      </c>
    </row>
    <row r="4" spans="1:10" x14ac:dyDescent="0.3">
      <c r="A4" t="s">
        <v>211</v>
      </c>
      <c r="B4" t="s">
        <v>800</v>
      </c>
      <c r="C4" t="str">
        <f>UPPER(THrList[[#This Row],[Last_Name]])</f>
        <v>JOHNSON</v>
      </c>
      <c r="D4" t="s">
        <v>801</v>
      </c>
      <c r="E4" t="s">
        <v>797</v>
      </c>
      <c r="F4" s="1">
        <v>29433</v>
      </c>
      <c r="G4">
        <f ca="1">DATEDIF(THrList[[#This Row],[Date_of_Birth]],NOW(),"Y")</f>
        <v>45</v>
      </c>
      <c r="H4" t="s">
        <v>792</v>
      </c>
      <c r="I4" t="s">
        <v>793</v>
      </c>
      <c r="J4" t="s">
        <v>794</v>
      </c>
    </row>
    <row r="5" spans="1:10" x14ac:dyDescent="0.3">
      <c r="A5" t="s">
        <v>684</v>
      </c>
      <c r="B5" t="s">
        <v>802</v>
      </c>
      <c r="C5" t="str">
        <f>UPPER(THrList[[#This Row],[Last_Name]])</f>
        <v>GARCIA</v>
      </c>
      <c r="D5" t="s">
        <v>790</v>
      </c>
      <c r="E5" t="s">
        <v>797</v>
      </c>
      <c r="F5" s="1">
        <v>25923</v>
      </c>
      <c r="G5">
        <f ca="1">DATEDIF(THrList[[#This Row],[Date_of_Birth]],NOW(),"Y")</f>
        <v>54</v>
      </c>
      <c r="H5" t="s">
        <v>792</v>
      </c>
      <c r="I5" t="s">
        <v>793</v>
      </c>
      <c r="J5" t="s">
        <v>803</v>
      </c>
    </row>
    <row r="6" spans="1:10" x14ac:dyDescent="0.3">
      <c r="A6" t="s">
        <v>310</v>
      </c>
      <c r="B6" t="s">
        <v>804</v>
      </c>
      <c r="C6" t="str">
        <f>UPPER(THrList[[#This Row],[Last_Name]])</f>
        <v>SMITH</v>
      </c>
      <c r="D6" t="s">
        <v>805</v>
      </c>
      <c r="E6" t="s">
        <v>791</v>
      </c>
      <c r="F6" s="1">
        <v>35626</v>
      </c>
      <c r="G6">
        <f ca="1">DATEDIF(THrList[[#This Row],[Date_of_Birth]],NOW(),"Y")</f>
        <v>28</v>
      </c>
      <c r="H6" t="s">
        <v>806</v>
      </c>
      <c r="I6" t="s">
        <v>807</v>
      </c>
      <c r="J6" t="s">
        <v>808</v>
      </c>
    </row>
    <row r="7" spans="1:10" x14ac:dyDescent="0.3">
      <c r="A7" t="s">
        <v>613</v>
      </c>
      <c r="B7" t="s">
        <v>809</v>
      </c>
      <c r="C7" t="str">
        <f>UPPER(THrList[[#This Row],[Last_Name]])</f>
        <v>TRAORE</v>
      </c>
      <c r="D7" t="s">
        <v>810</v>
      </c>
      <c r="E7" t="s">
        <v>797</v>
      </c>
      <c r="F7" s="1">
        <v>25875</v>
      </c>
      <c r="G7">
        <f ca="1">DATEDIF(THrList[[#This Row],[Date_of_Birth]],NOW(),"Y")</f>
        <v>55</v>
      </c>
      <c r="H7" t="s">
        <v>811</v>
      </c>
      <c r="I7" t="s">
        <v>793</v>
      </c>
      <c r="J7" t="s">
        <v>799</v>
      </c>
    </row>
    <row r="8" spans="1:10" x14ac:dyDescent="0.3">
      <c r="A8" t="s">
        <v>758</v>
      </c>
      <c r="B8" t="s">
        <v>812</v>
      </c>
      <c r="C8" t="str">
        <f>UPPER(THrList[[#This Row],[Last_Name]])</f>
        <v>CAMARA</v>
      </c>
      <c r="D8" t="s">
        <v>813</v>
      </c>
      <c r="E8" t="s">
        <v>791</v>
      </c>
      <c r="F8" s="1">
        <v>35926</v>
      </c>
      <c r="G8">
        <f ca="1">DATEDIF(THrList[[#This Row],[Date_of_Birth]],NOW(),"Y")</f>
        <v>27</v>
      </c>
      <c r="H8" t="s">
        <v>806</v>
      </c>
      <c r="I8" t="s">
        <v>798</v>
      </c>
      <c r="J8" t="s">
        <v>814</v>
      </c>
    </row>
    <row r="9" spans="1:10" x14ac:dyDescent="0.3">
      <c r="A9" t="s">
        <v>355</v>
      </c>
      <c r="B9" t="s">
        <v>815</v>
      </c>
      <c r="C9" t="str">
        <f>UPPER(THrList[[#This Row],[Last_Name]])</f>
        <v>MARTIN</v>
      </c>
      <c r="D9" t="s">
        <v>816</v>
      </c>
      <c r="E9" t="s">
        <v>797</v>
      </c>
      <c r="F9" s="1">
        <v>32721</v>
      </c>
      <c r="G9">
        <f ca="1">DATEDIF(THrList[[#This Row],[Date_of_Birth]],NOW(),"Y")</f>
        <v>36</v>
      </c>
      <c r="H9" t="s">
        <v>811</v>
      </c>
      <c r="I9" t="s">
        <v>793</v>
      </c>
      <c r="J9" t="s">
        <v>799</v>
      </c>
    </row>
    <row r="10" spans="1:10" x14ac:dyDescent="0.3">
      <c r="A10" t="s">
        <v>420</v>
      </c>
      <c r="B10" t="s">
        <v>817</v>
      </c>
      <c r="C10" t="str">
        <f>UPPER(THrList[[#This Row],[Last_Name]])</f>
        <v>JACKSON</v>
      </c>
      <c r="D10" t="s">
        <v>818</v>
      </c>
      <c r="E10" t="s">
        <v>791</v>
      </c>
      <c r="F10" s="1">
        <v>36341</v>
      </c>
      <c r="G10">
        <f ca="1">DATEDIF(THrList[[#This Row],[Date_of_Birth]],NOW(),"Y")</f>
        <v>26</v>
      </c>
      <c r="H10" t="s">
        <v>811</v>
      </c>
      <c r="I10" t="s">
        <v>807</v>
      </c>
      <c r="J10" t="s">
        <v>819</v>
      </c>
    </row>
    <row r="11" spans="1:10" x14ac:dyDescent="0.3">
      <c r="A11" t="s">
        <v>820</v>
      </c>
      <c r="B11" t="s">
        <v>821</v>
      </c>
      <c r="C11" t="str">
        <f>UPPER(THrList[[#This Row],[Last_Name]])</f>
        <v>DUBOIS</v>
      </c>
      <c r="D11" t="s">
        <v>822</v>
      </c>
      <c r="E11" t="s">
        <v>797</v>
      </c>
      <c r="F11" s="1">
        <v>31753</v>
      </c>
      <c r="G11">
        <f ca="1">DATEDIF(THrList[[#This Row],[Date_of_Birth]],NOW(),"Y")</f>
        <v>39</v>
      </c>
      <c r="H11" t="s">
        <v>806</v>
      </c>
      <c r="I11" t="s">
        <v>807</v>
      </c>
      <c r="J11" t="s">
        <v>823</v>
      </c>
    </row>
    <row r="12" spans="1:10" x14ac:dyDescent="0.3">
      <c r="A12" t="s">
        <v>100</v>
      </c>
      <c r="B12" t="s">
        <v>824</v>
      </c>
      <c r="C12" t="str">
        <f>UPPER(THrList[[#This Row],[Last_Name]])</f>
        <v>SOW</v>
      </c>
      <c r="D12" t="s">
        <v>825</v>
      </c>
      <c r="E12" t="s">
        <v>791</v>
      </c>
      <c r="F12" s="1">
        <v>30162</v>
      </c>
      <c r="G12">
        <f ca="1">DATEDIF(THrList[[#This Row],[Date_of_Birth]],NOW(),"Y")</f>
        <v>43</v>
      </c>
      <c r="H12" t="s">
        <v>811</v>
      </c>
      <c r="I12" t="s">
        <v>793</v>
      </c>
      <c r="J12" t="s">
        <v>799</v>
      </c>
    </row>
    <row r="13" spans="1:10" x14ac:dyDescent="0.3">
      <c r="A13" t="s">
        <v>68</v>
      </c>
      <c r="B13" t="s">
        <v>826</v>
      </c>
      <c r="C13" t="str">
        <f>UPPER(THrList[[#This Row],[Last_Name]])</f>
        <v>RODRIGUEZ</v>
      </c>
      <c r="D13" t="s">
        <v>827</v>
      </c>
      <c r="E13" t="s">
        <v>797</v>
      </c>
      <c r="F13" s="1">
        <v>30631</v>
      </c>
      <c r="G13">
        <f ca="1">DATEDIF(THrList[[#This Row],[Date_of_Birth]],NOW(),"Y")</f>
        <v>42</v>
      </c>
      <c r="H13" t="s">
        <v>806</v>
      </c>
      <c r="I13" t="s">
        <v>807</v>
      </c>
      <c r="J13" t="s">
        <v>808</v>
      </c>
    </row>
    <row r="14" spans="1:10" x14ac:dyDescent="0.3">
      <c r="A14" t="s">
        <v>620</v>
      </c>
      <c r="B14" t="s">
        <v>812</v>
      </c>
      <c r="C14" t="str">
        <f>UPPER(THrList[[#This Row],[Last_Name]])</f>
        <v>CAMARA</v>
      </c>
      <c r="D14" t="s">
        <v>828</v>
      </c>
      <c r="E14" t="s">
        <v>797</v>
      </c>
      <c r="F14" s="1">
        <v>26348</v>
      </c>
      <c r="G14">
        <f ca="1">DATEDIF(THrList[[#This Row],[Date_of_Birth]],NOW(),"Y")</f>
        <v>53</v>
      </c>
      <c r="H14" t="s">
        <v>811</v>
      </c>
      <c r="I14" t="s">
        <v>793</v>
      </c>
      <c r="J14" t="s">
        <v>808</v>
      </c>
    </row>
    <row r="15" spans="1:10" x14ac:dyDescent="0.3">
      <c r="A15" t="s">
        <v>719</v>
      </c>
      <c r="B15" t="s">
        <v>829</v>
      </c>
      <c r="C15" t="str">
        <f>UPPER(THrList[[#This Row],[Last_Name]])</f>
        <v>HASSAN</v>
      </c>
      <c r="D15" t="s">
        <v>830</v>
      </c>
      <c r="E15" t="s">
        <v>791</v>
      </c>
      <c r="F15" s="1">
        <v>35976</v>
      </c>
      <c r="G15">
        <f ca="1">DATEDIF(THrList[[#This Row],[Date_of_Birth]],NOW(),"Y")</f>
        <v>27</v>
      </c>
      <c r="H15" t="s">
        <v>792</v>
      </c>
      <c r="I15" t="s">
        <v>807</v>
      </c>
      <c r="J15" t="s">
        <v>823</v>
      </c>
    </row>
    <row r="16" spans="1:10" x14ac:dyDescent="0.3">
      <c r="A16" t="s">
        <v>831</v>
      </c>
      <c r="B16" t="s">
        <v>832</v>
      </c>
      <c r="C16" t="str">
        <f>UPPER(THrList[[#This Row],[Last_Name]])</f>
        <v>FOURNIER</v>
      </c>
      <c r="D16" t="s">
        <v>827</v>
      </c>
      <c r="E16" t="s">
        <v>797</v>
      </c>
      <c r="F16" s="1">
        <v>26298</v>
      </c>
      <c r="G16">
        <f ca="1">DATEDIF(THrList[[#This Row],[Date_of_Birth]],NOW(),"Y")</f>
        <v>53</v>
      </c>
      <c r="H16" t="s">
        <v>806</v>
      </c>
      <c r="I16" t="s">
        <v>793</v>
      </c>
      <c r="J16" t="s">
        <v>803</v>
      </c>
    </row>
    <row r="17" spans="1:10" x14ac:dyDescent="0.3">
      <c r="A17" t="s">
        <v>281</v>
      </c>
      <c r="B17" t="s">
        <v>833</v>
      </c>
      <c r="C17" t="str">
        <f>UPPER(THrList[[#This Row],[Last_Name]])</f>
        <v>JONES</v>
      </c>
      <c r="D17" t="s">
        <v>834</v>
      </c>
      <c r="E17" t="s">
        <v>791</v>
      </c>
      <c r="F17" s="1">
        <v>26291</v>
      </c>
      <c r="G17">
        <f ca="1">DATEDIF(THrList[[#This Row],[Date_of_Birth]],NOW(),"Y")</f>
        <v>53</v>
      </c>
      <c r="H17" t="s">
        <v>792</v>
      </c>
      <c r="I17" t="s">
        <v>798</v>
      </c>
      <c r="J17" t="s">
        <v>819</v>
      </c>
    </row>
    <row r="18" spans="1:10" x14ac:dyDescent="0.3">
      <c r="A18" t="s">
        <v>656</v>
      </c>
      <c r="B18" t="s">
        <v>832</v>
      </c>
      <c r="C18" t="str">
        <f>UPPER(THrList[[#This Row],[Last_Name]])</f>
        <v>FOURNIER</v>
      </c>
      <c r="D18" t="s">
        <v>828</v>
      </c>
      <c r="E18" t="s">
        <v>791</v>
      </c>
      <c r="F18" s="1">
        <v>30192</v>
      </c>
      <c r="G18">
        <f ca="1">DATEDIF(THrList[[#This Row],[Date_of_Birth]],NOW(),"Y")</f>
        <v>43</v>
      </c>
      <c r="H18" t="s">
        <v>792</v>
      </c>
      <c r="I18" t="s">
        <v>793</v>
      </c>
      <c r="J18" t="s">
        <v>835</v>
      </c>
    </row>
    <row r="19" spans="1:10" x14ac:dyDescent="0.3">
      <c r="A19" t="s">
        <v>312</v>
      </c>
      <c r="B19" t="s">
        <v>836</v>
      </c>
      <c r="C19" t="str">
        <f>UPPER(THrList[[#This Row],[Last_Name]])</f>
        <v>ANDERSON</v>
      </c>
      <c r="D19" t="s">
        <v>837</v>
      </c>
      <c r="E19" t="s">
        <v>791</v>
      </c>
      <c r="F19" s="1">
        <v>26182</v>
      </c>
      <c r="G19">
        <f ca="1">DATEDIF(THrList[[#This Row],[Date_of_Birth]],NOW(),"Y")</f>
        <v>54</v>
      </c>
      <c r="H19" t="s">
        <v>806</v>
      </c>
      <c r="I19" t="s">
        <v>807</v>
      </c>
      <c r="J19" t="s">
        <v>838</v>
      </c>
    </row>
    <row r="20" spans="1:10" x14ac:dyDescent="0.3">
      <c r="A20" t="s">
        <v>839</v>
      </c>
      <c r="B20" t="s">
        <v>840</v>
      </c>
      <c r="C20" t="str">
        <f>UPPER(THrList[[#This Row],[Last_Name]])</f>
        <v>PETIT</v>
      </c>
      <c r="D20" t="s">
        <v>841</v>
      </c>
      <c r="E20" t="s">
        <v>791</v>
      </c>
      <c r="F20" s="1">
        <v>32722</v>
      </c>
      <c r="G20">
        <f ca="1">DATEDIF(THrList[[#This Row],[Date_of_Birth]],NOW(),"Y")</f>
        <v>36</v>
      </c>
      <c r="H20" t="s">
        <v>811</v>
      </c>
      <c r="I20" t="s">
        <v>798</v>
      </c>
      <c r="J20" t="s">
        <v>835</v>
      </c>
    </row>
    <row r="21" spans="1:10" x14ac:dyDescent="0.3">
      <c r="A21" t="s">
        <v>579</v>
      </c>
      <c r="B21" t="s">
        <v>829</v>
      </c>
      <c r="C21" t="str">
        <f>UPPER(THrList[[#This Row],[Last_Name]])</f>
        <v>HASSAN</v>
      </c>
      <c r="D21" t="s">
        <v>842</v>
      </c>
      <c r="E21" t="s">
        <v>797</v>
      </c>
      <c r="F21" s="1">
        <v>30362</v>
      </c>
      <c r="G21">
        <f ca="1">DATEDIF(THrList[[#This Row],[Date_of_Birth]],NOW(),"Y")</f>
        <v>42</v>
      </c>
      <c r="H21" t="s">
        <v>843</v>
      </c>
      <c r="I21" t="s">
        <v>798</v>
      </c>
      <c r="J21" t="s">
        <v>835</v>
      </c>
    </row>
    <row r="22" spans="1:10" x14ac:dyDescent="0.3">
      <c r="A22" t="s">
        <v>844</v>
      </c>
      <c r="B22" t="s">
        <v>845</v>
      </c>
      <c r="C22" t="str">
        <f>UPPER(THrList[[#This Row],[Last_Name]])</f>
        <v>WILSON</v>
      </c>
      <c r="D22" t="s">
        <v>846</v>
      </c>
      <c r="E22" t="s">
        <v>791</v>
      </c>
      <c r="F22" s="1">
        <v>36713</v>
      </c>
      <c r="G22">
        <f ca="1">DATEDIF(THrList[[#This Row],[Date_of_Birth]],NOW(),"Y")</f>
        <v>25</v>
      </c>
      <c r="H22" t="s">
        <v>843</v>
      </c>
      <c r="I22" t="s">
        <v>807</v>
      </c>
      <c r="J22" t="s">
        <v>819</v>
      </c>
    </row>
    <row r="23" spans="1:10" x14ac:dyDescent="0.3">
      <c r="A23" t="s">
        <v>698</v>
      </c>
      <c r="B23" t="s">
        <v>847</v>
      </c>
      <c r="C23" t="str">
        <f>UPPER(THrList[[#This Row],[Last_Name]])</f>
        <v>ALI</v>
      </c>
      <c r="D23" t="s">
        <v>846</v>
      </c>
      <c r="E23" t="s">
        <v>791</v>
      </c>
      <c r="F23" s="1">
        <v>27914</v>
      </c>
      <c r="G23">
        <f ca="1">DATEDIF(THrList[[#This Row],[Date_of_Birth]],NOW(),"Y")</f>
        <v>49</v>
      </c>
      <c r="H23" t="s">
        <v>843</v>
      </c>
      <c r="I23" t="s">
        <v>798</v>
      </c>
      <c r="J23" t="s">
        <v>835</v>
      </c>
    </row>
    <row r="24" spans="1:10" x14ac:dyDescent="0.3">
      <c r="A24" t="s">
        <v>848</v>
      </c>
      <c r="B24" t="s">
        <v>821</v>
      </c>
      <c r="C24" t="str">
        <f>UPPER(THrList[[#This Row],[Last_Name]])</f>
        <v>DUBOIS</v>
      </c>
      <c r="D24" t="s">
        <v>849</v>
      </c>
      <c r="E24" t="s">
        <v>791</v>
      </c>
      <c r="F24" s="1">
        <v>37771</v>
      </c>
      <c r="G24">
        <f ca="1">DATEDIF(THrList[[#This Row],[Date_of_Birth]],NOW(),"Y")</f>
        <v>22</v>
      </c>
      <c r="H24" t="s">
        <v>811</v>
      </c>
      <c r="I24" t="s">
        <v>793</v>
      </c>
      <c r="J24" t="s">
        <v>838</v>
      </c>
    </row>
    <row r="25" spans="1:10" x14ac:dyDescent="0.3">
      <c r="A25" t="s">
        <v>850</v>
      </c>
      <c r="B25" t="s">
        <v>851</v>
      </c>
      <c r="C25" t="str">
        <f>UPPER(THrList[[#This Row],[Last_Name]])</f>
        <v>NGUYEN</v>
      </c>
      <c r="D25" t="s">
        <v>852</v>
      </c>
      <c r="E25" t="s">
        <v>791</v>
      </c>
      <c r="F25" s="1">
        <v>36442</v>
      </c>
      <c r="G25">
        <f ca="1">DATEDIF(THrList[[#This Row],[Date_of_Birth]],NOW(),"Y")</f>
        <v>26</v>
      </c>
      <c r="H25" t="s">
        <v>806</v>
      </c>
      <c r="I25" t="s">
        <v>793</v>
      </c>
      <c r="J25" t="s">
        <v>814</v>
      </c>
    </row>
    <row r="26" spans="1:10" x14ac:dyDescent="0.3">
      <c r="A26" t="s">
        <v>598</v>
      </c>
      <c r="B26" t="s">
        <v>802</v>
      </c>
      <c r="C26" t="str">
        <f>UPPER(THrList[[#This Row],[Last_Name]])</f>
        <v>GARCIA</v>
      </c>
      <c r="D26" t="s">
        <v>842</v>
      </c>
      <c r="E26" t="s">
        <v>791</v>
      </c>
      <c r="F26" s="1">
        <v>32111</v>
      </c>
      <c r="G26">
        <f ca="1">DATEDIF(THrList[[#This Row],[Date_of_Birth]],NOW(),"Y")</f>
        <v>38</v>
      </c>
      <c r="H26" t="s">
        <v>792</v>
      </c>
      <c r="I26" t="s">
        <v>793</v>
      </c>
      <c r="J26" t="s">
        <v>819</v>
      </c>
    </row>
    <row r="27" spans="1:10" x14ac:dyDescent="0.3">
      <c r="A27" t="s">
        <v>316</v>
      </c>
      <c r="B27" t="s">
        <v>809</v>
      </c>
      <c r="C27" t="str">
        <f>UPPER(THrList[[#This Row],[Last_Name]])</f>
        <v>TRAORE</v>
      </c>
      <c r="D27" t="s">
        <v>853</v>
      </c>
      <c r="E27" t="s">
        <v>797</v>
      </c>
      <c r="F27" s="1">
        <v>26534</v>
      </c>
      <c r="G27">
        <f ca="1">DATEDIF(THrList[[#This Row],[Date_of_Birth]],NOW(),"Y")</f>
        <v>53</v>
      </c>
      <c r="H27" t="s">
        <v>792</v>
      </c>
      <c r="I27" t="s">
        <v>793</v>
      </c>
      <c r="J27" t="s">
        <v>794</v>
      </c>
    </row>
    <row r="28" spans="1:10" x14ac:dyDescent="0.3">
      <c r="A28" t="s">
        <v>854</v>
      </c>
      <c r="B28" t="s">
        <v>855</v>
      </c>
      <c r="C28" t="str">
        <f>UPPER(THrList[[#This Row],[Last_Name]])</f>
        <v>TAYLOR</v>
      </c>
      <c r="D28" t="s">
        <v>856</v>
      </c>
      <c r="E28" t="s">
        <v>791</v>
      </c>
      <c r="F28" s="1">
        <v>27056</v>
      </c>
      <c r="G28">
        <f ca="1">DATEDIF(THrList[[#This Row],[Date_of_Birth]],NOW(),"Y")</f>
        <v>51</v>
      </c>
      <c r="H28" t="s">
        <v>792</v>
      </c>
      <c r="I28" t="s">
        <v>793</v>
      </c>
      <c r="J28" t="s">
        <v>799</v>
      </c>
    </row>
    <row r="29" spans="1:10" x14ac:dyDescent="0.3">
      <c r="A29" t="s">
        <v>118</v>
      </c>
      <c r="B29" t="s">
        <v>809</v>
      </c>
      <c r="C29" t="str">
        <f>UPPER(THrList[[#This Row],[Last_Name]])</f>
        <v>TRAORE</v>
      </c>
      <c r="D29" t="s">
        <v>796</v>
      </c>
      <c r="E29" t="s">
        <v>791</v>
      </c>
      <c r="F29" s="1">
        <v>24895</v>
      </c>
      <c r="G29">
        <f ca="1">DATEDIF(THrList[[#This Row],[Date_of_Birth]],NOW(),"Y")</f>
        <v>57</v>
      </c>
      <c r="H29" t="s">
        <v>792</v>
      </c>
      <c r="I29" t="s">
        <v>798</v>
      </c>
      <c r="J29" t="s">
        <v>823</v>
      </c>
    </row>
    <row r="30" spans="1:10" x14ac:dyDescent="0.3">
      <c r="A30" t="s">
        <v>714</v>
      </c>
      <c r="B30" t="s">
        <v>832</v>
      </c>
      <c r="C30" t="str">
        <f>UPPER(THrList[[#This Row],[Last_Name]])</f>
        <v>FOURNIER</v>
      </c>
      <c r="D30" t="s">
        <v>857</v>
      </c>
      <c r="E30" t="s">
        <v>791</v>
      </c>
      <c r="F30" s="1">
        <v>34606</v>
      </c>
      <c r="G30">
        <f ca="1">DATEDIF(THrList[[#This Row],[Date_of_Birth]],NOW(),"Y")</f>
        <v>31</v>
      </c>
      <c r="H30" t="s">
        <v>806</v>
      </c>
      <c r="I30" t="s">
        <v>793</v>
      </c>
      <c r="J30" t="s">
        <v>814</v>
      </c>
    </row>
    <row r="31" spans="1:10" x14ac:dyDescent="0.3">
      <c r="A31" t="s">
        <v>690</v>
      </c>
      <c r="B31" t="s">
        <v>858</v>
      </c>
      <c r="C31" t="str">
        <f>UPPER(THrList[[#This Row],[Last_Name]])</f>
        <v>MOORE</v>
      </c>
      <c r="D31" t="s">
        <v>830</v>
      </c>
      <c r="E31" t="s">
        <v>791</v>
      </c>
      <c r="F31" s="1">
        <v>29806</v>
      </c>
      <c r="G31">
        <f ca="1">DATEDIF(THrList[[#This Row],[Date_of_Birth]],NOW(),"Y")</f>
        <v>44</v>
      </c>
      <c r="H31" t="s">
        <v>811</v>
      </c>
      <c r="I31" t="s">
        <v>807</v>
      </c>
      <c r="J31" t="s">
        <v>794</v>
      </c>
    </row>
    <row r="32" spans="1:10" x14ac:dyDescent="0.3">
      <c r="A32" t="s">
        <v>722</v>
      </c>
      <c r="B32" t="s">
        <v>859</v>
      </c>
      <c r="C32" t="str">
        <f>UPPER(THrList[[#This Row],[Last_Name]])</f>
        <v>PATEL</v>
      </c>
      <c r="D32" t="s">
        <v>860</v>
      </c>
      <c r="E32" t="s">
        <v>791</v>
      </c>
      <c r="F32" s="1">
        <v>28865</v>
      </c>
      <c r="G32">
        <f ca="1">DATEDIF(THrList[[#This Row],[Date_of_Birth]],NOW(),"Y")</f>
        <v>46</v>
      </c>
      <c r="H32" t="s">
        <v>806</v>
      </c>
      <c r="I32" t="s">
        <v>793</v>
      </c>
      <c r="J32" t="s">
        <v>838</v>
      </c>
    </row>
    <row r="33" spans="1:10" x14ac:dyDescent="0.3">
      <c r="A33" t="s">
        <v>861</v>
      </c>
      <c r="B33" t="s">
        <v>862</v>
      </c>
      <c r="C33" t="str">
        <f>UPPER(THrList[[#This Row],[Last_Name]])</f>
        <v>CHEN</v>
      </c>
      <c r="D33" t="s">
        <v>834</v>
      </c>
      <c r="E33" t="s">
        <v>797</v>
      </c>
      <c r="F33" s="1">
        <v>28807</v>
      </c>
      <c r="G33">
        <f ca="1">DATEDIF(THrList[[#This Row],[Date_of_Birth]],NOW(),"Y")</f>
        <v>47</v>
      </c>
      <c r="H33" t="s">
        <v>792</v>
      </c>
      <c r="I33" t="s">
        <v>807</v>
      </c>
      <c r="J33" t="s">
        <v>835</v>
      </c>
    </row>
    <row r="34" spans="1:10" x14ac:dyDescent="0.3">
      <c r="A34" t="s">
        <v>189</v>
      </c>
      <c r="B34" t="s">
        <v>863</v>
      </c>
      <c r="C34" t="str">
        <f>UPPER(THrList[[#This Row],[Last_Name]])</f>
        <v>THOMAS</v>
      </c>
      <c r="D34" t="s">
        <v>864</v>
      </c>
      <c r="E34" t="s">
        <v>791</v>
      </c>
      <c r="F34" s="1">
        <v>26716</v>
      </c>
      <c r="G34">
        <f ca="1">DATEDIF(THrList[[#This Row],[Date_of_Birth]],NOW(),"Y")</f>
        <v>52</v>
      </c>
      <c r="H34" t="s">
        <v>811</v>
      </c>
      <c r="I34" t="s">
        <v>798</v>
      </c>
      <c r="J34" t="s">
        <v>794</v>
      </c>
    </row>
    <row r="35" spans="1:10" x14ac:dyDescent="0.3">
      <c r="A35" t="s">
        <v>865</v>
      </c>
      <c r="B35" t="s">
        <v>866</v>
      </c>
      <c r="C35" t="str">
        <f>UPPER(THrList[[#This Row],[Last_Name]])</f>
        <v>ABDULLAH</v>
      </c>
      <c r="D35" t="s">
        <v>830</v>
      </c>
      <c r="E35" t="s">
        <v>797</v>
      </c>
      <c r="F35" s="1">
        <v>26609</v>
      </c>
      <c r="G35">
        <f ca="1">DATEDIF(THrList[[#This Row],[Date_of_Birth]],NOW(),"Y")</f>
        <v>53</v>
      </c>
      <c r="H35" t="s">
        <v>806</v>
      </c>
      <c r="I35" t="s">
        <v>798</v>
      </c>
      <c r="J35" t="s">
        <v>823</v>
      </c>
    </row>
    <row r="36" spans="1:10" x14ac:dyDescent="0.3">
      <c r="A36" t="s">
        <v>867</v>
      </c>
      <c r="B36" t="s">
        <v>868</v>
      </c>
      <c r="C36" t="str">
        <f>UPPER(THrList[[#This Row],[Last_Name]])</f>
        <v>LOPEZ</v>
      </c>
      <c r="D36" t="s">
        <v>864</v>
      </c>
      <c r="E36" t="s">
        <v>797</v>
      </c>
      <c r="F36" s="1">
        <v>33550</v>
      </c>
      <c r="G36">
        <f ca="1">DATEDIF(THrList[[#This Row],[Date_of_Birth]],NOW(),"Y")</f>
        <v>34</v>
      </c>
      <c r="H36" t="s">
        <v>806</v>
      </c>
      <c r="I36" t="s">
        <v>798</v>
      </c>
      <c r="J36" t="s">
        <v>835</v>
      </c>
    </row>
    <row r="37" spans="1:10" x14ac:dyDescent="0.3">
      <c r="A37" t="s">
        <v>348</v>
      </c>
      <c r="B37" t="s">
        <v>869</v>
      </c>
      <c r="C37" t="str">
        <f>UPPER(THrList[[#This Row],[Last_Name]])</f>
        <v>MILLER</v>
      </c>
      <c r="D37" t="s">
        <v>870</v>
      </c>
      <c r="E37" t="s">
        <v>797</v>
      </c>
      <c r="F37" s="1">
        <v>30305</v>
      </c>
      <c r="G37">
        <f ca="1">DATEDIF(THrList[[#This Row],[Date_of_Birth]],NOW(),"Y")</f>
        <v>42</v>
      </c>
      <c r="H37" t="s">
        <v>792</v>
      </c>
      <c r="I37" t="s">
        <v>798</v>
      </c>
      <c r="J37" t="s">
        <v>819</v>
      </c>
    </row>
    <row r="38" spans="1:10" x14ac:dyDescent="0.3">
      <c r="A38" t="s">
        <v>152</v>
      </c>
      <c r="B38" t="s">
        <v>871</v>
      </c>
      <c r="C38" t="str">
        <f>UPPER(THrList[[#This Row],[Last_Name]])</f>
        <v>MENSAH</v>
      </c>
      <c r="D38" t="s">
        <v>864</v>
      </c>
      <c r="E38" t="s">
        <v>797</v>
      </c>
      <c r="F38" s="1">
        <v>37127</v>
      </c>
      <c r="G38">
        <f ca="1">DATEDIF(THrList[[#This Row],[Date_of_Birth]],NOW(),"Y")</f>
        <v>24</v>
      </c>
      <c r="H38" t="s">
        <v>792</v>
      </c>
      <c r="I38" t="s">
        <v>798</v>
      </c>
      <c r="J38" t="s">
        <v>838</v>
      </c>
    </row>
    <row r="39" spans="1:10" x14ac:dyDescent="0.3">
      <c r="A39" t="s">
        <v>406</v>
      </c>
      <c r="B39" t="s">
        <v>847</v>
      </c>
      <c r="C39" t="str">
        <f>UPPER(THrList[[#This Row],[Last_Name]])</f>
        <v>ALI</v>
      </c>
      <c r="D39" t="s">
        <v>853</v>
      </c>
      <c r="E39" t="s">
        <v>797</v>
      </c>
      <c r="F39" s="1">
        <v>36831</v>
      </c>
      <c r="G39">
        <f ca="1">DATEDIF(THrList[[#This Row],[Date_of_Birth]],NOW(),"Y")</f>
        <v>25</v>
      </c>
      <c r="H39" t="s">
        <v>792</v>
      </c>
      <c r="I39" t="s">
        <v>798</v>
      </c>
      <c r="J39" t="s">
        <v>794</v>
      </c>
    </row>
    <row r="40" spans="1:10" x14ac:dyDescent="0.3">
      <c r="A40" t="s">
        <v>218</v>
      </c>
      <c r="B40" t="s">
        <v>872</v>
      </c>
      <c r="C40" t="str">
        <f>UPPER(THrList[[#This Row],[Last_Name]])</f>
        <v>DIALLO</v>
      </c>
      <c r="D40" t="s">
        <v>873</v>
      </c>
      <c r="E40" t="s">
        <v>791</v>
      </c>
      <c r="F40" s="1">
        <v>35088</v>
      </c>
      <c r="G40">
        <f ca="1">DATEDIF(THrList[[#This Row],[Date_of_Birth]],NOW(),"Y")</f>
        <v>29</v>
      </c>
      <c r="H40" t="s">
        <v>806</v>
      </c>
      <c r="I40" t="s">
        <v>798</v>
      </c>
      <c r="J40" t="s">
        <v>819</v>
      </c>
    </row>
    <row r="41" spans="1:10" x14ac:dyDescent="0.3">
      <c r="A41" t="s">
        <v>621</v>
      </c>
      <c r="B41" t="s">
        <v>871</v>
      </c>
      <c r="C41" t="str">
        <f>UPPER(THrList[[#This Row],[Last_Name]])</f>
        <v>MENSAH</v>
      </c>
      <c r="D41" t="s">
        <v>874</v>
      </c>
      <c r="E41" t="s">
        <v>791</v>
      </c>
      <c r="F41" s="1">
        <v>34829</v>
      </c>
      <c r="G41">
        <f ca="1">DATEDIF(THrList[[#This Row],[Date_of_Birth]],NOW(),"Y")</f>
        <v>30</v>
      </c>
      <c r="H41" t="s">
        <v>811</v>
      </c>
      <c r="I41" t="s">
        <v>807</v>
      </c>
      <c r="J41" t="s">
        <v>819</v>
      </c>
    </row>
    <row r="42" spans="1:10" x14ac:dyDescent="0.3">
      <c r="A42" t="s">
        <v>875</v>
      </c>
      <c r="B42" t="s">
        <v>809</v>
      </c>
      <c r="C42" t="str">
        <f>UPPER(THrList[[#This Row],[Last_Name]])</f>
        <v>TRAORE</v>
      </c>
      <c r="D42" t="s">
        <v>816</v>
      </c>
      <c r="E42" t="s">
        <v>797</v>
      </c>
      <c r="F42" s="1">
        <v>29348</v>
      </c>
      <c r="G42">
        <f ca="1">DATEDIF(THrList[[#This Row],[Date_of_Birth]],NOW(),"Y")</f>
        <v>45</v>
      </c>
      <c r="H42" t="s">
        <v>843</v>
      </c>
      <c r="I42" t="s">
        <v>807</v>
      </c>
      <c r="J42" t="s">
        <v>803</v>
      </c>
    </row>
    <row r="43" spans="1:10" x14ac:dyDescent="0.3">
      <c r="A43" t="s">
        <v>408</v>
      </c>
      <c r="B43" t="s">
        <v>840</v>
      </c>
      <c r="C43" t="str">
        <f>UPPER(THrList[[#This Row],[Last_Name]])</f>
        <v>PETIT</v>
      </c>
      <c r="D43" t="s">
        <v>876</v>
      </c>
      <c r="E43" t="s">
        <v>791</v>
      </c>
      <c r="F43" s="1">
        <v>31392</v>
      </c>
      <c r="G43">
        <f ca="1">DATEDIF(THrList[[#This Row],[Date_of_Birth]],NOW(),"Y")</f>
        <v>40</v>
      </c>
      <c r="H43" t="s">
        <v>792</v>
      </c>
      <c r="I43" t="s">
        <v>798</v>
      </c>
      <c r="J43" t="s">
        <v>823</v>
      </c>
    </row>
    <row r="44" spans="1:10" x14ac:dyDescent="0.3">
      <c r="A44" t="s">
        <v>372</v>
      </c>
      <c r="B44" t="s">
        <v>809</v>
      </c>
      <c r="C44" t="str">
        <f>UPPER(THrList[[#This Row],[Last_Name]])</f>
        <v>TRAORE</v>
      </c>
      <c r="D44" t="s">
        <v>810</v>
      </c>
      <c r="E44" t="s">
        <v>791</v>
      </c>
      <c r="F44" s="1">
        <v>31065</v>
      </c>
      <c r="G44">
        <f ca="1">DATEDIF(THrList[[#This Row],[Date_of_Birth]],NOW(),"Y")</f>
        <v>40</v>
      </c>
      <c r="H44" t="s">
        <v>806</v>
      </c>
      <c r="I44" t="s">
        <v>807</v>
      </c>
      <c r="J44" t="s">
        <v>808</v>
      </c>
    </row>
    <row r="45" spans="1:10" x14ac:dyDescent="0.3">
      <c r="A45" t="s">
        <v>877</v>
      </c>
      <c r="B45" t="s">
        <v>800</v>
      </c>
      <c r="C45" t="str">
        <f>UPPER(THrList[[#This Row],[Last_Name]])</f>
        <v>JOHNSON</v>
      </c>
      <c r="D45" t="s">
        <v>878</v>
      </c>
      <c r="E45" t="s">
        <v>791</v>
      </c>
      <c r="F45" s="1">
        <v>33000</v>
      </c>
      <c r="G45">
        <f ca="1">DATEDIF(THrList[[#This Row],[Date_of_Birth]],NOW(),"Y")</f>
        <v>35</v>
      </c>
      <c r="H45" t="s">
        <v>811</v>
      </c>
      <c r="I45" t="s">
        <v>798</v>
      </c>
      <c r="J45" t="s">
        <v>838</v>
      </c>
    </row>
    <row r="46" spans="1:10" x14ac:dyDescent="0.3">
      <c r="A46" t="s">
        <v>150</v>
      </c>
      <c r="B46" t="s">
        <v>809</v>
      </c>
      <c r="C46" t="str">
        <f>UPPER(THrList[[#This Row],[Last_Name]])</f>
        <v>TRAORE</v>
      </c>
      <c r="D46" t="s">
        <v>846</v>
      </c>
      <c r="E46" t="s">
        <v>797</v>
      </c>
      <c r="F46" s="1">
        <v>27116</v>
      </c>
      <c r="G46">
        <f ca="1">DATEDIF(THrList[[#This Row],[Date_of_Birth]],NOW(),"Y")</f>
        <v>51</v>
      </c>
      <c r="H46" t="s">
        <v>792</v>
      </c>
      <c r="I46" t="s">
        <v>807</v>
      </c>
      <c r="J46" t="s">
        <v>814</v>
      </c>
    </row>
    <row r="47" spans="1:10" x14ac:dyDescent="0.3">
      <c r="A47" t="s">
        <v>423</v>
      </c>
      <c r="B47" t="s">
        <v>879</v>
      </c>
      <c r="C47" t="str">
        <f>UPPER(THrList[[#This Row],[Last_Name]])</f>
        <v>KONE</v>
      </c>
      <c r="D47" t="s">
        <v>880</v>
      </c>
      <c r="E47" t="s">
        <v>797</v>
      </c>
      <c r="F47" s="1">
        <v>33796</v>
      </c>
      <c r="G47">
        <f ca="1">DATEDIF(THrList[[#This Row],[Date_of_Birth]],NOW(),"Y")</f>
        <v>33</v>
      </c>
      <c r="H47" t="s">
        <v>843</v>
      </c>
      <c r="I47" t="s">
        <v>807</v>
      </c>
      <c r="J47" t="s">
        <v>823</v>
      </c>
    </row>
    <row r="48" spans="1:10" x14ac:dyDescent="0.3">
      <c r="A48" t="s">
        <v>410</v>
      </c>
      <c r="B48" t="s">
        <v>862</v>
      </c>
      <c r="C48" t="str">
        <f>UPPER(THrList[[#This Row],[Last_Name]])</f>
        <v>CHEN</v>
      </c>
      <c r="D48" t="s">
        <v>881</v>
      </c>
      <c r="E48" t="s">
        <v>791</v>
      </c>
      <c r="F48" s="1">
        <v>24870</v>
      </c>
      <c r="G48">
        <f ca="1">DATEDIF(THrList[[#This Row],[Date_of_Birth]],NOW(),"Y")</f>
        <v>57</v>
      </c>
      <c r="H48" t="s">
        <v>792</v>
      </c>
      <c r="I48" t="s">
        <v>807</v>
      </c>
      <c r="J48" t="s">
        <v>803</v>
      </c>
    </row>
    <row r="49" spans="1:10" x14ac:dyDescent="0.3">
      <c r="A49" t="s">
        <v>624</v>
      </c>
      <c r="B49" t="s">
        <v>879</v>
      </c>
      <c r="C49" t="str">
        <f>UPPER(THrList[[#This Row],[Last_Name]])</f>
        <v>KONE</v>
      </c>
      <c r="D49" t="s">
        <v>805</v>
      </c>
      <c r="E49" t="s">
        <v>791</v>
      </c>
      <c r="F49" s="1">
        <v>35500</v>
      </c>
      <c r="G49">
        <f ca="1">DATEDIF(THrList[[#This Row],[Date_of_Birth]],NOW(),"Y")</f>
        <v>28</v>
      </c>
      <c r="H49" t="s">
        <v>811</v>
      </c>
      <c r="I49" t="s">
        <v>807</v>
      </c>
      <c r="J49" t="s">
        <v>799</v>
      </c>
    </row>
    <row r="50" spans="1:10" x14ac:dyDescent="0.3">
      <c r="A50" t="s">
        <v>53</v>
      </c>
      <c r="B50" t="s">
        <v>882</v>
      </c>
      <c r="C50" t="str">
        <f>UPPER(THrList[[#This Row],[Last_Name]])</f>
        <v>WILLIAMS</v>
      </c>
      <c r="D50" t="s">
        <v>883</v>
      </c>
      <c r="E50" t="s">
        <v>797</v>
      </c>
      <c r="F50" s="1">
        <v>29032</v>
      </c>
      <c r="G50">
        <f ca="1">DATEDIF(THrList[[#This Row],[Date_of_Birth]],NOW(),"Y")</f>
        <v>46</v>
      </c>
      <c r="H50" t="s">
        <v>792</v>
      </c>
      <c r="I50" t="s">
        <v>798</v>
      </c>
      <c r="J50" t="s">
        <v>814</v>
      </c>
    </row>
    <row r="51" spans="1:10" x14ac:dyDescent="0.3">
      <c r="A51" t="s">
        <v>403</v>
      </c>
      <c r="B51" t="s">
        <v>845</v>
      </c>
      <c r="C51" t="str">
        <f>UPPER(THrList[[#This Row],[Last_Name]])</f>
        <v>WILSON</v>
      </c>
      <c r="D51" t="s">
        <v>860</v>
      </c>
      <c r="E51" t="s">
        <v>797</v>
      </c>
      <c r="F51" s="1">
        <v>36336</v>
      </c>
      <c r="G51">
        <f ca="1">DATEDIF(THrList[[#This Row],[Date_of_Birth]],NOW(),"Y")</f>
        <v>26</v>
      </c>
      <c r="H51" t="s">
        <v>843</v>
      </c>
      <c r="I51" t="s">
        <v>807</v>
      </c>
      <c r="J51" t="s">
        <v>799</v>
      </c>
    </row>
    <row r="52" spans="1:10" x14ac:dyDescent="0.3">
      <c r="A52" t="s">
        <v>364</v>
      </c>
      <c r="B52" t="s">
        <v>789</v>
      </c>
      <c r="C52" t="str">
        <f>UPPER(THrList[[#This Row],[Last_Name]])</f>
        <v>LEROY</v>
      </c>
      <c r="D52" t="s">
        <v>881</v>
      </c>
      <c r="E52" t="s">
        <v>797</v>
      </c>
      <c r="F52" s="1">
        <v>37659</v>
      </c>
      <c r="G52">
        <f ca="1">DATEDIF(THrList[[#This Row],[Date_of_Birth]],NOW(),"Y")</f>
        <v>22</v>
      </c>
      <c r="H52" t="s">
        <v>843</v>
      </c>
      <c r="I52" t="s">
        <v>807</v>
      </c>
      <c r="J52" t="s">
        <v>814</v>
      </c>
    </row>
    <row r="53" spans="1:10" x14ac:dyDescent="0.3">
      <c r="A53" t="s">
        <v>371</v>
      </c>
      <c r="B53" t="s">
        <v>858</v>
      </c>
      <c r="C53" t="str">
        <f>UPPER(THrList[[#This Row],[Last_Name]])</f>
        <v>MOORE</v>
      </c>
      <c r="D53" t="s">
        <v>846</v>
      </c>
      <c r="E53" t="s">
        <v>797</v>
      </c>
      <c r="F53" s="1">
        <v>36642</v>
      </c>
      <c r="G53">
        <f ca="1">DATEDIF(THrList[[#This Row],[Date_of_Birth]],NOW(),"Y")</f>
        <v>25</v>
      </c>
      <c r="H53" t="s">
        <v>806</v>
      </c>
      <c r="I53" t="s">
        <v>807</v>
      </c>
      <c r="J53" t="s">
        <v>808</v>
      </c>
    </row>
    <row r="54" spans="1:10" x14ac:dyDescent="0.3">
      <c r="A54" t="s">
        <v>884</v>
      </c>
      <c r="B54" t="s">
        <v>858</v>
      </c>
      <c r="C54" t="str">
        <f>UPPER(THrList[[#This Row],[Last_Name]])</f>
        <v>MOORE</v>
      </c>
      <c r="D54" t="s">
        <v>885</v>
      </c>
      <c r="E54" t="s">
        <v>791</v>
      </c>
      <c r="F54" s="1">
        <v>30914</v>
      </c>
      <c r="G54">
        <f ca="1">DATEDIF(THrList[[#This Row],[Date_of_Birth]],NOW(),"Y")</f>
        <v>41</v>
      </c>
      <c r="H54" t="s">
        <v>806</v>
      </c>
      <c r="I54" t="s">
        <v>807</v>
      </c>
      <c r="J54" t="s">
        <v>803</v>
      </c>
    </row>
    <row r="55" spans="1:10" x14ac:dyDescent="0.3">
      <c r="A55" t="s">
        <v>97</v>
      </c>
      <c r="B55" t="s">
        <v>851</v>
      </c>
      <c r="C55" t="str">
        <f>UPPER(THrList[[#This Row],[Last_Name]])</f>
        <v>NGUYEN</v>
      </c>
      <c r="D55" t="s">
        <v>834</v>
      </c>
      <c r="E55" t="s">
        <v>797</v>
      </c>
      <c r="F55" s="1">
        <v>28504</v>
      </c>
      <c r="G55">
        <f ca="1">DATEDIF(THrList[[#This Row],[Date_of_Birth]],NOW(),"Y")</f>
        <v>47</v>
      </c>
      <c r="H55" t="s">
        <v>806</v>
      </c>
      <c r="I55" t="s">
        <v>793</v>
      </c>
      <c r="J55" t="s">
        <v>835</v>
      </c>
    </row>
    <row r="56" spans="1:10" x14ac:dyDescent="0.3">
      <c r="A56" t="s">
        <v>387</v>
      </c>
      <c r="B56" t="s">
        <v>886</v>
      </c>
      <c r="C56" t="str">
        <f>UPPER(THrList[[#This Row],[Last_Name]])</f>
        <v>MARTINEZ</v>
      </c>
      <c r="D56" t="s">
        <v>870</v>
      </c>
      <c r="E56" t="s">
        <v>791</v>
      </c>
      <c r="F56" s="1">
        <v>34396</v>
      </c>
      <c r="G56">
        <f ca="1">DATEDIF(THrList[[#This Row],[Date_of_Birth]],NOW(),"Y")</f>
        <v>31</v>
      </c>
      <c r="H56" t="s">
        <v>806</v>
      </c>
      <c r="I56" t="s">
        <v>793</v>
      </c>
      <c r="J56" t="s">
        <v>835</v>
      </c>
    </row>
    <row r="57" spans="1:10" x14ac:dyDescent="0.3">
      <c r="A57" t="s">
        <v>143</v>
      </c>
      <c r="B57" t="s">
        <v>887</v>
      </c>
      <c r="C57" t="str">
        <f>UPPER(THrList[[#This Row],[Last_Name]])</f>
        <v>TOURE</v>
      </c>
      <c r="D57" t="s">
        <v>873</v>
      </c>
      <c r="E57" t="s">
        <v>791</v>
      </c>
      <c r="F57" s="1">
        <v>38260</v>
      </c>
      <c r="G57">
        <f ca="1">DATEDIF(THrList[[#This Row],[Date_of_Birth]],NOW(),"Y")</f>
        <v>21</v>
      </c>
      <c r="H57" t="s">
        <v>792</v>
      </c>
      <c r="I57" t="s">
        <v>793</v>
      </c>
      <c r="J57" t="s">
        <v>835</v>
      </c>
    </row>
    <row r="58" spans="1:10" x14ac:dyDescent="0.3">
      <c r="A58" t="s">
        <v>48</v>
      </c>
      <c r="B58" t="s">
        <v>802</v>
      </c>
      <c r="C58" t="str">
        <f>UPPER(THrList[[#This Row],[Last_Name]])</f>
        <v>GARCIA</v>
      </c>
      <c r="D58" t="s">
        <v>801</v>
      </c>
      <c r="E58" t="s">
        <v>797</v>
      </c>
      <c r="F58" s="1">
        <v>37518</v>
      </c>
      <c r="G58">
        <f ca="1">DATEDIF(THrList[[#This Row],[Date_of_Birth]],NOW(),"Y")</f>
        <v>23</v>
      </c>
      <c r="H58" t="s">
        <v>843</v>
      </c>
      <c r="I58" t="s">
        <v>793</v>
      </c>
      <c r="J58" t="s">
        <v>803</v>
      </c>
    </row>
    <row r="59" spans="1:10" x14ac:dyDescent="0.3">
      <c r="A59" t="s">
        <v>528</v>
      </c>
      <c r="B59" t="s">
        <v>812</v>
      </c>
      <c r="C59" t="str">
        <f>UPPER(THrList[[#This Row],[Last_Name]])</f>
        <v>CAMARA</v>
      </c>
      <c r="D59" t="s">
        <v>888</v>
      </c>
      <c r="E59" t="s">
        <v>791</v>
      </c>
      <c r="F59" s="1">
        <v>29298</v>
      </c>
      <c r="G59">
        <f ca="1">DATEDIF(THrList[[#This Row],[Date_of_Birth]],NOW(),"Y")</f>
        <v>45</v>
      </c>
      <c r="H59" t="s">
        <v>806</v>
      </c>
      <c r="I59" t="s">
        <v>798</v>
      </c>
      <c r="J59" t="s">
        <v>803</v>
      </c>
    </row>
    <row r="60" spans="1:10" x14ac:dyDescent="0.3">
      <c r="A60" t="s">
        <v>404</v>
      </c>
      <c r="B60" t="s">
        <v>871</v>
      </c>
      <c r="C60" t="str">
        <f>UPPER(THrList[[#This Row],[Last_Name]])</f>
        <v>MENSAH</v>
      </c>
      <c r="D60" t="s">
        <v>837</v>
      </c>
      <c r="E60" t="s">
        <v>791</v>
      </c>
      <c r="F60" s="1">
        <v>29061</v>
      </c>
      <c r="G60">
        <f ca="1">DATEDIF(THrList[[#This Row],[Date_of_Birth]],NOW(),"Y")</f>
        <v>46</v>
      </c>
      <c r="H60" t="s">
        <v>806</v>
      </c>
      <c r="I60" t="s">
        <v>798</v>
      </c>
      <c r="J60" t="s">
        <v>819</v>
      </c>
    </row>
    <row r="61" spans="1:10" x14ac:dyDescent="0.3">
      <c r="A61" t="s">
        <v>889</v>
      </c>
      <c r="B61" t="s">
        <v>800</v>
      </c>
      <c r="C61" t="str">
        <f>UPPER(THrList[[#This Row],[Last_Name]])</f>
        <v>JOHNSON</v>
      </c>
      <c r="D61" t="s">
        <v>857</v>
      </c>
      <c r="E61" t="s">
        <v>797</v>
      </c>
      <c r="F61" s="1">
        <v>37688</v>
      </c>
      <c r="G61">
        <f ca="1">DATEDIF(THrList[[#This Row],[Date_of_Birth]],NOW(),"Y")</f>
        <v>22</v>
      </c>
      <c r="H61" t="s">
        <v>792</v>
      </c>
      <c r="I61" t="s">
        <v>807</v>
      </c>
      <c r="J61" t="s">
        <v>808</v>
      </c>
    </row>
    <row r="62" spans="1:10" x14ac:dyDescent="0.3">
      <c r="A62" t="s">
        <v>57</v>
      </c>
      <c r="B62" t="s">
        <v>802</v>
      </c>
      <c r="C62" t="str">
        <f>UPPER(THrList[[#This Row],[Last_Name]])</f>
        <v>GARCIA</v>
      </c>
      <c r="D62" t="s">
        <v>796</v>
      </c>
      <c r="E62" t="s">
        <v>797</v>
      </c>
      <c r="F62" s="1">
        <v>30238</v>
      </c>
      <c r="G62">
        <f ca="1">DATEDIF(THrList[[#This Row],[Date_of_Birth]],NOW(),"Y")</f>
        <v>43</v>
      </c>
      <c r="H62" t="s">
        <v>792</v>
      </c>
      <c r="I62" t="s">
        <v>807</v>
      </c>
      <c r="J62" t="s">
        <v>835</v>
      </c>
    </row>
    <row r="63" spans="1:10" x14ac:dyDescent="0.3">
      <c r="A63" t="s">
        <v>779</v>
      </c>
      <c r="B63" t="s">
        <v>890</v>
      </c>
      <c r="C63" t="str">
        <f>UPPER(THrList[[#This Row],[Last_Name]])</f>
        <v>ROUSSEAU</v>
      </c>
      <c r="D63" t="s">
        <v>883</v>
      </c>
      <c r="E63" t="s">
        <v>791</v>
      </c>
      <c r="F63" s="1">
        <v>36838</v>
      </c>
      <c r="G63">
        <f ca="1">DATEDIF(THrList[[#This Row],[Date_of_Birth]],NOW(),"Y")</f>
        <v>25</v>
      </c>
      <c r="H63" t="s">
        <v>843</v>
      </c>
      <c r="I63" t="s">
        <v>807</v>
      </c>
      <c r="J63" t="s">
        <v>808</v>
      </c>
    </row>
    <row r="64" spans="1:10" x14ac:dyDescent="0.3">
      <c r="A64" t="s">
        <v>891</v>
      </c>
      <c r="B64" t="s">
        <v>832</v>
      </c>
      <c r="C64" t="str">
        <f>UPPER(THrList[[#This Row],[Last_Name]])</f>
        <v>FOURNIER</v>
      </c>
      <c r="D64" t="s">
        <v>796</v>
      </c>
      <c r="E64" t="s">
        <v>791</v>
      </c>
      <c r="F64" s="1">
        <v>37575</v>
      </c>
      <c r="G64">
        <f ca="1">DATEDIF(THrList[[#This Row],[Date_of_Birth]],NOW(),"Y")</f>
        <v>23</v>
      </c>
      <c r="H64" t="s">
        <v>792</v>
      </c>
      <c r="I64" t="s">
        <v>793</v>
      </c>
      <c r="J64" t="s">
        <v>838</v>
      </c>
    </row>
    <row r="65" spans="1:10" x14ac:dyDescent="0.3">
      <c r="A65" t="s">
        <v>512</v>
      </c>
      <c r="B65" t="s">
        <v>890</v>
      </c>
      <c r="C65" t="str">
        <f>UPPER(THrList[[#This Row],[Last_Name]])</f>
        <v>ROUSSEAU</v>
      </c>
      <c r="D65" t="s">
        <v>881</v>
      </c>
      <c r="E65" t="s">
        <v>797</v>
      </c>
      <c r="F65" s="1">
        <v>26987</v>
      </c>
      <c r="G65">
        <f ca="1">DATEDIF(THrList[[#This Row],[Date_of_Birth]],NOW(),"Y")</f>
        <v>52</v>
      </c>
      <c r="H65" t="s">
        <v>811</v>
      </c>
      <c r="I65" t="s">
        <v>807</v>
      </c>
      <c r="J65" t="s">
        <v>799</v>
      </c>
    </row>
    <row r="66" spans="1:10" x14ac:dyDescent="0.3">
      <c r="A66" t="s">
        <v>305</v>
      </c>
      <c r="B66" t="s">
        <v>892</v>
      </c>
      <c r="C66" t="str">
        <f>UPPER(THrList[[#This Row],[Last_Name]])</f>
        <v>BALDE</v>
      </c>
      <c r="D66" t="s">
        <v>870</v>
      </c>
      <c r="E66" t="s">
        <v>797</v>
      </c>
      <c r="F66" s="1">
        <v>27555</v>
      </c>
      <c r="G66">
        <f ca="1">DATEDIF(THrList[[#This Row],[Date_of_Birth]],NOW(),"Y")</f>
        <v>50</v>
      </c>
      <c r="H66" t="s">
        <v>806</v>
      </c>
      <c r="I66" t="s">
        <v>798</v>
      </c>
      <c r="J66" t="s">
        <v>814</v>
      </c>
    </row>
    <row r="67" spans="1:10" x14ac:dyDescent="0.3">
      <c r="A67" t="s">
        <v>25</v>
      </c>
      <c r="B67" t="s">
        <v>851</v>
      </c>
      <c r="C67" t="str">
        <f>UPPER(THrList[[#This Row],[Last_Name]])</f>
        <v>NGUYEN</v>
      </c>
      <c r="D67" t="s">
        <v>816</v>
      </c>
      <c r="E67" t="s">
        <v>797</v>
      </c>
      <c r="F67" s="1">
        <v>35892</v>
      </c>
      <c r="G67">
        <f ca="1">DATEDIF(THrList[[#This Row],[Date_of_Birth]],NOW(),"Y")</f>
        <v>27</v>
      </c>
      <c r="H67" t="s">
        <v>806</v>
      </c>
      <c r="I67" t="s">
        <v>793</v>
      </c>
      <c r="J67" t="s">
        <v>799</v>
      </c>
    </row>
    <row r="68" spans="1:10" x14ac:dyDescent="0.3">
      <c r="A68" t="s">
        <v>234</v>
      </c>
      <c r="B68" t="s">
        <v>868</v>
      </c>
      <c r="C68" t="str">
        <f>UPPER(THrList[[#This Row],[Last_Name]])</f>
        <v>LOPEZ</v>
      </c>
      <c r="D68" t="s">
        <v>893</v>
      </c>
      <c r="E68" t="s">
        <v>791</v>
      </c>
      <c r="F68" s="1">
        <v>25629</v>
      </c>
      <c r="G68">
        <f ca="1">DATEDIF(THrList[[#This Row],[Date_of_Birth]],NOW(),"Y")</f>
        <v>55</v>
      </c>
      <c r="H68" t="s">
        <v>843</v>
      </c>
      <c r="I68" t="s">
        <v>807</v>
      </c>
      <c r="J68" t="s">
        <v>803</v>
      </c>
    </row>
    <row r="69" spans="1:10" x14ac:dyDescent="0.3">
      <c r="A69" t="s">
        <v>894</v>
      </c>
      <c r="B69" t="s">
        <v>836</v>
      </c>
      <c r="C69" t="str">
        <f>UPPER(THrList[[#This Row],[Last_Name]])</f>
        <v>ANDERSON</v>
      </c>
      <c r="D69" t="s">
        <v>834</v>
      </c>
      <c r="E69" t="s">
        <v>791</v>
      </c>
      <c r="F69" s="1">
        <v>26354</v>
      </c>
      <c r="G69">
        <f ca="1">DATEDIF(THrList[[#This Row],[Date_of_Birth]],NOW(),"Y")</f>
        <v>53</v>
      </c>
      <c r="H69" t="s">
        <v>792</v>
      </c>
      <c r="I69" t="s">
        <v>807</v>
      </c>
      <c r="J69" t="s">
        <v>819</v>
      </c>
    </row>
    <row r="70" spans="1:10" x14ac:dyDescent="0.3">
      <c r="A70" t="s">
        <v>47</v>
      </c>
      <c r="B70" t="s">
        <v>812</v>
      </c>
      <c r="C70" t="str">
        <f>UPPER(THrList[[#This Row],[Last_Name]])</f>
        <v>CAMARA</v>
      </c>
      <c r="D70" t="s">
        <v>881</v>
      </c>
      <c r="E70" t="s">
        <v>797</v>
      </c>
      <c r="F70" s="1">
        <v>25742</v>
      </c>
      <c r="G70">
        <f ca="1">DATEDIF(THrList[[#This Row],[Date_of_Birth]],NOW(),"Y")</f>
        <v>55</v>
      </c>
      <c r="H70" t="s">
        <v>806</v>
      </c>
      <c r="I70" t="s">
        <v>807</v>
      </c>
      <c r="J70" t="s">
        <v>808</v>
      </c>
    </row>
    <row r="71" spans="1:10" x14ac:dyDescent="0.3">
      <c r="A71" t="s">
        <v>228</v>
      </c>
      <c r="B71" t="s">
        <v>862</v>
      </c>
      <c r="C71" t="str">
        <f>UPPER(THrList[[#This Row],[Last_Name]])</f>
        <v>CHEN</v>
      </c>
      <c r="D71" t="s">
        <v>846</v>
      </c>
      <c r="E71" t="s">
        <v>797</v>
      </c>
      <c r="F71" s="1">
        <v>27370</v>
      </c>
      <c r="G71">
        <f ca="1">DATEDIF(THrList[[#This Row],[Date_of_Birth]],NOW(),"Y")</f>
        <v>51</v>
      </c>
      <c r="H71" t="s">
        <v>806</v>
      </c>
      <c r="I71" t="s">
        <v>798</v>
      </c>
      <c r="J71" t="s">
        <v>814</v>
      </c>
    </row>
    <row r="72" spans="1:10" x14ac:dyDescent="0.3">
      <c r="A72" t="s">
        <v>359</v>
      </c>
      <c r="B72" t="s">
        <v>862</v>
      </c>
      <c r="C72" t="str">
        <f>UPPER(THrList[[#This Row],[Last_Name]])</f>
        <v>CHEN</v>
      </c>
      <c r="D72" t="s">
        <v>888</v>
      </c>
      <c r="E72" t="s">
        <v>791</v>
      </c>
      <c r="F72" s="1">
        <v>30615</v>
      </c>
      <c r="G72">
        <f ca="1">DATEDIF(THrList[[#This Row],[Date_of_Birth]],NOW(),"Y")</f>
        <v>42</v>
      </c>
      <c r="H72" t="s">
        <v>806</v>
      </c>
      <c r="I72" t="s">
        <v>807</v>
      </c>
      <c r="J72" t="s">
        <v>838</v>
      </c>
    </row>
    <row r="73" spans="1:10" x14ac:dyDescent="0.3">
      <c r="A73" t="s">
        <v>447</v>
      </c>
      <c r="B73" t="s">
        <v>882</v>
      </c>
      <c r="C73" t="str">
        <f>UPPER(THrList[[#This Row],[Last_Name]])</f>
        <v>WILLIAMS</v>
      </c>
      <c r="D73" t="s">
        <v>895</v>
      </c>
      <c r="E73" t="s">
        <v>791</v>
      </c>
      <c r="F73" s="1">
        <v>33009</v>
      </c>
      <c r="G73">
        <f ca="1">DATEDIF(THrList[[#This Row],[Date_of_Birth]],NOW(),"Y")</f>
        <v>35</v>
      </c>
      <c r="H73" t="s">
        <v>843</v>
      </c>
      <c r="I73" t="s">
        <v>793</v>
      </c>
      <c r="J73" t="s">
        <v>814</v>
      </c>
    </row>
    <row r="74" spans="1:10" x14ac:dyDescent="0.3">
      <c r="A74" t="s">
        <v>351</v>
      </c>
      <c r="B74" t="s">
        <v>833</v>
      </c>
      <c r="C74" t="str">
        <f>UPPER(THrList[[#This Row],[Last_Name]])</f>
        <v>JONES</v>
      </c>
      <c r="D74" t="s">
        <v>881</v>
      </c>
      <c r="E74" t="s">
        <v>797</v>
      </c>
      <c r="F74" s="1">
        <v>29077</v>
      </c>
      <c r="G74">
        <f ca="1">DATEDIF(THrList[[#This Row],[Date_of_Birth]],NOW(),"Y")</f>
        <v>46</v>
      </c>
      <c r="H74" t="s">
        <v>811</v>
      </c>
      <c r="I74" t="s">
        <v>807</v>
      </c>
      <c r="J74" t="s">
        <v>823</v>
      </c>
    </row>
    <row r="75" spans="1:10" x14ac:dyDescent="0.3">
      <c r="A75" t="s">
        <v>456</v>
      </c>
      <c r="B75" t="s">
        <v>847</v>
      </c>
      <c r="C75" t="str">
        <f>UPPER(THrList[[#This Row],[Last_Name]])</f>
        <v>ALI</v>
      </c>
      <c r="D75" t="s">
        <v>857</v>
      </c>
      <c r="E75" t="s">
        <v>797</v>
      </c>
      <c r="F75" s="1">
        <v>29142</v>
      </c>
      <c r="G75">
        <f ca="1">DATEDIF(THrList[[#This Row],[Date_of_Birth]],NOW(),"Y")</f>
        <v>46</v>
      </c>
      <c r="H75" t="s">
        <v>811</v>
      </c>
      <c r="I75" t="s">
        <v>807</v>
      </c>
      <c r="J75" t="s">
        <v>838</v>
      </c>
    </row>
    <row r="76" spans="1:10" x14ac:dyDescent="0.3">
      <c r="A76" t="s">
        <v>174</v>
      </c>
      <c r="B76" t="s">
        <v>896</v>
      </c>
      <c r="C76" t="str">
        <f>UPPER(THrList[[#This Row],[Last_Name]])</f>
        <v>DIOP</v>
      </c>
      <c r="D76" t="s">
        <v>852</v>
      </c>
      <c r="E76" t="s">
        <v>797</v>
      </c>
      <c r="F76" s="1">
        <v>37082</v>
      </c>
      <c r="G76">
        <f ca="1">DATEDIF(THrList[[#This Row],[Date_of_Birth]],NOW(),"Y")</f>
        <v>24</v>
      </c>
      <c r="H76" t="s">
        <v>811</v>
      </c>
      <c r="I76" t="s">
        <v>807</v>
      </c>
      <c r="J76" t="s">
        <v>814</v>
      </c>
    </row>
    <row r="77" spans="1:10" x14ac:dyDescent="0.3">
      <c r="A77" t="s">
        <v>897</v>
      </c>
      <c r="B77" t="s">
        <v>802</v>
      </c>
      <c r="C77" t="str">
        <f>UPPER(THrList[[#This Row],[Last_Name]])</f>
        <v>GARCIA</v>
      </c>
      <c r="D77" t="s">
        <v>870</v>
      </c>
      <c r="E77" t="s">
        <v>797</v>
      </c>
      <c r="F77" s="1">
        <v>34387</v>
      </c>
      <c r="G77">
        <f ca="1">DATEDIF(THrList[[#This Row],[Date_of_Birth]],NOW(),"Y")</f>
        <v>31</v>
      </c>
      <c r="H77" t="s">
        <v>811</v>
      </c>
      <c r="I77" t="s">
        <v>807</v>
      </c>
      <c r="J77" t="s">
        <v>838</v>
      </c>
    </row>
    <row r="78" spans="1:10" x14ac:dyDescent="0.3">
      <c r="A78" t="s">
        <v>565</v>
      </c>
      <c r="B78" t="s">
        <v>882</v>
      </c>
      <c r="C78" t="str">
        <f>UPPER(THrList[[#This Row],[Last_Name]])</f>
        <v>WILLIAMS</v>
      </c>
      <c r="D78" t="s">
        <v>842</v>
      </c>
      <c r="E78" t="s">
        <v>791</v>
      </c>
      <c r="F78" s="1">
        <v>37163</v>
      </c>
      <c r="G78">
        <f ca="1">DATEDIF(THrList[[#This Row],[Date_of_Birth]],NOW(),"Y")</f>
        <v>24</v>
      </c>
      <c r="H78" t="s">
        <v>806</v>
      </c>
      <c r="I78" t="s">
        <v>798</v>
      </c>
      <c r="J78" t="s">
        <v>823</v>
      </c>
    </row>
    <row r="79" spans="1:10" x14ac:dyDescent="0.3">
      <c r="A79" t="s">
        <v>339</v>
      </c>
      <c r="B79" t="s">
        <v>809</v>
      </c>
      <c r="C79" t="str">
        <f>UPPER(THrList[[#This Row],[Last_Name]])</f>
        <v>TRAORE</v>
      </c>
      <c r="D79" t="s">
        <v>834</v>
      </c>
      <c r="E79" t="s">
        <v>791</v>
      </c>
      <c r="F79" s="1">
        <v>38219</v>
      </c>
      <c r="G79">
        <f ca="1">DATEDIF(THrList[[#This Row],[Date_of_Birth]],NOW(),"Y")</f>
        <v>21</v>
      </c>
      <c r="H79" t="s">
        <v>792</v>
      </c>
      <c r="I79" t="s">
        <v>793</v>
      </c>
      <c r="J79" t="s">
        <v>819</v>
      </c>
    </row>
    <row r="80" spans="1:10" x14ac:dyDescent="0.3">
      <c r="A80" t="s">
        <v>691</v>
      </c>
      <c r="B80" t="s">
        <v>898</v>
      </c>
      <c r="C80" t="str">
        <f>UPPER(THrList[[#This Row],[Last_Name]])</f>
        <v>MOREAU</v>
      </c>
      <c r="D80" t="s">
        <v>810</v>
      </c>
      <c r="E80" t="s">
        <v>791</v>
      </c>
      <c r="F80" s="1">
        <v>28763</v>
      </c>
      <c r="G80">
        <f ca="1">DATEDIF(THrList[[#This Row],[Date_of_Birth]],NOW(),"Y")</f>
        <v>47</v>
      </c>
      <c r="H80" t="s">
        <v>806</v>
      </c>
      <c r="I80" t="s">
        <v>793</v>
      </c>
      <c r="J80" t="s">
        <v>794</v>
      </c>
    </row>
    <row r="81" spans="1:10" x14ac:dyDescent="0.3">
      <c r="A81" t="s">
        <v>463</v>
      </c>
      <c r="B81" t="s">
        <v>836</v>
      </c>
      <c r="C81" t="str">
        <f>UPPER(THrList[[#This Row],[Last_Name]])</f>
        <v>ANDERSON</v>
      </c>
      <c r="D81" t="s">
        <v>790</v>
      </c>
      <c r="E81" t="s">
        <v>797</v>
      </c>
      <c r="F81" s="1">
        <v>35985</v>
      </c>
      <c r="G81">
        <f ca="1">DATEDIF(THrList[[#This Row],[Date_of_Birth]],NOW(),"Y")</f>
        <v>27</v>
      </c>
      <c r="H81" t="s">
        <v>806</v>
      </c>
      <c r="I81" t="s">
        <v>807</v>
      </c>
      <c r="J81" t="s">
        <v>835</v>
      </c>
    </row>
    <row r="82" spans="1:10" x14ac:dyDescent="0.3">
      <c r="A82" t="s">
        <v>424</v>
      </c>
      <c r="B82" t="s">
        <v>802</v>
      </c>
      <c r="C82" t="str">
        <f>UPPER(THrList[[#This Row],[Last_Name]])</f>
        <v>GARCIA</v>
      </c>
      <c r="D82" t="s">
        <v>899</v>
      </c>
      <c r="E82" t="s">
        <v>791</v>
      </c>
      <c r="F82" s="1">
        <v>37397</v>
      </c>
      <c r="G82">
        <f ca="1">DATEDIF(THrList[[#This Row],[Date_of_Birth]],NOW(),"Y")</f>
        <v>23</v>
      </c>
      <c r="H82" t="s">
        <v>843</v>
      </c>
      <c r="I82" t="s">
        <v>793</v>
      </c>
      <c r="J82" t="s">
        <v>823</v>
      </c>
    </row>
    <row r="83" spans="1:10" x14ac:dyDescent="0.3">
      <c r="A83" t="s">
        <v>439</v>
      </c>
      <c r="B83" t="s">
        <v>826</v>
      </c>
      <c r="C83" t="str">
        <f>UPPER(THrList[[#This Row],[Last_Name]])</f>
        <v>RODRIGUEZ</v>
      </c>
      <c r="D83" t="s">
        <v>900</v>
      </c>
      <c r="E83" t="s">
        <v>791</v>
      </c>
      <c r="F83" s="1">
        <v>34277</v>
      </c>
      <c r="G83">
        <f ca="1">DATEDIF(THrList[[#This Row],[Date_of_Birth]],NOW(),"Y")</f>
        <v>32</v>
      </c>
      <c r="H83" t="s">
        <v>843</v>
      </c>
      <c r="I83" t="s">
        <v>807</v>
      </c>
      <c r="J83" t="s">
        <v>808</v>
      </c>
    </row>
    <row r="84" spans="1:10" x14ac:dyDescent="0.3">
      <c r="A84" t="s">
        <v>197</v>
      </c>
      <c r="B84" t="s">
        <v>817</v>
      </c>
      <c r="C84" t="str">
        <f>UPPER(THrList[[#This Row],[Last_Name]])</f>
        <v>JACKSON</v>
      </c>
      <c r="D84" t="s">
        <v>885</v>
      </c>
      <c r="E84" t="s">
        <v>797</v>
      </c>
      <c r="F84" s="1">
        <v>36359</v>
      </c>
      <c r="G84">
        <f ca="1">DATEDIF(THrList[[#This Row],[Date_of_Birth]],NOW(),"Y")</f>
        <v>26</v>
      </c>
      <c r="H84" t="s">
        <v>811</v>
      </c>
      <c r="I84" t="s">
        <v>798</v>
      </c>
      <c r="J84" t="s">
        <v>835</v>
      </c>
    </row>
    <row r="85" spans="1:10" x14ac:dyDescent="0.3">
      <c r="A85" t="s">
        <v>294</v>
      </c>
      <c r="B85" t="s">
        <v>826</v>
      </c>
      <c r="C85" t="str">
        <f>UPPER(THrList[[#This Row],[Last_Name]])</f>
        <v>RODRIGUEZ</v>
      </c>
      <c r="D85" t="s">
        <v>901</v>
      </c>
      <c r="E85" t="s">
        <v>797</v>
      </c>
      <c r="F85" s="1">
        <v>29899</v>
      </c>
      <c r="G85">
        <f ca="1">DATEDIF(THrList[[#This Row],[Date_of_Birth]],NOW(),"Y")</f>
        <v>44</v>
      </c>
      <c r="H85" t="s">
        <v>792</v>
      </c>
      <c r="I85" t="s">
        <v>798</v>
      </c>
      <c r="J85" t="s">
        <v>803</v>
      </c>
    </row>
    <row r="86" spans="1:10" x14ac:dyDescent="0.3">
      <c r="A86" t="s">
        <v>159</v>
      </c>
      <c r="B86" t="s">
        <v>896</v>
      </c>
      <c r="C86" t="str">
        <f>UPPER(THrList[[#This Row],[Last_Name]])</f>
        <v>DIOP</v>
      </c>
      <c r="D86" t="s">
        <v>878</v>
      </c>
      <c r="E86" t="s">
        <v>791</v>
      </c>
      <c r="F86" s="1">
        <v>31034</v>
      </c>
      <c r="G86">
        <f ca="1">DATEDIF(THrList[[#This Row],[Date_of_Birth]],NOW(),"Y")</f>
        <v>41</v>
      </c>
      <c r="H86" t="s">
        <v>806</v>
      </c>
      <c r="I86" t="s">
        <v>793</v>
      </c>
      <c r="J86" t="s">
        <v>823</v>
      </c>
    </row>
    <row r="87" spans="1:10" x14ac:dyDescent="0.3">
      <c r="A87" t="s">
        <v>902</v>
      </c>
      <c r="B87" t="s">
        <v>824</v>
      </c>
      <c r="C87" t="str">
        <f>UPPER(THrList[[#This Row],[Last_Name]])</f>
        <v>SOW</v>
      </c>
      <c r="D87" t="s">
        <v>864</v>
      </c>
      <c r="E87" t="s">
        <v>791</v>
      </c>
      <c r="F87" s="1">
        <v>33626</v>
      </c>
      <c r="G87">
        <f ca="1">DATEDIF(THrList[[#This Row],[Date_of_Birth]],NOW(),"Y")</f>
        <v>33</v>
      </c>
      <c r="H87" t="s">
        <v>792</v>
      </c>
      <c r="I87" t="s">
        <v>807</v>
      </c>
      <c r="J87" t="s">
        <v>819</v>
      </c>
    </row>
    <row r="88" spans="1:10" x14ac:dyDescent="0.3">
      <c r="A88" t="s">
        <v>593</v>
      </c>
      <c r="B88" t="s">
        <v>824</v>
      </c>
      <c r="C88" t="str">
        <f>UPPER(THrList[[#This Row],[Last_Name]])</f>
        <v>SOW</v>
      </c>
      <c r="D88" t="s">
        <v>876</v>
      </c>
      <c r="E88" t="s">
        <v>791</v>
      </c>
      <c r="F88" s="1">
        <v>37859</v>
      </c>
      <c r="G88">
        <f ca="1">DATEDIF(THrList[[#This Row],[Date_of_Birth]],NOW(),"Y")</f>
        <v>22</v>
      </c>
      <c r="H88" t="s">
        <v>843</v>
      </c>
      <c r="I88" t="s">
        <v>807</v>
      </c>
      <c r="J88" t="s">
        <v>799</v>
      </c>
    </row>
    <row r="89" spans="1:10" x14ac:dyDescent="0.3">
      <c r="A89" t="s">
        <v>474</v>
      </c>
      <c r="B89" t="s">
        <v>812</v>
      </c>
      <c r="C89" t="str">
        <f>UPPER(THrList[[#This Row],[Last_Name]])</f>
        <v>CAMARA</v>
      </c>
      <c r="D89" t="s">
        <v>860</v>
      </c>
      <c r="E89" t="s">
        <v>797</v>
      </c>
      <c r="F89" s="1">
        <v>34500</v>
      </c>
      <c r="G89">
        <f ca="1">DATEDIF(THrList[[#This Row],[Date_of_Birth]],NOW(),"Y")</f>
        <v>31</v>
      </c>
      <c r="H89" t="s">
        <v>806</v>
      </c>
      <c r="I89" t="s">
        <v>798</v>
      </c>
      <c r="J89" t="s">
        <v>808</v>
      </c>
    </row>
    <row r="90" spans="1:10" x14ac:dyDescent="0.3">
      <c r="A90" t="s">
        <v>903</v>
      </c>
      <c r="B90" t="s">
        <v>904</v>
      </c>
      <c r="C90" t="str">
        <f>UPPER(THrList[[#This Row],[Last_Name]])</f>
        <v>SINGH</v>
      </c>
      <c r="D90" t="s">
        <v>881</v>
      </c>
      <c r="E90" t="s">
        <v>791</v>
      </c>
      <c r="F90" s="1">
        <v>35839</v>
      </c>
      <c r="G90">
        <f ca="1">DATEDIF(THrList[[#This Row],[Date_of_Birth]],NOW(),"Y")</f>
        <v>27</v>
      </c>
      <c r="H90" t="s">
        <v>792</v>
      </c>
      <c r="I90" t="s">
        <v>807</v>
      </c>
      <c r="J90" t="s">
        <v>819</v>
      </c>
    </row>
    <row r="91" spans="1:10" x14ac:dyDescent="0.3">
      <c r="A91" t="s">
        <v>905</v>
      </c>
      <c r="B91" t="s">
        <v>847</v>
      </c>
      <c r="C91" t="str">
        <f>UPPER(THrList[[#This Row],[Last_Name]])</f>
        <v>ALI</v>
      </c>
      <c r="D91" t="s">
        <v>796</v>
      </c>
      <c r="E91" t="s">
        <v>791</v>
      </c>
      <c r="F91" s="1">
        <v>33028</v>
      </c>
      <c r="G91">
        <f ca="1">DATEDIF(THrList[[#This Row],[Date_of_Birth]],NOW(),"Y")</f>
        <v>35</v>
      </c>
      <c r="H91" t="s">
        <v>811</v>
      </c>
      <c r="I91" t="s">
        <v>807</v>
      </c>
      <c r="J91" t="s">
        <v>1068</v>
      </c>
    </row>
    <row r="92" spans="1:10" x14ac:dyDescent="0.3">
      <c r="A92" t="s">
        <v>448</v>
      </c>
      <c r="B92" t="s">
        <v>829</v>
      </c>
      <c r="C92" t="str">
        <f>UPPER(THrList[[#This Row],[Last_Name]])</f>
        <v>HASSAN</v>
      </c>
      <c r="D92" t="s">
        <v>906</v>
      </c>
      <c r="E92" t="s">
        <v>791</v>
      </c>
      <c r="F92" s="1">
        <v>28794</v>
      </c>
      <c r="G92">
        <f ca="1">DATEDIF(THrList[[#This Row],[Date_of_Birth]],NOW(),"Y")</f>
        <v>47</v>
      </c>
      <c r="H92" t="s">
        <v>811</v>
      </c>
      <c r="I92" t="s">
        <v>798</v>
      </c>
      <c r="J92" t="s">
        <v>808</v>
      </c>
    </row>
    <row r="93" spans="1:10" x14ac:dyDescent="0.3">
      <c r="A93" t="s">
        <v>453</v>
      </c>
      <c r="B93" t="s">
        <v>907</v>
      </c>
      <c r="C93" t="str">
        <f>UPPER(THrList[[#This Row],[Last_Name]])</f>
        <v>GONZALEZ</v>
      </c>
      <c r="D93" t="s">
        <v>849</v>
      </c>
      <c r="E93" t="s">
        <v>797</v>
      </c>
      <c r="F93" s="1">
        <v>29805</v>
      </c>
      <c r="G93">
        <f ca="1">DATEDIF(THrList[[#This Row],[Date_of_Birth]],NOW(),"Y")</f>
        <v>44</v>
      </c>
      <c r="H93" t="s">
        <v>806</v>
      </c>
      <c r="I93" t="s">
        <v>807</v>
      </c>
      <c r="J93" t="s">
        <v>835</v>
      </c>
    </row>
    <row r="94" spans="1:10" x14ac:dyDescent="0.3">
      <c r="A94" t="s">
        <v>908</v>
      </c>
      <c r="B94" t="s">
        <v>898</v>
      </c>
      <c r="C94" t="str">
        <f>UPPER(THrList[[#This Row],[Last_Name]])</f>
        <v>MOREAU</v>
      </c>
      <c r="D94" t="s">
        <v>849</v>
      </c>
      <c r="E94" t="s">
        <v>791</v>
      </c>
      <c r="F94" s="1">
        <v>38122</v>
      </c>
      <c r="G94">
        <f ca="1">DATEDIF(THrList[[#This Row],[Date_of_Birth]],NOW(),"Y")</f>
        <v>21</v>
      </c>
      <c r="H94" t="s">
        <v>806</v>
      </c>
      <c r="I94" t="s">
        <v>793</v>
      </c>
      <c r="J94" t="s">
        <v>838</v>
      </c>
    </row>
    <row r="95" spans="1:10" x14ac:dyDescent="0.3">
      <c r="A95" t="s">
        <v>365</v>
      </c>
      <c r="B95" t="s">
        <v>824</v>
      </c>
      <c r="C95" t="str">
        <f>UPPER(THrList[[#This Row],[Last_Name]])</f>
        <v>SOW</v>
      </c>
      <c r="D95" t="s">
        <v>829</v>
      </c>
      <c r="E95" t="s">
        <v>797</v>
      </c>
      <c r="F95" s="1">
        <v>36303</v>
      </c>
      <c r="G95">
        <f ca="1">DATEDIF(THrList[[#This Row],[Date_of_Birth]],NOW(),"Y")</f>
        <v>26</v>
      </c>
      <c r="H95" t="s">
        <v>843</v>
      </c>
      <c r="I95" t="s">
        <v>793</v>
      </c>
      <c r="J95" t="s">
        <v>838</v>
      </c>
    </row>
    <row r="96" spans="1:10" x14ac:dyDescent="0.3">
      <c r="A96" t="s">
        <v>778</v>
      </c>
      <c r="B96" t="s">
        <v>909</v>
      </c>
      <c r="C96" t="str">
        <f>UPPER(THrList[[#This Row],[Last_Name]])</f>
        <v>DAVIS</v>
      </c>
      <c r="D96" t="s">
        <v>830</v>
      </c>
      <c r="E96" t="s">
        <v>797</v>
      </c>
      <c r="F96" s="1">
        <v>32143</v>
      </c>
      <c r="G96">
        <f ca="1">DATEDIF(THrList[[#This Row],[Date_of_Birth]],NOW(),"Y")</f>
        <v>37</v>
      </c>
      <c r="H96" t="s">
        <v>792</v>
      </c>
      <c r="I96" t="s">
        <v>793</v>
      </c>
      <c r="J96" t="s">
        <v>814</v>
      </c>
    </row>
    <row r="97" spans="1:10" x14ac:dyDescent="0.3">
      <c r="A97" t="s">
        <v>390</v>
      </c>
      <c r="B97" t="s">
        <v>862</v>
      </c>
      <c r="C97" t="str">
        <f>UPPER(THrList[[#This Row],[Last_Name]])</f>
        <v>CHEN</v>
      </c>
      <c r="D97" t="s">
        <v>827</v>
      </c>
      <c r="E97" t="s">
        <v>791</v>
      </c>
      <c r="F97" s="1">
        <v>28645</v>
      </c>
      <c r="G97">
        <f ca="1">DATEDIF(THrList[[#This Row],[Date_of_Birth]],NOW(),"Y")</f>
        <v>47</v>
      </c>
      <c r="H97" t="s">
        <v>843</v>
      </c>
      <c r="I97" t="s">
        <v>798</v>
      </c>
      <c r="J97" t="s">
        <v>1068</v>
      </c>
    </row>
    <row r="98" spans="1:10" x14ac:dyDescent="0.3">
      <c r="A98" t="s">
        <v>84</v>
      </c>
      <c r="B98" t="s">
        <v>910</v>
      </c>
      <c r="C98" t="str">
        <f>UPPER(THrList[[#This Row],[Last_Name]])</f>
        <v>KHAN</v>
      </c>
      <c r="D98" t="s">
        <v>900</v>
      </c>
      <c r="E98" t="s">
        <v>797</v>
      </c>
      <c r="F98" s="1">
        <v>34608</v>
      </c>
      <c r="G98">
        <f ca="1">DATEDIF(THrList[[#This Row],[Date_of_Birth]],NOW(),"Y")</f>
        <v>31</v>
      </c>
      <c r="H98" t="s">
        <v>811</v>
      </c>
      <c r="I98" t="s">
        <v>798</v>
      </c>
      <c r="J98" t="s">
        <v>799</v>
      </c>
    </row>
    <row r="99" spans="1:10" x14ac:dyDescent="0.3">
      <c r="A99" t="s">
        <v>33</v>
      </c>
      <c r="B99" t="s">
        <v>910</v>
      </c>
      <c r="C99" t="str">
        <f>UPPER(THrList[[#This Row],[Last_Name]])</f>
        <v>KHAN</v>
      </c>
      <c r="D99" t="s">
        <v>827</v>
      </c>
      <c r="E99" t="s">
        <v>797</v>
      </c>
      <c r="F99" s="1">
        <v>26206</v>
      </c>
      <c r="G99">
        <f ca="1">DATEDIF(THrList[[#This Row],[Date_of_Birth]],NOW(),"Y")</f>
        <v>54</v>
      </c>
      <c r="H99" t="s">
        <v>792</v>
      </c>
      <c r="I99" t="s">
        <v>807</v>
      </c>
      <c r="J99" t="s">
        <v>835</v>
      </c>
    </row>
    <row r="100" spans="1:10" x14ac:dyDescent="0.3">
      <c r="A100" t="s">
        <v>480</v>
      </c>
      <c r="B100" t="s">
        <v>910</v>
      </c>
      <c r="C100" t="str">
        <f>UPPER(THrList[[#This Row],[Last_Name]])</f>
        <v>KHAN</v>
      </c>
      <c r="D100" t="s">
        <v>829</v>
      </c>
      <c r="E100" t="s">
        <v>791</v>
      </c>
      <c r="F100" s="1">
        <v>36011</v>
      </c>
      <c r="G100">
        <f ca="1">DATEDIF(THrList[[#This Row],[Date_of_Birth]],NOW(),"Y")</f>
        <v>27</v>
      </c>
      <c r="H100" t="s">
        <v>811</v>
      </c>
      <c r="I100" t="s">
        <v>793</v>
      </c>
      <c r="J100" t="s">
        <v>803</v>
      </c>
    </row>
    <row r="101" spans="1:10" x14ac:dyDescent="0.3">
      <c r="A101" t="s">
        <v>780</v>
      </c>
      <c r="B101" t="s">
        <v>911</v>
      </c>
      <c r="C101" t="str">
        <f>UPPER(THrList[[#This Row],[Last_Name]])</f>
        <v>BROWN</v>
      </c>
      <c r="D101" t="s">
        <v>888</v>
      </c>
      <c r="E101" t="s">
        <v>797</v>
      </c>
      <c r="F101" s="1">
        <v>34088</v>
      </c>
      <c r="G101">
        <f ca="1">DATEDIF(THrList[[#This Row],[Date_of_Birth]],NOW(),"Y")</f>
        <v>32</v>
      </c>
      <c r="H101" t="s">
        <v>811</v>
      </c>
      <c r="I101" t="s">
        <v>807</v>
      </c>
      <c r="J101" t="s">
        <v>794</v>
      </c>
    </row>
    <row r="102" spans="1:10" x14ac:dyDescent="0.3">
      <c r="A102" t="s">
        <v>912</v>
      </c>
      <c r="B102" t="s">
        <v>833</v>
      </c>
      <c r="C102" t="str">
        <f>UPPER(THrList[[#This Row],[Last_Name]])</f>
        <v>JONES</v>
      </c>
      <c r="D102" t="s">
        <v>837</v>
      </c>
      <c r="E102" t="s">
        <v>797</v>
      </c>
      <c r="F102" s="1">
        <v>30513</v>
      </c>
      <c r="G102">
        <f ca="1">DATEDIF(THrList[[#This Row],[Date_of_Birth]],NOW(),"Y")</f>
        <v>42</v>
      </c>
      <c r="H102" t="s">
        <v>811</v>
      </c>
      <c r="I102" t="s">
        <v>798</v>
      </c>
      <c r="J102" t="s">
        <v>838</v>
      </c>
    </row>
    <row r="103" spans="1:10" x14ac:dyDescent="0.3">
      <c r="A103" t="s">
        <v>165</v>
      </c>
      <c r="B103" t="s">
        <v>913</v>
      </c>
      <c r="C103" t="str">
        <f>UPPER(THrList[[#This Row],[Last_Name]])</f>
        <v>MERCIER</v>
      </c>
      <c r="D103" t="s">
        <v>914</v>
      </c>
      <c r="E103" t="s">
        <v>797</v>
      </c>
      <c r="F103" s="1">
        <v>37127</v>
      </c>
      <c r="G103">
        <f ca="1">DATEDIF(THrList[[#This Row],[Date_of_Birth]],NOW(),"Y")</f>
        <v>24</v>
      </c>
      <c r="H103" t="s">
        <v>811</v>
      </c>
      <c r="I103" t="s">
        <v>807</v>
      </c>
      <c r="J103" t="s">
        <v>814</v>
      </c>
    </row>
    <row r="104" spans="1:10" x14ac:dyDescent="0.3">
      <c r="A104" t="s">
        <v>289</v>
      </c>
      <c r="B104" t="s">
        <v>911</v>
      </c>
      <c r="C104" t="str">
        <f>UPPER(THrList[[#This Row],[Last_Name]])</f>
        <v>BROWN</v>
      </c>
      <c r="D104" t="s">
        <v>915</v>
      </c>
      <c r="E104" t="s">
        <v>797</v>
      </c>
      <c r="F104" s="1">
        <v>36710</v>
      </c>
      <c r="G104">
        <f ca="1">DATEDIF(THrList[[#This Row],[Date_of_Birth]],NOW(),"Y")</f>
        <v>25</v>
      </c>
      <c r="H104" t="s">
        <v>806</v>
      </c>
      <c r="I104" t="s">
        <v>798</v>
      </c>
      <c r="J104" t="s">
        <v>835</v>
      </c>
    </row>
    <row r="105" spans="1:10" x14ac:dyDescent="0.3">
      <c r="A105" t="s">
        <v>263</v>
      </c>
      <c r="B105" t="s">
        <v>882</v>
      </c>
      <c r="C105" t="str">
        <f>UPPER(THrList[[#This Row],[Last_Name]])</f>
        <v>WILLIAMS</v>
      </c>
      <c r="D105" t="s">
        <v>874</v>
      </c>
      <c r="E105" t="s">
        <v>791</v>
      </c>
      <c r="F105" s="1">
        <v>29635</v>
      </c>
      <c r="G105">
        <f ca="1">DATEDIF(THrList[[#This Row],[Date_of_Birth]],NOW(),"Y")</f>
        <v>44</v>
      </c>
      <c r="H105" t="s">
        <v>792</v>
      </c>
      <c r="I105" t="s">
        <v>798</v>
      </c>
      <c r="J105" t="s">
        <v>799</v>
      </c>
    </row>
    <row r="106" spans="1:10" x14ac:dyDescent="0.3">
      <c r="A106" t="s">
        <v>400</v>
      </c>
      <c r="B106" t="s">
        <v>832</v>
      </c>
      <c r="C106" t="str">
        <f>UPPER(THrList[[#This Row],[Last_Name]])</f>
        <v>FOURNIER</v>
      </c>
      <c r="D106" t="s">
        <v>852</v>
      </c>
      <c r="E106" t="s">
        <v>791</v>
      </c>
      <c r="F106" s="1">
        <v>30418</v>
      </c>
      <c r="G106">
        <f ca="1">DATEDIF(THrList[[#This Row],[Date_of_Birth]],NOW(),"Y")</f>
        <v>42</v>
      </c>
      <c r="H106" t="s">
        <v>843</v>
      </c>
      <c r="I106" t="s">
        <v>793</v>
      </c>
      <c r="J106" t="s">
        <v>808</v>
      </c>
    </row>
    <row r="107" spans="1:10" x14ac:dyDescent="0.3">
      <c r="A107" t="s">
        <v>664</v>
      </c>
      <c r="B107" t="s">
        <v>882</v>
      </c>
      <c r="C107" t="str">
        <f>UPPER(THrList[[#This Row],[Last_Name]])</f>
        <v>WILLIAMS</v>
      </c>
      <c r="D107" t="s">
        <v>895</v>
      </c>
      <c r="E107" t="s">
        <v>797</v>
      </c>
      <c r="F107" s="1">
        <v>33333</v>
      </c>
      <c r="G107">
        <f ca="1">DATEDIF(THrList[[#This Row],[Date_of_Birth]],NOW(),"Y")</f>
        <v>34</v>
      </c>
      <c r="H107" t="s">
        <v>806</v>
      </c>
      <c r="I107" t="s">
        <v>793</v>
      </c>
      <c r="J107" t="s">
        <v>823</v>
      </c>
    </row>
    <row r="108" spans="1:10" x14ac:dyDescent="0.3">
      <c r="A108" t="s">
        <v>916</v>
      </c>
      <c r="B108" t="s">
        <v>824</v>
      </c>
      <c r="C108" t="str">
        <f>UPPER(THrList[[#This Row],[Last_Name]])</f>
        <v>SOW</v>
      </c>
      <c r="D108" t="s">
        <v>895</v>
      </c>
      <c r="E108" t="s">
        <v>791</v>
      </c>
      <c r="F108" s="1">
        <v>33312</v>
      </c>
      <c r="G108">
        <f ca="1">DATEDIF(THrList[[#This Row],[Date_of_Birth]],NOW(),"Y")</f>
        <v>34</v>
      </c>
      <c r="H108" t="s">
        <v>811</v>
      </c>
      <c r="I108" t="s">
        <v>793</v>
      </c>
      <c r="J108" t="s">
        <v>835</v>
      </c>
    </row>
    <row r="109" spans="1:10" x14ac:dyDescent="0.3">
      <c r="A109" t="s">
        <v>122</v>
      </c>
      <c r="B109" t="s">
        <v>917</v>
      </c>
      <c r="C109" t="str">
        <f>UPPER(THrList[[#This Row],[Last_Name]])</f>
        <v>LAURENT</v>
      </c>
      <c r="D109" t="s">
        <v>918</v>
      </c>
      <c r="E109" t="s">
        <v>797</v>
      </c>
      <c r="F109" s="1">
        <v>32876</v>
      </c>
      <c r="G109">
        <f ca="1">DATEDIF(THrList[[#This Row],[Date_of_Birth]],NOW(),"Y")</f>
        <v>35</v>
      </c>
      <c r="H109" t="s">
        <v>843</v>
      </c>
      <c r="I109" t="s">
        <v>807</v>
      </c>
      <c r="J109" t="s">
        <v>823</v>
      </c>
    </row>
    <row r="110" spans="1:10" x14ac:dyDescent="0.3">
      <c r="A110" t="s">
        <v>314</v>
      </c>
      <c r="B110" t="s">
        <v>855</v>
      </c>
      <c r="C110" t="str">
        <f>UPPER(THrList[[#This Row],[Last_Name]])</f>
        <v>TAYLOR</v>
      </c>
      <c r="D110" t="s">
        <v>874</v>
      </c>
      <c r="E110" t="s">
        <v>791</v>
      </c>
      <c r="F110" s="1">
        <v>35041</v>
      </c>
      <c r="G110">
        <f ca="1">DATEDIF(THrList[[#This Row],[Date_of_Birth]],NOW(),"Y")</f>
        <v>30</v>
      </c>
      <c r="H110" t="s">
        <v>843</v>
      </c>
      <c r="I110" t="s">
        <v>798</v>
      </c>
      <c r="J110" t="s">
        <v>814</v>
      </c>
    </row>
    <row r="111" spans="1:10" x14ac:dyDescent="0.3">
      <c r="A111" t="s">
        <v>689</v>
      </c>
      <c r="B111" t="s">
        <v>800</v>
      </c>
      <c r="C111" t="str">
        <f>UPPER(THrList[[#This Row],[Last_Name]])</f>
        <v>JOHNSON</v>
      </c>
      <c r="D111" t="s">
        <v>860</v>
      </c>
      <c r="E111" t="s">
        <v>791</v>
      </c>
      <c r="F111" s="1">
        <v>26794</v>
      </c>
      <c r="G111">
        <f ca="1">DATEDIF(THrList[[#This Row],[Date_of_Birth]],NOW(),"Y")</f>
        <v>52</v>
      </c>
      <c r="H111" t="s">
        <v>792</v>
      </c>
      <c r="I111" t="s">
        <v>793</v>
      </c>
      <c r="J111" t="s">
        <v>835</v>
      </c>
    </row>
    <row r="112" spans="1:10" x14ac:dyDescent="0.3">
      <c r="A112" t="s">
        <v>138</v>
      </c>
      <c r="B112" t="s">
        <v>882</v>
      </c>
      <c r="C112" t="str">
        <f>UPPER(THrList[[#This Row],[Last_Name]])</f>
        <v>WILLIAMS</v>
      </c>
      <c r="D112" t="s">
        <v>919</v>
      </c>
      <c r="E112" t="s">
        <v>791</v>
      </c>
      <c r="F112" s="1">
        <v>35410</v>
      </c>
      <c r="G112">
        <f ca="1">DATEDIF(THrList[[#This Row],[Date_of_Birth]],NOW(),"Y")</f>
        <v>29</v>
      </c>
      <c r="H112" t="s">
        <v>843</v>
      </c>
      <c r="I112" t="s">
        <v>793</v>
      </c>
      <c r="J112" t="s">
        <v>808</v>
      </c>
    </row>
    <row r="113" spans="1:10" x14ac:dyDescent="0.3">
      <c r="A113" t="s">
        <v>543</v>
      </c>
      <c r="B113" t="s">
        <v>886</v>
      </c>
      <c r="C113" t="str">
        <f>UPPER(THrList[[#This Row],[Last_Name]])</f>
        <v>MARTINEZ</v>
      </c>
      <c r="D113" t="s">
        <v>870</v>
      </c>
      <c r="E113" t="s">
        <v>797</v>
      </c>
      <c r="F113" s="1">
        <v>36448</v>
      </c>
      <c r="G113">
        <f ca="1">DATEDIF(THrList[[#This Row],[Date_of_Birth]],NOW(),"Y")</f>
        <v>26</v>
      </c>
      <c r="H113" t="s">
        <v>806</v>
      </c>
      <c r="I113" t="s">
        <v>798</v>
      </c>
      <c r="J113" t="s">
        <v>808</v>
      </c>
    </row>
    <row r="114" spans="1:10" x14ac:dyDescent="0.3">
      <c r="A114" t="s">
        <v>358</v>
      </c>
      <c r="B114" t="s">
        <v>845</v>
      </c>
      <c r="C114" t="str">
        <f>UPPER(THrList[[#This Row],[Last_Name]])</f>
        <v>WILSON</v>
      </c>
      <c r="D114" t="s">
        <v>914</v>
      </c>
      <c r="E114" t="s">
        <v>791</v>
      </c>
      <c r="F114" s="1">
        <v>28282</v>
      </c>
      <c r="G114">
        <f ca="1">DATEDIF(THrList[[#This Row],[Date_of_Birth]],NOW(),"Y")</f>
        <v>48</v>
      </c>
      <c r="H114" t="s">
        <v>806</v>
      </c>
      <c r="I114" t="s">
        <v>807</v>
      </c>
      <c r="J114" t="s">
        <v>823</v>
      </c>
    </row>
    <row r="115" spans="1:10" x14ac:dyDescent="0.3">
      <c r="A115" t="s">
        <v>445</v>
      </c>
      <c r="B115" t="s">
        <v>789</v>
      </c>
      <c r="C115" t="str">
        <f>UPPER(THrList[[#This Row],[Last_Name]])</f>
        <v>LEROY</v>
      </c>
      <c r="D115" t="s">
        <v>860</v>
      </c>
      <c r="E115" t="s">
        <v>791</v>
      </c>
      <c r="F115" s="1">
        <v>35600</v>
      </c>
      <c r="G115">
        <f ca="1">DATEDIF(THrList[[#This Row],[Date_of_Birth]],NOW(),"Y")</f>
        <v>28</v>
      </c>
      <c r="H115" t="s">
        <v>843</v>
      </c>
      <c r="I115" t="s">
        <v>793</v>
      </c>
      <c r="J115" t="s">
        <v>835</v>
      </c>
    </row>
    <row r="116" spans="1:10" x14ac:dyDescent="0.3">
      <c r="A116" t="s">
        <v>749</v>
      </c>
      <c r="B116" t="s">
        <v>920</v>
      </c>
      <c r="C116" t="str">
        <f>UPPER(THrList[[#This Row],[Last_Name]])</f>
        <v>HERNANDEZ</v>
      </c>
      <c r="D116" t="s">
        <v>842</v>
      </c>
      <c r="E116" t="s">
        <v>797</v>
      </c>
      <c r="F116" s="1">
        <v>32864</v>
      </c>
      <c r="G116">
        <f ca="1">DATEDIF(THrList[[#This Row],[Date_of_Birth]],NOW(),"Y")</f>
        <v>35</v>
      </c>
      <c r="H116" t="s">
        <v>811</v>
      </c>
      <c r="I116" t="s">
        <v>798</v>
      </c>
      <c r="J116" t="s">
        <v>819</v>
      </c>
    </row>
    <row r="117" spans="1:10" x14ac:dyDescent="0.3">
      <c r="A117" t="s">
        <v>96</v>
      </c>
      <c r="B117" t="s">
        <v>910</v>
      </c>
      <c r="C117" t="str">
        <f>UPPER(THrList[[#This Row],[Last_Name]])</f>
        <v>KHAN</v>
      </c>
      <c r="D117" t="s">
        <v>906</v>
      </c>
      <c r="E117" t="s">
        <v>797</v>
      </c>
      <c r="F117" s="1">
        <v>28863</v>
      </c>
      <c r="G117">
        <f ca="1">DATEDIF(THrList[[#This Row],[Date_of_Birth]],NOW(),"Y")</f>
        <v>46</v>
      </c>
      <c r="H117" t="s">
        <v>811</v>
      </c>
      <c r="I117" t="s">
        <v>793</v>
      </c>
      <c r="J117" t="s">
        <v>803</v>
      </c>
    </row>
    <row r="118" spans="1:10" x14ac:dyDescent="0.3">
      <c r="A118" t="s">
        <v>921</v>
      </c>
      <c r="B118" t="s">
        <v>922</v>
      </c>
      <c r="C118" t="str">
        <f>UPPER(THrList[[#This Row],[Last_Name]])</f>
        <v xml:space="preserve"> FOURNIER</v>
      </c>
      <c r="D118" t="s">
        <v>834</v>
      </c>
      <c r="E118" t="s">
        <v>791</v>
      </c>
      <c r="F118" s="1">
        <v>36311</v>
      </c>
      <c r="G118">
        <f ca="1">DATEDIF(THrList[[#This Row],[Date_of_Birth]],NOW(),"Y")</f>
        <v>26</v>
      </c>
      <c r="H118" t="s">
        <v>806</v>
      </c>
      <c r="I118" t="s">
        <v>807</v>
      </c>
      <c r="J118" t="s">
        <v>835</v>
      </c>
    </row>
    <row r="119" spans="1:10" x14ac:dyDescent="0.3">
      <c r="A119" t="s">
        <v>270</v>
      </c>
      <c r="B119" t="s">
        <v>871</v>
      </c>
      <c r="C119" t="str">
        <f>UPPER(THrList[[#This Row],[Last_Name]])</f>
        <v>MENSAH</v>
      </c>
      <c r="D119" t="s">
        <v>818</v>
      </c>
      <c r="E119" t="s">
        <v>797</v>
      </c>
      <c r="F119" s="1">
        <v>35180</v>
      </c>
      <c r="G119">
        <f ca="1">DATEDIF(THrList[[#This Row],[Date_of_Birth]],NOW(),"Y")</f>
        <v>29</v>
      </c>
      <c r="H119" t="s">
        <v>811</v>
      </c>
      <c r="I119" t="s">
        <v>798</v>
      </c>
      <c r="J119" t="s">
        <v>799</v>
      </c>
    </row>
    <row r="120" spans="1:10" x14ac:dyDescent="0.3">
      <c r="A120" t="s">
        <v>129</v>
      </c>
      <c r="B120" t="s">
        <v>879</v>
      </c>
      <c r="C120" t="str">
        <f>UPPER(THrList[[#This Row],[Last_Name]])</f>
        <v>KONE</v>
      </c>
      <c r="D120" t="s">
        <v>829</v>
      </c>
      <c r="E120" t="s">
        <v>791</v>
      </c>
      <c r="F120" s="1">
        <v>33259</v>
      </c>
      <c r="G120">
        <f ca="1">DATEDIF(THrList[[#This Row],[Date_of_Birth]],NOW(),"Y")</f>
        <v>34</v>
      </c>
      <c r="H120" t="s">
        <v>792</v>
      </c>
      <c r="I120" t="s">
        <v>798</v>
      </c>
      <c r="J120" t="s">
        <v>819</v>
      </c>
    </row>
    <row r="121" spans="1:10" x14ac:dyDescent="0.3">
      <c r="A121" t="s">
        <v>515</v>
      </c>
      <c r="B121" t="s">
        <v>855</v>
      </c>
      <c r="C121" t="str">
        <f>UPPER(THrList[[#This Row],[Last_Name]])</f>
        <v>TAYLOR</v>
      </c>
      <c r="D121" t="s">
        <v>842</v>
      </c>
      <c r="E121" t="s">
        <v>797</v>
      </c>
      <c r="F121" s="1">
        <v>38085</v>
      </c>
      <c r="G121">
        <f ca="1">DATEDIF(THrList[[#This Row],[Date_of_Birth]],NOW(),"Y")</f>
        <v>21</v>
      </c>
      <c r="H121" t="s">
        <v>792</v>
      </c>
      <c r="I121" t="s">
        <v>807</v>
      </c>
      <c r="J121" t="s">
        <v>808</v>
      </c>
    </row>
    <row r="122" spans="1:10" x14ac:dyDescent="0.3">
      <c r="A122" t="s">
        <v>923</v>
      </c>
      <c r="B122" t="s">
        <v>855</v>
      </c>
      <c r="C122" t="str">
        <f>UPPER(THrList[[#This Row],[Last_Name]])</f>
        <v>TAYLOR</v>
      </c>
      <c r="D122" t="s">
        <v>818</v>
      </c>
      <c r="E122" t="s">
        <v>791</v>
      </c>
      <c r="F122" s="1">
        <v>32753</v>
      </c>
      <c r="G122">
        <f ca="1">DATEDIF(THrList[[#This Row],[Date_of_Birth]],NOW(),"Y")</f>
        <v>36</v>
      </c>
      <c r="H122" t="s">
        <v>806</v>
      </c>
      <c r="I122" t="s">
        <v>798</v>
      </c>
      <c r="J122" t="s">
        <v>835</v>
      </c>
    </row>
    <row r="123" spans="1:10" x14ac:dyDescent="0.3">
      <c r="A123" t="s">
        <v>291</v>
      </c>
      <c r="B123" t="s">
        <v>847</v>
      </c>
      <c r="C123" t="str">
        <f>UPPER(THrList[[#This Row],[Last_Name]])</f>
        <v>ALI</v>
      </c>
      <c r="D123" t="s">
        <v>919</v>
      </c>
      <c r="E123" t="s">
        <v>791</v>
      </c>
      <c r="F123" s="1">
        <v>37525</v>
      </c>
      <c r="G123">
        <f ca="1">DATEDIF(THrList[[#This Row],[Date_of_Birth]],NOW(),"Y")</f>
        <v>23</v>
      </c>
      <c r="H123" t="s">
        <v>843</v>
      </c>
      <c r="I123" t="s">
        <v>807</v>
      </c>
      <c r="J123" t="s">
        <v>803</v>
      </c>
    </row>
    <row r="124" spans="1:10" x14ac:dyDescent="0.3">
      <c r="A124" t="s">
        <v>443</v>
      </c>
      <c r="B124" t="s">
        <v>826</v>
      </c>
      <c r="C124" t="str">
        <f>UPPER(THrList[[#This Row],[Last_Name]])</f>
        <v>RODRIGUEZ</v>
      </c>
      <c r="D124" t="s">
        <v>874</v>
      </c>
      <c r="E124" t="s">
        <v>791</v>
      </c>
      <c r="F124" s="1">
        <v>35729</v>
      </c>
      <c r="G124">
        <f ca="1">DATEDIF(THrList[[#This Row],[Date_of_Birth]],NOW(),"Y")</f>
        <v>28</v>
      </c>
      <c r="H124" t="s">
        <v>811</v>
      </c>
      <c r="I124" t="s">
        <v>798</v>
      </c>
      <c r="J124" t="s">
        <v>838</v>
      </c>
    </row>
    <row r="125" spans="1:10" x14ac:dyDescent="0.3">
      <c r="A125" t="s">
        <v>397</v>
      </c>
      <c r="B125" t="s">
        <v>911</v>
      </c>
      <c r="C125" t="str">
        <f>UPPER(THrList[[#This Row],[Last_Name]])</f>
        <v>BROWN</v>
      </c>
      <c r="D125" t="s">
        <v>834</v>
      </c>
      <c r="E125" t="s">
        <v>791</v>
      </c>
      <c r="F125" s="1">
        <v>36051</v>
      </c>
      <c r="G125">
        <f ca="1">DATEDIF(THrList[[#This Row],[Date_of_Birth]],NOW(),"Y")</f>
        <v>27</v>
      </c>
      <c r="H125" t="s">
        <v>843</v>
      </c>
      <c r="I125" t="s">
        <v>807</v>
      </c>
      <c r="J125" t="s">
        <v>835</v>
      </c>
    </row>
    <row r="126" spans="1:10" x14ac:dyDescent="0.3">
      <c r="A126" t="s">
        <v>604</v>
      </c>
      <c r="B126" t="s">
        <v>840</v>
      </c>
      <c r="C126" t="str">
        <f>UPPER(THrList[[#This Row],[Last_Name]])</f>
        <v>PETIT</v>
      </c>
      <c r="D126" t="s">
        <v>818</v>
      </c>
      <c r="E126" t="s">
        <v>791</v>
      </c>
      <c r="F126" s="1">
        <v>31800</v>
      </c>
      <c r="G126">
        <f ca="1">DATEDIF(THrList[[#This Row],[Date_of_Birth]],NOW(),"Y")</f>
        <v>38</v>
      </c>
      <c r="H126" t="s">
        <v>843</v>
      </c>
      <c r="I126" t="s">
        <v>798</v>
      </c>
      <c r="J126" t="s">
        <v>808</v>
      </c>
    </row>
    <row r="127" spans="1:10" x14ac:dyDescent="0.3">
      <c r="A127" t="s">
        <v>924</v>
      </c>
      <c r="B127" t="s">
        <v>925</v>
      </c>
      <c r="C127" t="str">
        <f>UPPER(THrList[[#This Row],[Last_Name]])</f>
        <v>LEFEVRE</v>
      </c>
      <c r="D127" t="s">
        <v>914</v>
      </c>
      <c r="E127" t="s">
        <v>797</v>
      </c>
      <c r="F127" s="1">
        <v>29217</v>
      </c>
      <c r="G127">
        <f ca="1">DATEDIF(THrList[[#This Row],[Date_of_Birth]],NOW(),"Y")</f>
        <v>45</v>
      </c>
      <c r="H127" t="s">
        <v>843</v>
      </c>
      <c r="I127" t="s">
        <v>807</v>
      </c>
      <c r="J127" t="s">
        <v>803</v>
      </c>
    </row>
    <row r="128" spans="1:10" x14ac:dyDescent="0.3">
      <c r="A128" t="s">
        <v>223</v>
      </c>
      <c r="B128" t="s">
        <v>826</v>
      </c>
      <c r="C128" t="str">
        <f>UPPER(THrList[[#This Row],[Last_Name]])</f>
        <v>RODRIGUEZ</v>
      </c>
      <c r="D128" t="s">
        <v>805</v>
      </c>
      <c r="E128" t="s">
        <v>797</v>
      </c>
      <c r="F128" s="1">
        <v>34313</v>
      </c>
      <c r="G128">
        <f ca="1">DATEDIF(THrList[[#This Row],[Date_of_Birth]],NOW(),"Y")</f>
        <v>32</v>
      </c>
      <c r="H128" t="s">
        <v>792</v>
      </c>
      <c r="I128" t="s">
        <v>793</v>
      </c>
      <c r="J128" t="s">
        <v>799</v>
      </c>
    </row>
    <row r="129" spans="1:10" x14ac:dyDescent="0.3">
      <c r="A129" t="s">
        <v>245</v>
      </c>
      <c r="B129" t="s">
        <v>851</v>
      </c>
      <c r="C129" t="str">
        <f>UPPER(THrList[[#This Row],[Last_Name]])</f>
        <v>NGUYEN</v>
      </c>
      <c r="D129" t="s">
        <v>796</v>
      </c>
      <c r="E129" t="s">
        <v>791</v>
      </c>
      <c r="F129" s="1">
        <v>29864</v>
      </c>
      <c r="G129">
        <f ca="1">DATEDIF(THrList[[#This Row],[Date_of_Birth]],NOW(),"Y")</f>
        <v>44</v>
      </c>
      <c r="H129" t="s">
        <v>811</v>
      </c>
      <c r="I129" t="s">
        <v>798</v>
      </c>
      <c r="J129" t="s">
        <v>823</v>
      </c>
    </row>
    <row r="130" spans="1:10" x14ac:dyDescent="0.3">
      <c r="A130" t="s">
        <v>127</v>
      </c>
      <c r="B130" t="s">
        <v>904</v>
      </c>
      <c r="C130" t="str">
        <f>UPPER(THrList[[#This Row],[Last_Name]])</f>
        <v>SINGH</v>
      </c>
      <c r="D130" t="s">
        <v>895</v>
      </c>
      <c r="E130" t="s">
        <v>797</v>
      </c>
      <c r="F130" s="1">
        <v>32680</v>
      </c>
      <c r="G130">
        <f ca="1">DATEDIF(THrList[[#This Row],[Date_of_Birth]],NOW(),"Y")</f>
        <v>36</v>
      </c>
      <c r="H130" t="s">
        <v>811</v>
      </c>
      <c r="I130" t="s">
        <v>793</v>
      </c>
      <c r="J130" t="s">
        <v>803</v>
      </c>
    </row>
    <row r="131" spans="1:10" x14ac:dyDescent="0.3">
      <c r="A131" t="s">
        <v>601</v>
      </c>
      <c r="B131" t="s">
        <v>858</v>
      </c>
      <c r="C131" t="str">
        <f>UPPER(THrList[[#This Row],[Last_Name]])</f>
        <v>MOORE</v>
      </c>
      <c r="D131" t="s">
        <v>837</v>
      </c>
      <c r="E131" t="s">
        <v>797</v>
      </c>
      <c r="F131" s="1">
        <v>25083</v>
      </c>
      <c r="G131">
        <f ca="1">DATEDIF(THrList[[#This Row],[Date_of_Birth]],NOW(),"Y")</f>
        <v>57</v>
      </c>
      <c r="H131" t="s">
        <v>843</v>
      </c>
      <c r="I131" t="s">
        <v>807</v>
      </c>
      <c r="J131" t="s">
        <v>823</v>
      </c>
    </row>
    <row r="132" spans="1:10" x14ac:dyDescent="0.3">
      <c r="A132" t="s">
        <v>374</v>
      </c>
      <c r="B132" t="s">
        <v>840</v>
      </c>
      <c r="C132" t="str">
        <f>UPPER(THrList[[#This Row],[Last_Name]])</f>
        <v>PETIT</v>
      </c>
      <c r="D132" t="s">
        <v>885</v>
      </c>
      <c r="E132" t="s">
        <v>797</v>
      </c>
      <c r="F132" s="1">
        <v>37229</v>
      </c>
      <c r="G132">
        <f ca="1">DATEDIF(THrList[[#This Row],[Date_of_Birth]],NOW(),"Y")</f>
        <v>24</v>
      </c>
      <c r="H132" t="s">
        <v>843</v>
      </c>
      <c r="I132" t="s">
        <v>807</v>
      </c>
      <c r="J132" t="s">
        <v>803</v>
      </c>
    </row>
    <row r="133" spans="1:10" x14ac:dyDescent="0.3">
      <c r="A133" t="s">
        <v>677</v>
      </c>
      <c r="B133" t="s">
        <v>910</v>
      </c>
      <c r="C133" t="str">
        <f>UPPER(THrList[[#This Row],[Last_Name]])</f>
        <v>KHAN</v>
      </c>
      <c r="D133" t="s">
        <v>895</v>
      </c>
      <c r="E133" t="s">
        <v>791</v>
      </c>
      <c r="F133" s="1">
        <v>34225</v>
      </c>
      <c r="G133">
        <f ca="1">DATEDIF(THrList[[#This Row],[Date_of_Birth]],NOW(),"Y")</f>
        <v>32</v>
      </c>
      <c r="H133" t="s">
        <v>792</v>
      </c>
      <c r="I133" t="s">
        <v>798</v>
      </c>
      <c r="J133" t="s">
        <v>803</v>
      </c>
    </row>
    <row r="134" spans="1:10" x14ac:dyDescent="0.3">
      <c r="A134" t="s">
        <v>490</v>
      </c>
      <c r="B134" t="s">
        <v>909</v>
      </c>
      <c r="C134" t="str">
        <f>UPPER(THrList[[#This Row],[Last_Name]])</f>
        <v>DAVIS</v>
      </c>
      <c r="D134" t="s">
        <v>796</v>
      </c>
      <c r="E134" t="s">
        <v>797</v>
      </c>
      <c r="F134" s="1">
        <v>30469</v>
      </c>
      <c r="G134">
        <f ca="1">DATEDIF(THrList[[#This Row],[Date_of_Birth]],NOW(),"Y")</f>
        <v>42</v>
      </c>
      <c r="H134" t="s">
        <v>843</v>
      </c>
      <c r="I134" t="s">
        <v>798</v>
      </c>
      <c r="J134" t="s">
        <v>838</v>
      </c>
    </row>
    <row r="135" spans="1:10" x14ac:dyDescent="0.3">
      <c r="A135" t="s">
        <v>91</v>
      </c>
      <c r="B135" t="s">
        <v>896</v>
      </c>
      <c r="C135" t="str">
        <f>UPPER(THrList[[#This Row],[Last_Name]])</f>
        <v>DIOP</v>
      </c>
      <c r="D135" t="s">
        <v>919</v>
      </c>
      <c r="E135" t="s">
        <v>797</v>
      </c>
      <c r="F135" s="1">
        <v>28931</v>
      </c>
      <c r="G135">
        <f ca="1">DATEDIF(THrList[[#This Row],[Date_of_Birth]],NOW(),"Y")</f>
        <v>46</v>
      </c>
      <c r="H135" t="s">
        <v>811</v>
      </c>
      <c r="I135" t="s">
        <v>793</v>
      </c>
      <c r="J135" t="s">
        <v>803</v>
      </c>
    </row>
    <row r="136" spans="1:10" x14ac:dyDescent="0.3">
      <c r="A136" t="s">
        <v>647</v>
      </c>
      <c r="B136" t="s">
        <v>804</v>
      </c>
      <c r="C136" t="str">
        <f>UPPER(THrList[[#This Row],[Last_Name]])</f>
        <v>SMITH</v>
      </c>
      <c r="D136" t="s">
        <v>837</v>
      </c>
      <c r="E136" t="s">
        <v>791</v>
      </c>
      <c r="F136" s="1">
        <v>30870</v>
      </c>
      <c r="G136">
        <f ca="1">DATEDIF(THrList[[#This Row],[Date_of_Birth]],NOW(),"Y")</f>
        <v>41</v>
      </c>
      <c r="H136" t="s">
        <v>811</v>
      </c>
      <c r="I136" t="s">
        <v>793</v>
      </c>
      <c r="J136" t="s">
        <v>823</v>
      </c>
    </row>
    <row r="137" spans="1:10" x14ac:dyDescent="0.3">
      <c r="A137" t="s">
        <v>590</v>
      </c>
      <c r="B137" t="s">
        <v>872</v>
      </c>
      <c r="C137" t="str">
        <f>UPPER(THrList[[#This Row],[Last_Name]])</f>
        <v>DIALLO</v>
      </c>
      <c r="D137" t="s">
        <v>926</v>
      </c>
      <c r="E137" t="s">
        <v>797</v>
      </c>
      <c r="F137" s="1">
        <v>25185</v>
      </c>
      <c r="G137">
        <f ca="1">DATEDIF(THrList[[#This Row],[Date_of_Birth]],NOW(),"Y")</f>
        <v>57</v>
      </c>
      <c r="H137" t="s">
        <v>806</v>
      </c>
      <c r="I137" t="s">
        <v>798</v>
      </c>
      <c r="J137" t="s">
        <v>838</v>
      </c>
    </row>
    <row r="138" spans="1:10" x14ac:dyDescent="0.3">
      <c r="A138" t="s">
        <v>662</v>
      </c>
      <c r="B138" t="s">
        <v>871</v>
      </c>
      <c r="C138" t="str">
        <f>UPPER(THrList[[#This Row],[Last_Name]])</f>
        <v>MENSAH</v>
      </c>
      <c r="D138" t="s">
        <v>927</v>
      </c>
      <c r="E138" t="s">
        <v>797</v>
      </c>
      <c r="F138" s="1">
        <v>25131</v>
      </c>
      <c r="G138">
        <f ca="1">DATEDIF(THrList[[#This Row],[Date_of_Birth]],NOW(),"Y")</f>
        <v>57</v>
      </c>
      <c r="H138" t="s">
        <v>792</v>
      </c>
      <c r="I138" t="s">
        <v>807</v>
      </c>
      <c r="J138" t="s">
        <v>835</v>
      </c>
    </row>
    <row r="139" spans="1:10" x14ac:dyDescent="0.3">
      <c r="A139" t="s">
        <v>493</v>
      </c>
      <c r="B139" t="s">
        <v>851</v>
      </c>
      <c r="C139" t="str">
        <f>UPPER(THrList[[#This Row],[Last_Name]])</f>
        <v>NGUYEN</v>
      </c>
      <c r="D139" t="s">
        <v>876</v>
      </c>
      <c r="E139" t="s">
        <v>791</v>
      </c>
      <c r="F139" s="1">
        <v>25384</v>
      </c>
      <c r="G139">
        <f ca="1">DATEDIF(THrList[[#This Row],[Date_of_Birth]],NOW(),"Y")</f>
        <v>56</v>
      </c>
      <c r="H139" t="s">
        <v>843</v>
      </c>
      <c r="I139" t="s">
        <v>798</v>
      </c>
      <c r="J139" t="s">
        <v>808</v>
      </c>
    </row>
    <row r="140" spans="1:10" x14ac:dyDescent="0.3">
      <c r="A140" t="s">
        <v>928</v>
      </c>
      <c r="B140" t="s">
        <v>886</v>
      </c>
      <c r="C140" t="str">
        <f>UPPER(THrList[[#This Row],[Last_Name]])</f>
        <v>MARTINEZ</v>
      </c>
      <c r="D140" t="s">
        <v>885</v>
      </c>
      <c r="E140" t="s">
        <v>791</v>
      </c>
      <c r="F140" s="1">
        <v>26321</v>
      </c>
      <c r="G140">
        <f ca="1">DATEDIF(THrList[[#This Row],[Date_of_Birth]],NOW(),"Y")</f>
        <v>53</v>
      </c>
      <c r="H140" t="s">
        <v>792</v>
      </c>
      <c r="I140" t="s">
        <v>798</v>
      </c>
      <c r="J140" t="s">
        <v>819</v>
      </c>
    </row>
    <row r="141" spans="1:10" x14ac:dyDescent="0.3">
      <c r="A141" t="s">
        <v>929</v>
      </c>
      <c r="B141" t="s">
        <v>887</v>
      </c>
      <c r="C141" t="str">
        <f>UPPER(THrList[[#This Row],[Last_Name]])</f>
        <v>TOURE</v>
      </c>
      <c r="D141" t="s">
        <v>874</v>
      </c>
      <c r="E141" t="s">
        <v>797</v>
      </c>
      <c r="F141" s="1">
        <v>31632</v>
      </c>
      <c r="G141">
        <f ca="1">DATEDIF(THrList[[#This Row],[Date_of_Birth]],NOW(),"Y")</f>
        <v>39</v>
      </c>
      <c r="H141" t="s">
        <v>792</v>
      </c>
      <c r="I141" t="s">
        <v>807</v>
      </c>
      <c r="J141" t="s">
        <v>819</v>
      </c>
    </row>
    <row r="142" spans="1:10" x14ac:dyDescent="0.3">
      <c r="A142" t="s">
        <v>193</v>
      </c>
      <c r="B142" t="s">
        <v>930</v>
      </c>
      <c r="C142" t="str">
        <f>UPPER(THrList[[#This Row],[Last_Name]])</f>
        <v xml:space="preserve"> CAMARA</v>
      </c>
      <c r="D142" t="s">
        <v>918</v>
      </c>
      <c r="E142" t="s">
        <v>791</v>
      </c>
      <c r="F142" s="1">
        <v>33060</v>
      </c>
      <c r="G142">
        <f ca="1">DATEDIF(THrList[[#This Row],[Date_of_Birth]],NOW(),"Y")</f>
        <v>35</v>
      </c>
      <c r="H142" t="s">
        <v>843</v>
      </c>
      <c r="I142" t="s">
        <v>798</v>
      </c>
      <c r="J142" t="s">
        <v>794</v>
      </c>
    </row>
    <row r="143" spans="1:10" x14ac:dyDescent="0.3">
      <c r="A143" t="s">
        <v>931</v>
      </c>
      <c r="B143" t="s">
        <v>911</v>
      </c>
      <c r="C143" t="str">
        <f>UPPER(THrList[[#This Row],[Last_Name]])</f>
        <v>BROWN</v>
      </c>
      <c r="D143" t="s">
        <v>893</v>
      </c>
      <c r="E143" t="s">
        <v>797</v>
      </c>
      <c r="F143" s="1">
        <v>32310</v>
      </c>
      <c r="G143">
        <f ca="1">DATEDIF(THrList[[#This Row],[Date_of_Birth]],NOW(),"Y")</f>
        <v>37</v>
      </c>
      <c r="H143" t="s">
        <v>806</v>
      </c>
      <c r="I143" t="s">
        <v>798</v>
      </c>
      <c r="J143" t="s">
        <v>823</v>
      </c>
    </row>
    <row r="144" spans="1:10" x14ac:dyDescent="0.3">
      <c r="A144" t="s">
        <v>115</v>
      </c>
      <c r="B144" t="s">
        <v>855</v>
      </c>
      <c r="C144" t="str">
        <f>UPPER(THrList[[#This Row],[Last_Name]])</f>
        <v>TAYLOR</v>
      </c>
      <c r="D144" t="s">
        <v>932</v>
      </c>
      <c r="E144" t="s">
        <v>791</v>
      </c>
      <c r="F144" s="1">
        <v>24932</v>
      </c>
      <c r="G144">
        <f ca="1">DATEDIF(THrList[[#This Row],[Date_of_Birth]],NOW(),"Y")</f>
        <v>57</v>
      </c>
      <c r="H144" t="s">
        <v>811</v>
      </c>
      <c r="I144" t="s">
        <v>798</v>
      </c>
      <c r="J144" t="s">
        <v>838</v>
      </c>
    </row>
    <row r="145" spans="1:10" x14ac:dyDescent="0.3">
      <c r="A145" t="s">
        <v>248</v>
      </c>
      <c r="B145" t="s">
        <v>833</v>
      </c>
      <c r="C145" t="str">
        <f>UPPER(THrList[[#This Row],[Last_Name]])</f>
        <v>JONES</v>
      </c>
      <c r="D145" t="s">
        <v>883</v>
      </c>
      <c r="E145" t="s">
        <v>797</v>
      </c>
      <c r="F145" s="1">
        <v>26601</v>
      </c>
      <c r="G145">
        <f ca="1">DATEDIF(THrList[[#This Row],[Date_of_Birth]],NOW(),"Y")</f>
        <v>53</v>
      </c>
      <c r="H145" t="s">
        <v>792</v>
      </c>
      <c r="I145" t="s">
        <v>807</v>
      </c>
      <c r="J145" t="s">
        <v>933</v>
      </c>
    </row>
    <row r="146" spans="1:10" x14ac:dyDescent="0.3">
      <c r="A146" t="s">
        <v>414</v>
      </c>
      <c r="B146" t="s">
        <v>868</v>
      </c>
      <c r="C146" t="str">
        <f>UPPER(THrList[[#This Row],[Last_Name]])</f>
        <v>LOPEZ</v>
      </c>
      <c r="D146" t="s">
        <v>881</v>
      </c>
      <c r="E146" t="s">
        <v>797</v>
      </c>
      <c r="F146" s="1">
        <v>33364</v>
      </c>
      <c r="G146">
        <f ca="1">DATEDIF(THrList[[#This Row],[Date_of_Birth]],NOW(),"Y")</f>
        <v>34</v>
      </c>
      <c r="H146" t="s">
        <v>806</v>
      </c>
      <c r="I146" t="s">
        <v>807</v>
      </c>
      <c r="J146" t="s">
        <v>838</v>
      </c>
    </row>
    <row r="147" spans="1:10" x14ac:dyDescent="0.3">
      <c r="A147" t="s">
        <v>626</v>
      </c>
      <c r="B147" t="s">
        <v>887</v>
      </c>
      <c r="C147" t="str">
        <f>UPPER(THrList[[#This Row],[Last_Name]])</f>
        <v>TOURE</v>
      </c>
      <c r="D147" t="s">
        <v>914</v>
      </c>
      <c r="E147" t="s">
        <v>791</v>
      </c>
      <c r="F147" s="1">
        <v>25899</v>
      </c>
      <c r="G147">
        <f ca="1">DATEDIF(THrList[[#This Row],[Date_of_Birth]],NOW(),"Y")</f>
        <v>55</v>
      </c>
      <c r="H147" t="s">
        <v>806</v>
      </c>
      <c r="I147" t="s">
        <v>807</v>
      </c>
      <c r="J147" t="s">
        <v>794</v>
      </c>
    </row>
    <row r="148" spans="1:10" x14ac:dyDescent="0.3">
      <c r="A148" t="s">
        <v>602</v>
      </c>
      <c r="B148" t="s">
        <v>804</v>
      </c>
      <c r="C148" t="str">
        <f>UPPER(THrList[[#This Row],[Last_Name]])</f>
        <v>SMITH</v>
      </c>
      <c r="D148" t="s">
        <v>870</v>
      </c>
      <c r="E148" t="s">
        <v>797</v>
      </c>
      <c r="F148" s="1">
        <v>33624</v>
      </c>
      <c r="G148">
        <f ca="1">DATEDIF(THrList[[#This Row],[Date_of_Birth]],NOW(),"Y")</f>
        <v>33</v>
      </c>
      <c r="H148" t="s">
        <v>806</v>
      </c>
      <c r="I148" t="s">
        <v>798</v>
      </c>
      <c r="J148" t="s">
        <v>835</v>
      </c>
    </row>
    <row r="149" spans="1:10" x14ac:dyDescent="0.3">
      <c r="A149" t="s">
        <v>934</v>
      </c>
      <c r="B149" t="s">
        <v>826</v>
      </c>
      <c r="C149" t="str">
        <f>UPPER(THrList[[#This Row],[Last_Name]])</f>
        <v>RODRIGUEZ</v>
      </c>
      <c r="D149" t="s">
        <v>880</v>
      </c>
      <c r="E149" t="s">
        <v>791</v>
      </c>
      <c r="F149" s="1">
        <v>26206</v>
      </c>
      <c r="G149">
        <f ca="1">DATEDIF(THrList[[#This Row],[Date_of_Birth]],NOW(),"Y")</f>
        <v>54</v>
      </c>
      <c r="H149" t="s">
        <v>792</v>
      </c>
      <c r="I149" t="s">
        <v>807</v>
      </c>
      <c r="J149" t="s">
        <v>803</v>
      </c>
    </row>
    <row r="150" spans="1:10" x14ac:dyDescent="0.3">
      <c r="A150" t="s">
        <v>715</v>
      </c>
      <c r="B150" t="s">
        <v>815</v>
      </c>
      <c r="C150" t="str">
        <f>UPPER(THrList[[#This Row],[Last_Name]])</f>
        <v>MARTIN</v>
      </c>
      <c r="D150" t="s">
        <v>881</v>
      </c>
      <c r="E150" t="s">
        <v>791</v>
      </c>
      <c r="F150" s="1">
        <v>25375</v>
      </c>
      <c r="G150">
        <f ca="1">DATEDIF(THrList[[#This Row],[Date_of_Birth]],NOW(),"Y")</f>
        <v>56</v>
      </c>
      <c r="H150" t="s">
        <v>792</v>
      </c>
      <c r="I150" t="s">
        <v>798</v>
      </c>
      <c r="J150" t="s">
        <v>819</v>
      </c>
    </row>
    <row r="151" spans="1:10" x14ac:dyDescent="0.3">
      <c r="A151" t="s">
        <v>614</v>
      </c>
      <c r="B151" t="s">
        <v>863</v>
      </c>
      <c r="C151" t="str">
        <f>UPPER(THrList[[#This Row],[Last_Name]])</f>
        <v>THOMAS</v>
      </c>
      <c r="D151" t="s">
        <v>828</v>
      </c>
      <c r="E151" t="s">
        <v>791</v>
      </c>
      <c r="F151" s="1">
        <v>33925</v>
      </c>
      <c r="G151">
        <f ca="1">DATEDIF(THrList[[#This Row],[Date_of_Birth]],NOW(),"Y")</f>
        <v>33</v>
      </c>
      <c r="H151" t="s">
        <v>806</v>
      </c>
      <c r="I151" t="s">
        <v>793</v>
      </c>
      <c r="J151" t="s">
        <v>794</v>
      </c>
    </row>
    <row r="152" spans="1:10" x14ac:dyDescent="0.3">
      <c r="A152" t="s">
        <v>596</v>
      </c>
      <c r="B152" t="s">
        <v>881</v>
      </c>
      <c r="C152" t="str">
        <f>UPPER(THrList[[#This Row],[Last_Name]])</f>
        <v>IBRAHIM</v>
      </c>
      <c r="D152" t="s">
        <v>828</v>
      </c>
      <c r="E152" t="s">
        <v>791</v>
      </c>
      <c r="F152" s="1">
        <v>35332</v>
      </c>
      <c r="G152">
        <f ca="1">DATEDIF(THrList[[#This Row],[Date_of_Birth]],NOW(),"Y")</f>
        <v>29</v>
      </c>
      <c r="H152" t="s">
        <v>792</v>
      </c>
      <c r="I152" t="s">
        <v>807</v>
      </c>
      <c r="J152" t="s">
        <v>808</v>
      </c>
    </row>
    <row r="153" spans="1:10" x14ac:dyDescent="0.3">
      <c r="A153" t="s">
        <v>391</v>
      </c>
      <c r="B153" t="s">
        <v>871</v>
      </c>
      <c r="C153" t="str">
        <f>UPPER(THrList[[#This Row],[Last_Name]])</f>
        <v>MENSAH</v>
      </c>
      <c r="D153" t="s">
        <v>828</v>
      </c>
      <c r="E153" t="s">
        <v>791</v>
      </c>
      <c r="F153" s="1">
        <v>29325</v>
      </c>
      <c r="G153">
        <f ca="1">DATEDIF(THrList[[#This Row],[Date_of_Birth]],NOW(),"Y")</f>
        <v>45</v>
      </c>
      <c r="H153" t="s">
        <v>792</v>
      </c>
      <c r="I153" t="s">
        <v>807</v>
      </c>
      <c r="J153" t="s">
        <v>823</v>
      </c>
    </row>
    <row r="154" spans="1:10" x14ac:dyDescent="0.3">
      <c r="A154" t="s">
        <v>708</v>
      </c>
      <c r="B154" t="s">
        <v>802</v>
      </c>
      <c r="C154" t="str">
        <f>UPPER(THrList[[#This Row],[Last_Name]])</f>
        <v>GARCIA</v>
      </c>
      <c r="D154" t="s">
        <v>895</v>
      </c>
      <c r="E154" t="s">
        <v>797</v>
      </c>
      <c r="F154" s="1">
        <v>30183</v>
      </c>
      <c r="G154">
        <f ca="1">DATEDIF(THrList[[#This Row],[Date_of_Birth]],NOW(),"Y")</f>
        <v>43</v>
      </c>
      <c r="H154" t="s">
        <v>792</v>
      </c>
      <c r="I154" t="s">
        <v>793</v>
      </c>
      <c r="J154" t="s">
        <v>1068</v>
      </c>
    </row>
    <row r="155" spans="1:10" x14ac:dyDescent="0.3">
      <c r="A155" t="s">
        <v>935</v>
      </c>
      <c r="B155" t="s">
        <v>851</v>
      </c>
      <c r="C155" t="str">
        <f>UPPER(THrList[[#This Row],[Last_Name]])</f>
        <v>NGUYEN</v>
      </c>
      <c r="D155" t="s">
        <v>856</v>
      </c>
      <c r="E155" t="s">
        <v>791</v>
      </c>
      <c r="F155" s="1">
        <v>38232</v>
      </c>
      <c r="G155">
        <f ca="1">DATEDIF(THrList[[#This Row],[Date_of_Birth]],NOW(),"Y")</f>
        <v>21</v>
      </c>
      <c r="H155" t="s">
        <v>792</v>
      </c>
      <c r="I155" t="s">
        <v>798</v>
      </c>
      <c r="J155" t="s">
        <v>799</v>
      </c>
    </row>
    <row r="156" spans="1:10" x14ac:dyDescent="0.3">
      <c r="A156" t="s">
        <v>936</v>
      </c>
      <c r="B156" t="s">
        <v>896</v>
      </c>
      <c r="C156" t="str">
        <f>UPPER(THrList[[#This Row],[Last_Name]])</f>
        <v>DIOP</v>
      </c>
      <c r="D156" t="s">
        <v>926</v>
      </c>
      <c r="E156" t="s">
        <v>797</v>
      </c>
      <c r="F156" s="1">
        <v>30132</v>
      </c>
      <c r="G156">
        <f ca="1">DATEDIF(THrList[[#This Row],[Date_of_Birth]],NOW(),"Y")</f>
        <v>43</v>
      </c>
      <c r="H156" t="s">
        <v>792</v>
      </c>
      <c r="I156" t="s">
        <v>798</v>
      </c>
      <c r="J156" t="s">
        <v>808</v>
      </c>
    </row>
    <row r="157" spans="1:10" x14ac:dyDescent="0.3">
      <c r="A157" t="s">
        <v>114</v>
      </c>
      <c r="B157" t="s">
        <v>866</v>
      </c>
      <c r="C157" t="str">
        <f>UPPER(THrList[[#This Row],[Last_Name]])</f>
        <v>ABDULLAH</v>
      </c>
      <c r="D157" t="s">
        <v>906</v>
      </c>
      <c r="E157" t="s">
        <v>797</v>
      </c>
      <c r="F157" s="1">
        <v>36540</v>
      </c>
      <c r="G157">
        <f ca="1">DATEDIF(THrList[[#This Row],[Date_of_Birth]],NOW(),"Y")</f>
        <v>25</v>
      </c>
      <c r="H157" t="s">
        <v>843</v>
      </c>
      <c r="I157" t="s">
        <v>793</v>
      </c>
      <c r="J157" t="s">
        <v>803</v>
      </c>
    </row>
    <row r="158" spans="1:10" x14ac:dyDescent="0.3">
      <c r="A158" t="s">
        <v>622</v>
      </c>
      <c r="B158" t="s">
        <v>937</v>
      </c>
      <c r="C158" t="str">
        <f>UPPER(THrList[[#This Row],[Last_Name]])</f>
        <v>KOUASSI</v>
      </c>
      <c r="D158" t="s">
        <v>873</v>
      </c>
      <c r="E158" t="s">
        <v>797</v>
      </c>
      <c r="F158" s="1">
        <v>26350</v>
      </c>
      <c r="G158">
        <f ca="1">DATEDIF(THrList[[#This Row],[Date_of_Birth]],NOW(),"Y")</f>
        <v>53</v>
      </c>
      <c r="H158" t="s">
        <v>792</v>
      </c>
      <c r="I158" t="s">
        <v>798</v>
      </c>
      <c r="J158" t="s">
        <v>819</v>
      </c>
    </row>
    <row r="159" spans="1:10" x14ac:dyDescent="0.3">
      <c r="A159" t="s">
        <v>938</v>
      </c>
      <c r="B159" t="s">
        <v>802</v>
      </c>
      <c r="C159" t="str">
        <f>UPPER(THrList[[#This Row],[Last_Name]])</f>
        <v>GARCIA</v>
      </c>
      <c r="D159" t="s">
        <v>901</v>
      </c>
      <c r="E159" t="s">
        <v>797</v>
      </c>
      <c r="F159" s="1">
        <v>36514</v>
      </c>
      <c r="G159">
        <f ca="1">DATEDIF(THrList[[#This Row],[Date_of_Birth]],NOW(),"Y")</f>
        <v>25</v>
      </c>
      <c r="H159" t="s">
        <v>806</v>
      </c>
      <c r="I159" t="s">
        <v>807</v>
      </c>
      <c r="J159" t="s">
        <v>814</v>
      </c>
    </row>
    <row r="160" spans="1:10" x14ac:dyDescent="0.3">
      <c r="A160" t="s">
        <v>699</v>
      </c>
      <c r="B160" t="s">
        <v>887</v>
      </c>
      <c r="C160" t="str">
        <f>UPPER(THrList[[#This Row],[Last_Name]])</f>
        <v>TOURE</v>
      </c>
      <c r="D160" t="s">
        <v>873</v>
      </c>
      <c r="E160" t="s">
        <v>797</v>
      </c>
      <c r="F160" s="1">
        <v>35189</v>
      </c>
      <c r="G160">
        <f ca="1">DATEDIF(THrList[[#This Row],[Date_of_Birth]],NOW(),"Y")</f>
        <v>29</v>
      </c>
      <c r="H160" t="s">
        <v>806</v>
      </c>
      <c r="I160" t="s">
        <v>793</v>
      </c>
      <c r="J160" t="s">
        <v>823</v>
      </c>
    </row>
    <row r="161" spans="1:10" x14ac:dyDescent="0.3">
      <c r="A161" t="s">
        <v>563</v>
      </c>
      <c r="B161" t="s">
        <v>824</v>
      </c>
      <c r="C161" t="str">
        <f>UPPER(THrList[[#This Row],[Last_Name]])</f>
        <v>SOW</v>
      </c>
      <c r="D161" t="s">
        <v>860</v>
      </c>
      <c r="E161" t="s">
        <v>791</v>
      </c>
      <c r="F161" s="1">
        <v>28666</v>
      </c>
      <c r="G161">
        <f ca="1">DATEDIF(THrList[[#This Row],[Date_of_Birth]],NOW(),"Y")</f>
        <v>47</v>
      </c>
      <c r="H161" t="s">
        <v>792</v>
      </c>
      <c r="I161" t="s">
        <v>793</v>
      </c>
      <c r="J161" t="s">
        <v>799</v>
      </c>
    </row>
    <row r="162" spans="1:10" x14ac:dyDescent="0.3">
      <c r="A162" t="s">
        <v>509</v>
      </c>
      <c r="B162" t="s">
        <v>898</v>
      </c>
      <c r="C162" t="str">
        <f>UPPER(THrList[[#This Row],[Last_Name]])</f>
        <v>MOREAU</v>
      </c>
      <c r="D162" t="s">
        <v>796</v>
      </c>
      <c r="E162" t="s">
        <v>797</v>
      </c>
      <c r="F162" s="1">
        <v>38039</v>
      </c>
      <c r="G162">
        <f ca="1">DATEDIF(THrList[[#This Row],[Date_of_Birth]],NOW(),"Y")</f>
        <v>21</v>
      </c>
      <c r="H162" t="s">
        <v>811</v>
      </c>
      <c r="I162" t="s">
        <v>798</v>
      </c>
      <c r="J162" t="s">
        <v>799</v>
      </c>
    </row>
    <row r="163" spans="1:10" x14ac:dyDescent="0.3">
      <c r="A163" t="s">
        <v>582</v>
      </c>
      <c r="B163" t="s">
        <v>847</v>
      </c>
      <c r="C163" t="str">
        <f>UPPER(THrList[[#This Row],[Last_Name]])</f>
        <v>ALI</v>
      </c>
      <c r="D163" t="s">
        <v>939</v>
      </c>
      <c r="E163" t="s">
        <v>791</v>
      </c>
      <c r="F163" s="1">
        <v>30659</v>
      </c>
      <c r="G163">
        <f ca="1">DATEDIF(THrList[[#This Row],[Date_of_Birth]],NOW(),"Y")</f>
        <v>42</v>
      </c>
      <c r="H163" t="s">
        <v>811</v>
      </c>
      <c r="I163" t="s">
        <v>793</v>
      </c>
      <c r="J163" t="s">
        <v>814</v>
      </c>
    </row>
    <row r="164" spans="1:10" x14ac:dyDescent="0.3">
      <c r="A164" t="s">
        <v>51</v>
      </c>
      <c r="B164" t="s">
        <v>812</v>
      </c>
      <c r="C164" t="str">
        <f>UPPER(THrList[[#This Row],[Last_Name]])</f>
        <v>CAMARA</v>
      </c>
      <c r="D164" t="s">
        <v>818</v>
      </c>
      <c r="E164" t="s">
        <v>791</v>
      </c>
      <c r="F164" s="1">
        <v>30305</v>
      </c>
      <c r="G164">
        <f ca="1">DATEDIF(THrList[[#This Row],[Date_of_Birth]],NOW(),"Y")</f>
        <v>42</v>
      </c>
      <c r="H164" t="s">
        <v>792</v>
      </c>
      <c r="I164" t="s">
        <v>807</v>
      </c>
      <c r="J164" t="s">
        <v>838</v>
      </c>
    </row>
    <row r="165" spans="1:10" x14ac:dyDescent="0.3">
      <c r="A165" t="s">
        <v>940</v>
      </c>
      <c r="B165" t="s">
        <v>851</v>
      </c>
      <c r="C165" t="str">
        <f>UPPER(THrList[[#This Row],[Last_Name]])</f>
        <v>NGUYEN</v>
      </c>
      <c r="D165" t="s">
        <v>881</v>
      </c>
      <c r="E165" t="s">
        <v>791</v>
      </c>
      <c r="F165" s="1">
        <v>28830</v>
      </c>
      <c r="G165">
        <f ca="1">DATEDIF(THrList[[#This Row],[Date_of_Birth]],NOW(),"Y")</f>
        <v>47</v>
      </c>
      <c r="H165" t="s">
        <v>792</v>
      </c>
      <c r="I165" t="s">
        <v>807</v>
      </c>
      <c r="J165" t="s">
        <v>808</v>
      </c>
    </row>
    <row r="166" spans="1:10" x14ac:dyDescent="0.3">
      <c r="A166" t="s">
        <v>941</v>
      </c>
      <c r="B166" t="s">
        <v>881</v>
      </c>
      <c r="C166" t="str">
        <f>UPPER(THrList[[#This Row],[Last_Name]])</f>
        <v>IBRAHIM</v>
      </c>
      <c r="D166" t="s">
        <v>881</v>
      </c>
      <c r="E166" t="s">
        <v>797</v>
      </c>
      <c r="F166" s="1">
        <v>35509</v>
      </c>
      <c r="G166">
        <f ca="1">DATEDIF(THrList[[#This Row],[Date_of_Birth]],NOW(),"Y")</f>
        <v>28</v>
      </c>
      <c r="H166" t="s">
        <v>843</v>
      </c>
      <c r="I166" t="s">
        <v>798</v>
      </c>
      <c r="J166" t="s">
        <v>835</v>
      </c>
    </row>
    <row r="167" spans="1:10" x14ac:dyDescent="0.3">
      <c r="A167" t="s">
        <v>551</v>
      </c>
      <c r="B167" t="s">
        <v>829</v>
      </c>
      <c r="C167" t="str">
        <f>UPPER(THrList[[#This Row],[Last_Name]])</f>
        <v>HASSAN</v>
      </c>
      <c r="D167" t="s">
        <v>932</v>
      </c>
      <c r="E167" t="s">
        <v>791</v>
      </c>
      <c r="F167" s="1">
        <v>36216</v>
      </c>
      <c r="G167">
        <f ca="1">DATEDIF(THrList[[#This Row],[Date_of_Birth]],NOW(),"Y")</f>
        <v>26</v>
      </c>
      <c r="H167" t="s">
        <v>792</v>
      </c>
      <c r="I167" t="s">
        <v>798</v>
      </c>
      <c r="J167" t="s">
        <v>803</v>
      </c>
    </row>
    <row r="168" spans="1:10" x14ac:dyDescent="0.3">
      <c r="A168" t="s">
        <v>484</v>
      </c>
      <c r="B168" t="s">
        <v>809</v>
      </c>
      <c r="C168" t="str">
        <f>UPPER(THrList[[#This Row],[Last_Name]])</f>
        <v>TRAORE</v>
      </c>
      <c r="D168" t="s">
        <v>932</v>
      </c>
      <c r="E168" t="s">
        <v>791</v>
      </c>
      <c r="F168" s="1">
        <v>30170</v>
      </c>
      <c r="G168">
        <f ca="1">DATEDIF(THrList[[#This Row],[Date_of_Birth]],NOW(),"Y")</f>
        <v>43</v>
      </c>
      <c r="H168" t="s">
        <v>792</v>
      </c>
      <c r="I168" t="s">
        <v>793</v>
      </c>
      <c r="J168" t="s">
        <v>799</v>
      </c>
    </row>
    <row r="169" spans="1:10" x14ac:dyDescent="0.3">
      <c r="A169" t="s">
        <v>592</v>
      </c>
      <c r="B169" t="s">
        <v>809</v>
      </c>
      <c r="C169" t="str">
        <f>UPPER(THrList[[#This Row],[Last_Name]])</f>
        <v>TRAORE</v>
      </c>
      <c r="D169" t="s">
        <v>939</v>
      </c>
      <c r="E169" t="s">
        <v>797</v>
      </c>
      <c r="F169" s="1">
        <v>30177</v>
      </c>
      <c r="G169">
        <f ca="1">DATEDIF(THrList[[#This Row],[Date_of_Birth]],NOW(),"Y")</f>
        <v>43</v>
      </c>
      <c r="H169" t="s">
        <v>843</v>
      </c>
      <c r="I169" t="s">
        <v>807</v>
      </c>
      <c r="J169" t="s">
        <v>799</v>
      </c>
    </row>
    <row r="170" spans="1:10" x14ac:dyDescent="0.3">
      <c r="A170" t="s">
        <v>560</v>
      </c>
      <c r="B170" t="s">
        <v>868</v>
      </c>
      <c r="C170" t="str">
        <f>UPPER(THrList[[#This Row],[Last_Name]])</f>
        <v>LOPEZ</v>
      </c>
      <c r="D170" t="s">
        <v>827</v>
      </c>
      <c r="E170" t="s">
        <v>791</v>
      </c>
      <c r="F170" s="1">
        <v>37948</v>
      </c>
      <c r="G170">
        <f ca="1">DATEDIF(THrList[[#This Row],[Date_of_Birth]],NOW(),"Y")</f>
        <v>22</v>
      </c>
      <c r="H170" t="s">
        <v>811</v>
      </c>
      <c r="I170" t="s">
        <v>793</v>
      </c>
      <c r="J170" t="s">
        <v>838</v>
      </c>
    </row>
    <row r="171" spans="1:10" x14ac:dyDescent="0.3">
      <c r="A171" t="s">
        <v>942</v>
      </c>
      <c r="B171" t="s">
        <v>909</v>
      </c>
      <c r="C171" t="str">
        <f>UPPER(THrList[[#This Row],[Last_Name]])</f>
        <v>DAVIS</v>
      </c>
      <c r="D171" t="s">
        <v>827</v>
      </c>
      <c r="E171" t="s">
        <v>797</v>
      </c>
      <c r="F171" s="1">
        <v>38263</v>
      </c>
      <c r="G171">
        <f ca="1">DATEDIF(THrList[[#This Row],[Date_of_Birth]],NOW(),"Y")</f>
        <v>21</v>
      </c>
      <c r="H171" t="s">
        <v>792</v>
      </c>
      <c r="I171" t="s">
        <v>798</v>
      </c>
      <c r="J171" t="s">
        <v>835</v>
      </c>
    </row>
    <row r="172" spans="1:10" x14ac:dyDescent="0.3">
      <c r="A172" t="s">
        <v>516</v>
      </c>
      <c r="B172" t="s">
        <v>826</v>
      </c>
      <c r="C172" t="str">
        <f>UPPER(THrList[[#This Row],[Last_Name]])</f>
        <v>RODRIGUEZ</v>
      </c>
      <c r="D172" t="s">
        <v>796</v>
      </c>
      <c r="E172" t="s">
        <v>791</v>
      </c>
      <c r="F172" s="1">
        <v>33638</v>
      </c>
      <c r="G172">
        <f ca="1">DATEDIF(THrList[[#This Row],[Date_of_Birth]],NOW(),"Y")</f>
        <v>33</v>
      </c>
      <c r="H172" t="s">
        <v>811</v>
      </c>
      <c r="I172" t="s">
        <v>793</v>
      </c>
      <c r="J172" t="s">
        <v>838</v>
      </c>
    </row>
    <row r="173" spans="1:10" x14ac:dyDescent="0.3">
      <c r="A173" t="s">
        <v>30</v>
      </c>
      <c r="B173" t="s">
        <v>943</v>
      </c>
      <c r="C173" t="str">
        <f>UPPER(THrList[[#This Row],[Last_Name]])</f>
        <v>KIM</v>
      </c>
      <c r="D173" t="s">
        <v>870</v>
      </c>
      <c r="E173" t="s">
        <v>791</v>
      </c>
      <c r="F173" s="1">
        <v>26435</v>
      </c>
      <c r="G173">
        <f ca="1">DATEDIF(THrList[[#This Row],[Date_of_Birth]],NOW(),"Y")</f>
        <v>53</v>
      </c>
      <c r="H173" t="s">
        <v>806</v>
      </c>
      <c r="I173" t="s">
        <v>807</v>
      </c>
      <c r="J173" t="s">
        <v>794</v>
      </c>
    </row>
    <row r="174" spans="1:10" x14ac:dyDescent="0.3">
      <c r="A174" t="s">
        <v>944</v>
      </c>
      <c r="B174" t="s">
        <v>917</v>
      </c>
      <c r="C174" t="str">
        <f>UPPER(THrList[[#This Row],[Last_Name]])</f>
        <v>LAURENT</v>
      </c>
      <c r="D174" t="s">
        <v>830</v>
      </c>
      <c r="E174" t="s">
        <v>797</v>
      </c>
      <c r="F174" s="1">
        <v>30499</v>
      </c>
      <c r="G174">
        <f ca="1">DATEDIF(THrList[[#This Row],[Date_of_Birth]],NOW(),"Y")</f>
        <v>42</v>
      </c>
      <c r="H174" t="s">
        <v>843</v>
      </c>
      <c r="I174" t="s">
        <v>798</v>
      </c>
      <c r="J174" t="s">
        <v>819</v>
      </c>
    </row>
    <row r="175" spans="1:10" x14ac:dyDescent="0.3">
      <c r="A175" t="s">
        <v>945</v>
      </c>
      <c r="B175" t="s">
        <v>855</v>
      </c>
      <c r="C175" t="str">
        <f>UPPER(THrList[[#This Row],[Last_Name]])</f>
        <v>TAYLOR</v>
      </c>
      <c r="D175" t="s">
        <v>918</v>
      </c>
      <c r="E175" t="s">
        <v>797</v>
      </c>
      <c r="F175" s="1">
        <v>29567</v>
      </c>
      <c r="G175">
        <f ca="1">DATEDIF(THrList[[#This Row],[Date_of_Birth]],NOW(),"Y")</f>
        <v>45</v>
      </c>
      <c r="H175" t="s">
        <v>806</v>
      </c>
      <c r="I175" t="s">
        <v>807</v>
      </c>
      <c r="J175" t="s">
        <v>835</v>
      </c>
    </row>
    <row r="176" spans="1:10" x14ac:dyDescent="0.3">
      <c r="A176" t="s">
        <v>683</v>
      </c>
      <c r="B176" t="s">
        <v>910</v>
      </c>
      <c r="C176" t="str">
        <f>UPPER(THrList[[#This Row],[Last_Name]])</f>
        <v>KHAN</v>
      </c>
      <c r="D176" t="s">
        <v>827</v>
      </c>
      <c r="E176" t="s">
        <v>791</v>
      </c>
      <c r="F176" s="1">
        <v>37085</v>
      </c>
      <c r="G176">
        <f ca="1">DATEDIF(THrList[[#This Row],[Date_of_Birth]],NOW(),"Y")</f>
        <v>24</v>
      </c>
      <c r="H176" t="s">
        <v>792</v>
      </c>
      <c r="I176" t="s">
        <v>807</v>
      </c>
      <c r="J176" t="s">
        <v>823</v>
      </c>
    </row>
    <row r="177" spans="1:10" x14ac:dyDescent="0.3">
      <c r="A177" t="s">
        <v>777</v>
      </c>
      <c r="B177" t="s">
        <v>795</v>
      </c>
      <c r="C177" t="str">
        <f>UPPER(THrList[[#This Row],[Last_Name]])</f>
        <v>GIRARD</v>
      </c>
      <c r="D177" t="s">
        <v>880</v>
      </c>
      <c r="E177" t="s">
        <v>797</v>
      </c>
      <c r="F177" s="1">
        <v>37410</v>
      </c>
      <c r="G177">
        <f ca="1">DATEDIF(THrList[[#This Row],[Date_of_Birth]],NOW(),"Y")</f>
        <v>23</v>
      </c>
      <c r="H177" t="s">
        <v>843</v>
      </c>
      <c r="I177" t="s">
        <v>793</v>
      </c>
      <c r="J177" t="s">
        <v>835</v>
      </c>
    </row>
    <row r="178" spans="1:10" x14ac:dyDescent="0.3">
      <c r="A178" t="s">
        <v>946</v>
      </c>
      <c r="B178" t="s">
        <v>845</v>
      </c>
      <c r="C178" t="str">
        <f>UPPER(THrList[[#This Row],[Last_Name]])</f>
        <v>WILSON</v>
      </c>
      <c r="D178" t="s">
        <v>947</v>
      </c>
      <c r="E178" t="s">
        <v>797</v>
      </c>
      <c r="F178" s="1">
        <v>30820</v>
      </c>
      <c r="G178">
        <f ca="1">DATEDIF(THrList[[#This Row],[Date_of_Birth]],NOW(),"Y")</f>
        <v>41</v>
      </c>
      <c r="H178" t="s">
        <v>843</v>
      </c>
      <c r="I178" t="s">
        <v>807</v>
      </c>
      <c r="J178" t="s">
        <v>808</v>
      </c>
    </row>
    <row r="179" spans="1:10" x14ac:dyDescent="0.3">
      <c r="A179" t="s">
        <v>948</v>
      </c>
      <c r="B179" t="s">
        <v>817</v>
      </c>
      <c r="C179" t="str">
        <f>UPPER(THrList[[#This Row],[Last_Name]])</f>
        <v>JACKSON</v>
      </c>
      <c r="D179" t="s">
        <v>888</v>
      </c>
      <c r="E179" t="s">
        <v>791</v>
      </c>
      <c r="F179" s="1">
        <v>27813</v>
      </c>
      <c r="G179">
        <f ca="1">DATEDIF(THrList[[#This Row],[Date_of_Birth]],NOW(),"Y")</f>
        <v>49</v>
      </c>
      <c r="H179" t="s">
        <v>806</v>
      </c>
      <c r="I179" t="s">
        <v>793</v>
      </c>
      <c r="J179" t="s">
        <v>803</v>
      </c>
    </row>
    <row r="180" spans="1:10" x14ac:dyDescent="0.3">
      <c r="A180" t="s">
        <v>557</v>
      </c>
      <c r="B180" t="s">
        <v>817</v>
      </c>
      <c r="C180" t="str">
        <f>UPPER(THrList[[#This Row],[Last_Name]])</f>
        <v>JACKSON</v>
      </c>
      <c r="D180" t="s">
        <v>837</v>
      </c>
      <c r="E180" t="s">
        <v>797</v>
      </c>
      <c r="F180" s="1">
        <v>31509</v>
      </c>
      <c r="G180">
        <f ca="1">DATEDIF(THrList[[#This Row],[Date_of_Birth]],NOW(),"Y")</f>
        <v>39</v>
      </c>
      <c r="H180" t="s">
        <v>806</v>
      </c>
      <c r="I180" t="s">
        <v>807</v>
      </c>
      <c r="J180" t="s">
        <v>803</v>
      </c>
    </row>
    <row r="181" spans="1:10" x14ac:dyDescent="0.3">
      <c r="A181" t="s">
        <v>949</v>
      </c>
      <c r="B181" t="s">
        <v>789</v>
      </c>
      <c r="C181" t="str">
        <f>UPPER(THrList[[#This Row],[Last_Name]])</f>
        <v>LEROY</v>
      </c>
      <c r="D181" t="s">
        <v>816</v>
      </c>
      <c r="E181" t="s">
        <v>797</v>
      </c>
      <c r="F181" s="1">
        <v>32067</v>
      </c>
      <c r="G181">
        <f ca="1">DATEDIF(THrList[[#This Row],[Date_of_Birth]],NOW(),"Y")</f>
        <v>38</v>
      </c>
      <c r="H181" t="s">
        <v>843</v>
      </c>
      <c r="I181" t="s">
        <v>807</v>
      </c>
      <c r="J181" t="s">
        <v>803</v>
      </c>
    </row>
    <row r="182" spans="1:10" x14ac:dyDescent="0.3">
      <c r="A182" t="s">
        <v>407</v>
      </c>
      <c r="B182" t="s">
        <v>858</v>
      </c>
      <c r="C182" t="str">
        <f>UPPER(THrList[[#This Row],[Last_Name]])</f>
        <v>MOORE</v>
      </c>
      <c r="D182" t="s">
        <v>853</v>
      </c>
      <c r="E182" t="s">
        <v>797</v>
      </c>
      <c r="F182" s="1">
        <v>32491</v>
      </c>
      <c r="G182">
        <f ca="1">DATEDIF(THrList[[#This Row],[Date_of_Birth]],NOW(),"Y")</f>
        <v>37</v>
      </c>
      <c r="H182" t="s">
        <v>792</v>
      </c>
      <c r="I182" t="s">
        <v>798</v>
      </c>
      <c r="J182" t="s">
        <v>835</v>
      </c>
    </row>
    <row r="183" spans="1:10" x14ac:dyDescent="0.3">
      <c r="A183" t="s">
        <v>444</v>
      </c>
      <c r="B183" t="s">
        <v>925</v>
      </c>
      <c r="C183" t="str">
        <f>UPPER(THrList[[#This Row],[Last_Name]])</f>
        <v>LEFEVRE</v>
      </c>
      <c r="D183" t="s">
        <v>849</v>
      </c>
      <c r="E183" t="s">
        <v>797</v>
      </c>
      <c r="F183" s="1">
        <v>28488</v>
      </c>
      <c r="G183">
        <f ca="1">DATEDIF(THrList[[#This Row],[Date_of_Birth]],NOW(),"Y")</f>
        <v>47</v>
      </c>
      <c r="H183" t="s">
        <v>792</v>
      </c>
      <c r="I183" t="s">
        <v>807</v>
      </c>
      <c r="J183" t="s">
        <v>838</v>
      </c>
    </row>
    <row r="184" spans="1:10" x14ac:dyDescent="0.3">
      <c r="A184" t="s">
        <v>350</v>
      </c>
      <c r="B184" t="s">
        <v>907</v>
      </c>
      <c r="C184" t="str">
        <f>UPPER(THrList[[#This Row],[Last_Name]])</f>
        <v>GONZALEZ</v>
      </c>
      <c r="D184" t="s">
        <v>919</v>
      </c>
      <c r="E184" t="s">
        <v>797</v>
      </c>
      <c r="F184" s="1">
        <v>35681</v>
      </c>
      <c r="G184">
        <f ca="1">DATEDIF(THrList[[#This Row],[Date_of_Birth]],NOW(),"Y")</f>
        <v>28</v>
      </c>
      <c r="H184" t="s">
        <v>843</v>
      </c>
      <c r="I184" t="s">
        <v>798</v>
      </c>
      <c r="J184" t="s">
        <v>838</v>
      </c>
    </row>
    <row r="185" spans="1:10" x14ac:dyDescent="0.3">
      <c r="A185" t="s">
        <v>496</v>
      </c>
      <c r="B185" t="s">
        <v>886</v>
      </c>
      <c r="C185" t="str">
        <f>UPPER(THrList[[#This Row],[Last_Name]])</f>
        <v>MARTINEZ</v>
      </c>
      <c r="D185" t="s">
        <v>796</v>
      </c>
      <c r="E185" t="s">
        <v>791</v>
      </c>
      <c r="F185" s="1">
        <v>27990</v>
      </c>
      <c r="G185">
        <f ca="1">DATEDIF(THrList[[#This Row],[Date_of_Birth]],NOW(),"Y")</f>
        <v>49</v>
      </c>
      <c r="H185" t="s">
        <v>792</v>
      </c>
      <c r="I185" t="s">
        <v>798</v>
      </c>
      <c r="J185" t="s">
        <v>819</v>
      </c>
    </row>
    <row r="186" spans="1:10" x14ac:dyDescent="0.3">
      <c r="A186" t="s">
        <v>950</v>
      </c>
      <c r="B186" t="s">
        <v>824</v>
      </c>
      <c r="C186" t="str">
        <f>UPPER(THrList[[#This Row],[Last_Name]])</f>
        <v>SOW</v>
      </c>
      <c r="D186" t="s">
        <v>837</v>
      </c>
      <c r="E186" t="s">
        <v>797</v>
      </c>
      <c r="F186" s="1">
        <v>32758</v>
      </c>
      <c r="G186">
        <f ca="1">DATEDIF(THrList[[#This Row],[Date_of_Birth]],NOW(),"Y")</f>
        <v>36</v>
      </c>
      <c r="H186" t="s">
        <v>806</v>
      </c>
      <c r="I186" t="s">
        <v>793</v>
      </c>
      <c r="J186" t="s">
        <v>799</v>
      </c>
    </row>
    <row r="187" spans="1:10" x14ac:dyDescent="0.3">
      <c r="A187" t="s">
        <v>951</v>
      </c>
      <c r="B187" t="s">
        <v>809</v>
      </c>
      <c r="C187" t="str">
        <f>UPPER(THrList[[#This Row],[Last_Name]])</f>
        <v>TRAORE</v>
      </c>
      <c r="D187" t="s">
        <v>864</v>
      </c>
      <c r="E187" t="s">
        <v>791</v>
      </c>
      <c r="F187" s="1">
        <v>29064</v>
      </c>
      <c r="G187">
        <f ca="1">DATEDIF(THrList[[#This Row],[Date_of_Birth]],NOW(),"Y")</f>
        <v>46</v>
      </c>
      <c r="H187" t="s">
        <v>843</v>
      </c>
      <c r="I187" t="s">
        <v>793</v>
      </c>
      <c r="J187" t="s">
        <v>808</v>
      </c>
    </row>
    <row r="188" spans="1:10" x14ac:dyDescent="0.3">
      <c r="A188" t="s">
        <v>473</v>
      </c>
      <c r="B188" t="s">
        <v>907</v>
      </c>
      <c r="C188" t="str">
        <f>UPPER(THrList[[#This Row],[Last_Name]])</f>
        <v>GONZALEZ</v>
      </c>
      <c r="D188" t="s">
        <v>822</v>
      </c>
      <c r="E188" t="s">
        <v>791</v>
      </c>
      <c r="F188" s="1">
        <v>27439</v>
      </c>
      <c r="G188">
        <f ca="1">DATEDIF(THrList[[#This Row],[Date_of_Birth]],NOW(),"Y")</f>
        <v>50</v>
      </c>
      <c r="H188" t="s">
        <v>843</v>
      </c>
      <c r="I188" t="s">
        <v>807</v>
      </c>
      <c r="J188" t="s">
        <v>823</v>
      </c>
    </row>
    <row r="189" spans="1:10" x14ac:dyDescent="0.3">
      <c r="A189" t="s">
        <v>227</v>
      </c>
      <c r="B189" t="s">
        <v>800</v>
      </c>
      <c r="C189" t="str">
        <f>UPPER(THrList[[#This Row],[Last_Name]])</f>
        <v>JOHNSON</v>
      </c>
      <c r="D189" t="s">
        <v>878</v>
      </c>
      <c r="E189" t="s">
        <v>797</v>
      </c>
      <c r="F189" s="1">
        <v>29025</v>
      </c>
      <c r="G189">
        <f ca="1">DATEDIF(THrList[[#This Row],[Date_of_Birth]],NOW(),"Y")</f>
        <v>46</v>
      </c>
      <c r="H189" t="s">
        <v>792</v>
      </c>
      <c r="I189" t="s">
        <v>798</v>
      </c>
      <c r="J189" t="s">
        <v>823</v>
      </c>
    </row>
    <row r="190" spans="1:10" x14ac:dyDescent="0.3">
      <c r="A190" t="s">
        <v>672</v>
      </c>
      <c r="B190" t="s">
        <v>812</v>
      </c>
      <c r="C190" t="str">
        <f>UPPER(THrList[[#This Row],[Last_Name]])</f>
        <v>CAMARA</v>
      </c>
      <c r="D190" t="s">
        <v>883</v>
      </c>
      <c r="E190" t="s">
        <v>791</v>
      </c>
      <c r="F190" s="1">
        <v>37358</v>
      </c>
      <c r="G190">
        <f ca="1">DATEDIF(THrList[[#This Row],[Date_of_Birth]],NOW(),"Y")</f>
        <v>23</v>
      </c>
      <c r="H190" t="s">
        <v>811</v>
      </c>
      <c r="I190" t="s">
        <v>798</v>
      </c>
      <c r="J190" t="s">
        <v>808</v>
      </c>
    </row>
    <row r="191" spans="1:10" x14ac:dyDescent="0.3">
      <c r="A191" t="s">
        <v>616</v>
      </c>
      <c r="B191" t="s">
        <v>809</v>
      </c>
      <c r="C191" t="str">
        <f>UPPER(THrList[[#This Row],[Last_Name]])</f>
        <v>TRAORE</v>
      </c>
      <c r="D191" t="s">
        <v>842</v>
      </c>
      <c r="E191" t="s">
        <v>797</v>
      </c>
      <c r="F191" s="1">
        <v>28983</v>
      </c>
      <c r="G191">
        <f ca="1">DATEDIF(THrList[[#This Row],[Date_of_Birth]],NOW(),"Y")</f>
        <v>46</v>
      </c>
      <c r="H191" t="s">
        <v>792</v>
      </c>
      <c r="I191" t="s">
        <v>798</v>
      </c>
      <c r="J191" t="s">
        <v>808</v>
      </c>
    </row>
    <row r="192" spans="1:10" x14ac:dyDescent="0.3">
      <c r="A192" t="s">
        <v>747</v>
      </c>
      <c r="B192" t="s">
        <v>892</v>
      </c>
      <c r="C192" t="str">
        <f>UPPER(THrList[[#This Row],[Last_Name]])</f>
        <v>BALDE</v>
      </c>
      <c r="D192" t="s">
        <v>827</v>
      </c>
      <c r="E192" t="s">
        <v>797</v>
      </c>
      <c r="F192" s="1">
        <v>25687</v>
      </c>
      <c r="G192">
        <f ca="1">DATEDIF(THrList[[#This Row],[Date_of_Birth]],NOW(),"Y")</f>
        <v>55</v>
      </c>
      <c r="H192" t="s">
        <v>806</v>
      </c>
      <c r="I192" t="s">
        <v>807</v>
      </c>
      <c r="J192" t="s">
        <v>823</v>
      </c>
    </row>
    <row r="193" spans="1:10" x14ac:dyDescent="0.3">
      <c r="A193" t="s">
        <v>431</v>
      </c>
      <c r="B193" t="s">
        <v>863</v>
      </c>
      <c r="C193" t="str">
        <f>UPPER(THrList[[#This Row],[Last_Name]])</f>
        <v>THOMAS</v>
      </c>
      <c r="D193" t="s">
        <v>813</v>
      </c>
      <c r="E193" t="s">
        <v>791</v>
      </c>
      <c r="F193" s="1">
        <v>31934</v>
      </c>
      <c r="G193">
        <f ca="1">DATEDIF(THrList[[#This Row],[Date_of_Birth]],NOW(),"Y")</f>
        <v>38</v>
      </c>
      <c r="H193" t="s">
        <v>843</v>
      </c>
      <c r="I193" t="s">
        <v>798</v>
      </c>
      <c r="J193" t="s">
        <v>952</v>
      </c>
    </row>
    <row r="194" spans="1:10" x14ac:dyDescent="0.3">
      <c r="A194" t="s">
        <v>636</v>
      </c>
      <c r="B194" t="s">
        <v>937</v>
      </c>
      <c r="C194" t="str">
        <f>UPPER(THrList[[#This Row],[Last_Name]])</f>
        <v>KOUASSI</v>
      </c>
      <c r="D194" t="s">
        <v>900</v>
      </c>
      <c r="E194" t="s">
        <v>791</v>
      </c>
      <c r="F194" s="1">
        <v>26140</v>
      </c>
      <c r="G194">
        <f ca="1">DATEDIF(THrList[[#This Row],[Date_of_Birth]],NOW(),"Y")</f>
        <v>54</v>
      </c>
      <c r="H194" t="s">
        <v>811</v>
      </c>
      <c r="I194" t="s">
        <v>807</v>
      </c>
      <c r="J194" t="s">
        <v>799</v>
      </c>
    </row>
    <row r="195" spans="1:10" x14ac:dyDescent="0.3">
      <c r="A195" t="s">
        <v>761</v>
      </c>
      <c r="B195" t="s">
        <v>898</v>
      </c>
      <c r="C195" t="str">
        <f>UPPER(THrList[[#This Row],[Last_Name]])</f>
        <v>MOREAU</v>
      </c>
      <c r="D195" t="s">
        <v>825</v>
      </c>
      <c r="E195" t="s">
        <v>797</v>
      </c>
      <c r="F195" s="1">
        <v>30673</v>
      </c>
      <c r="G195">
        <f ca="1">DATEDIF(THrList[[#This Row],[Date_of_Birth]],NOW(),"Y")</f>
        <v>41</v>
      </c>
      <c r="H195" t="s">
        <v>792</v>
      </c>
      <c r="I195" t="s">
        <v>793</v>
      </c>
      <c r="J195" t="s">
        <v>1068</v>
      </c>
    </row>
    <row r="196" spans="1:10" x14ac:dyDescent="0.3">
      <c r="A196" t="s">
        <v>953</v>
      </c>
      <c r="B196" t="s">
        <v>937</v>
      </c>
      <c r="C196" t="str">
        <f>UPPER(THrList[[#This Row],[Last_Name]])</f>
        <v>KOUASSI</v>
      </c>
      <c r="D196" t="s">
        <v>915</v>
      </c>
      <c r="E196" t="s">
        <v>797</v>
      </c>
      <c r="F196" s="1">
        <v>32641</v>
      </c>
      <c r="G196">
        <f ca="1">DATEDIF(THrList[[#This Row],[Date_of_Birth]],NOW(),"Y")</f>
        <v>36</v>
      </c>
      <c r="H196" t="s">
        <v>792</v>
      </c>
      <c r="I196" t="s">
        <v>793</v>
      </c>
      <c r="J196" t="s">
        <v>794</v>
      </c>
    </row>
    <row r="197" spans="1:10" x14ac:dyDescent="0.3">
      <c r="A197" t="s">
        <v>954</v>
      </c>
      <c r="B197" t="s">
        <v>913</v>
      </c>
      <c r="C197" t="str">
        <f>UPPER(THrList[[#This Row],[Last_Name]])</f>
        <v>MERCIER</v>
      </c>
      <c r="D197" t="s">
        <v>893</v>
      </c>
      <c r="E197" t="s">
        <v>797</v>
      </c>
      <c r="F197" s="1">
        <v>26633</v>
      </c>
      <c r="G197">
        <f ca="1">DATEDIF(THrList[[#This Row],[Date_of_Birth]],NOW(),"Y")</f>
        <v>53</v>
      </c>
      <c r="H197" t="s">
        <v>792</v>
      </c>
      <c r="I197" t="s">
        <v>798</v>
      </c>
      <c r="J197" t="s">
        <v>808</v>
      </c>
    </row>
    <row r="198" spans="1:10" x14ac:dyDescent="0.3">
      <c r="A198" t="s">
        <v>955</v>
      </c>
      <c r="B198" t="s">
        <v>855</v>
      </c>
      <c r="C198" t="str">
        <f>UPPER(THrList[[#This Row],[Last_Name]])</f>
        <v>TAYLOR</v>
      </c>
      <c r="D198" t="s">
        <v>818</v>
      </c>
      <c r="E198" t="s">
        <v>791</v>
      </c>
      <c r="F198" s="1">
        <v>35046</v>
      </c>
      <c r="G198">
        <f ca="1">DATEDIF(THrList[[#This Row],[Date_of_Birth]],NOW(),"Y")</f>
        <v>30</v>
      </c>
      <c r="H198" t="s">
        <v>811</v>
      </c>
      <c r="I198" t="s">
        <v>793</v>
      </c>
      <c r="J198" t="s">
        <v>814</v>
      </c>
    </row>
    <row r="199" spans="1:10" x14ac:dyDescent="0.3">
      <c r="A199" t="s">
        <v>649</v>
      </c>
      <c r="B199" t="s">
        <v>809</v>
      </c>
      <c r="C199" t="str">
        <f>UPPER(THrList[[#This Row],[Last_Name]])</f>
        <v>TRAORE</v>
      </c>
      <c r="D199" t="s">
        <v>932</v>
      </c>
      <c r="E199" t="s">
        <v>797</v>
      </c>
      <c r="F199" s="1">
        <v>30313</v>
      </c>
      <c r="G199">
        <f ca="1">DATEDIF(THrList[[#This Row],[Date_of_Birth]],NOW(),"Y")</f>
        <v>42</v>
      </c>
      <c r="H199" t="s">
        <v>843</v>
      </c>
      <c r="I199" t="s">
        <v>798</v>
      </c>
      <c r="J199" t="s">
        <v>794</v>
      </c>
    </row>
    <row r="200" spans="1:10" x14ac:dyDescent="0.3">
      <c r="A200" t="s">
        <v>735</v>
      </c>
      <c r="B200" t="s">
        <v>896</v>
      </c>
      <c r="C200" t="str">
        <f>UPPER(THrList[[#This Row],[Last_Name]])</f>
        <v>DIOP</v>
      </c>
      <c r="D200" t="s">
        <v>816</v>
      </c>
      <c r="E200" t="s">
        <v>797</v>
      </c>
      <c r="F200" s="1">
        <v>30020</v>
      </c>
      <c r="G200">
        <f ca="1">DATEDIF(THrList[[#This Row],[Date_of_Birth]],NOW(),"Y")</f>
        <v>43</v>
      </c>
      <c r="H200" t="s">
        <v>811</v>
      </c>
      <c r="I200" t="s">
        <v>807</v>
      </c>
      <c r="J200" t="s">
        <v>823</v>
      </c>
    </row>
    <row r="201" spans="1:10" x14ac:dyDescent="0.3">
      <c r="A201" t="s">
        <v>661</v>
      </c>
      <c r="B201" t="s">
        <v>804</v>
      </c>
      <c r="C201" t="str">
        <f>UPPER(THrList[[#This Row],[Last_Name]])</f>
        <v>SMITH</v>
      </c>
      <c r="D201" t="s">
        <v>805</v>
      </c>
      <c r="E201" t="s">
        <v>791</v>
      </c>
      <c r="F201" s="1">
        <v>30154</v>
      </c>
      <c r="G201">
        <f ca="1">DATEDIF(THrList[[#This Row],[Date_of_Birth]],NOW(),"Y")</f>
        <v>43</v>
      </c>
      <c r="H201" t="s">
        <v>811</v>
      </c>
      <c r="I201" t="s">
        <v>798</v>
      </c>
      <c r="J201" t="s">
        <v>794</v>
      </c>
    </row>
    <row r="202" spans="1:10" x14ac:dyDescent="0.3">
      <c r="A202" t="s">
        <v>497</v>
      </c>
      <c r="B202" t="s">
        <v>904</v>
      </c>
      <c r="C202" t="str">
        <f>UPPER(THrList[[#This Row],[Last_Name]])</f>
        <v>SINGH</v>
      </c>
      <c r="D202" t="s">
        <v>846</v>
      </c>
      <c r="E202" t="s">
        <v>791</v>
      </c>
      <c r="F202" s="1">
        <v>37329</v>
      </c>
      <c r="G202">
        <f ca="1">DATEDIF(THrList[[#This Row],[Date_of_Birth]],NOW(),"Y")</f>
        <v>23</v>
      </c>
      <c r="H202" t="s">
        <v>792</v>
      </c>
      <c r="I202" t="s">
        <v>793</v>
      </c>
      <c r="J202" t="s">
        <v>794</v>
      </c>
    </row>
    <row r="203" spans="1:10" x14ac:dyDescent="0.3">
      <c r="A203" t="s">
        <v>255</v>
      </c>
      <c r="B203" t="s">
        <v>859</v>
      </c>
      <c r="C203" t="str">
        <f>UPPER(THrList[[#This Row],[Last_Name]])</f>
        <v>PATEL</v>
      </c>
      <c r="D203" t="s">
        <v>827</v>
      </c>
      <c r="E203" t="s">
        <v>791</v>
      </c>
      <c r="F203" s="1">
        <v>37188</v>
      </c>
      <c r="G203">
        <f ca="1">DATEDIF(THrList[[#This Row],[Date_of_Birth]],NOW(),"Y")</f>
        <v>24</v>
      </c>
      <c r="H203" t="s">
        <v>811</v>
      </c>
      <c r="I203" t="s">
        <v>793</v>
      </c>
      <c r="J203" t="s">
        <v>794</v>
      </c>
    </row>
    <row r="204" spans="1:10" x14ac:dyDescent="0.3">
      <c r="A204" t="s">
        <v>956</v>
      </c>
      <c r="B204" t="s">
        <v>832</v>
      </c>
      <c r="C204" t="str">
        <f>UPPER(THrList[[#This Row],[Last_Name]])</f>
        <v>FOURNIER</v>
      </c>
      <c r="D204" t="s">
        <v>883</v>
      </c>
      <c r="E204" t="s">
        <v>791</v>
      </c>
      <c r="F204" s="1">
        <v>27392</v>
      </c>
      <c r="G204">
        <f ca="1">DATEDIF(THrList[[#This Row],[Date_of_Birth]],NOW(),"Y")</f>
        <v>50</v>
      </c>
      <c r="H204" t="s">
        <v>792</v>
      </c>
      <c r="I204" t="s">
        <v>807</v>
      </c>
      <c r="J204" t="s">
        <v>803</v>
      </c>
    </row>
    <row r="205" spans="1:10" x14ac:dyDescent="0.3">
      <c r="A205" t="s">
        <v>296</v>
      </c>
      <c r="B205" t="s">
        <v>866</v>
      </c>
      <c r="C205" t="str">
        <f>UPPER(THrList[[#This Row],[Last_Name]])</f>
        <v>ABDULLAH</v>
      </c>
      <c r="D205" t="s">
        <v>926</v>
      </c>
      <c r="E205" t="s">
        <v>797</v>
      </c>
      <c r="F205" s="1">
        <v>36890</v>
      </c>
      <c r="G205">
        <f ca="1">DATEDIF(THrList[[#This Row],[Date_of_Birth]],NOW(),"Y")</f>
        <v>24</v>
      </c>
      <c r="H205" t="s">
        <v>811</v>
      </c>
      <c r="I205" t="s">
        <v>793</v>
      </c>
      <c r="J205" t="s">
        <v>819</v>
      </c>
    </row>
    <row r="206" spans="1:10" x14ac:dyDescent="0.3">
      <c r="A206" t="s">
        <v>352</v>
      </c>
      <c r="B206" t="s">
        <v>789</v>
      </c>
      <c r="C206" t="str">
        <f>UPPER(THrList[[#This Row],[Last_Name]])</f>
        <v>LEROY</v>
      </c>
      <c r="D206" t="s">
        <v>906</v>
      </c>
      <c r="E206" t="s">
        <v>797</v>
      </c>
      <c r="F206" s="1">
        <v>35956</v>
      </c>
      <c r="G206">
        <f ca="1">DATEDIF(THrList[[#This Row],[Date_of_Birth]],NOW(),"Y")</f>
        <v>27</v>
      </c>
      <c r="H206" t="s">
        <v>811</v>
      </c>
      <c r="I206" t="s">
        <v>798</v>
      </c>
      <c r="J206" t="s">
        <v>803</v>
      </c>
    </row>
    <row r="207" spans="1:10" x14ac:dyDescent="0.3">
      <c r="A207" t="s">
        <v>728</v>
      </c>
      <c r="B207" t="s">
        <v>859</v>
      </c>
      <c r="C207" t="str">
        <f>UPPER(THrList[[#This Row],[Last_Name]])</f>
        <v>PATEL</v>
      </c>
      <c r="D207" t="s">
        <v>918</v>
      </c>
      <c r="E207" t="s">
        <v>797</v>
      </c>
      <c r="F207" s="1">
        <v>27183</v>
      </c>
      <c r="G207">
        <f ca="1">DATEDIF(THrList[[#This Row],[Date_of_Birth]],NOW(),"Y")</f>
        <v>51</v>
      </c>
      <c r="H207" t="s">
        <v>792</v>
      </c>
      <c r="I207" t="s">
        <v>807</v>
      </c>
      <c r="J207" t="s">
        <v>808</v>
      </c>
    </row>
    <row r="208" spans="1:10" x14ac:dyDescent="0.3">
      <c r="A208" t="s">
        <v>329</v>
      </c>
      <c r="B208" t="s">
        <v>887</v>
      </c>
      <c r="C208" t="str">
        <f>UPPER(THrList[[#This Row],[Last_Name]])</f>
        <v>TOURE</v>
      </c>
      <c r="D208" t="s">
        <v>856</v>
      </c>
      <c r="E208" t="s">
        <v>797</v>
      </c>
      <c r="F208" s="1">
        <v>32288</v>
      </c>
      <c r="G208">
        <f ca="1">DATEDIF(THrList[[#This Row],[Date_of_Birth]],NOW(),"Y")</f>
        <v>37</v>
      </c>
      <c r="H208" t="s">
        <v>792</v>
      </c>
      <c r="I208" t="s">
        <v>793</v>
      </c>
      <c r="J208" t="s">
        <v>803</v>
      </c>
    </row>
    <row r="209" spans="1:10" x14ac:dyDescent="0.3">
      <c r="A209" t="s">
        <v>957</v>
      </c>
      <c r="B209" t="s">
        <v>815</v>
      </c>
      <c r="C209" t="str">
        <f>UPPER(THrList[[#This Row],[Last_Name]])</f>
        <v>MARTIN</v>
      </c>
      <c r="D209" t="s">
        <v>914</v>
      </c>
      <c r="E209" t="s">
        <v>791</v>
      </c>
      <c r="F209" s="1">
        <v>28157</v>
      </c>
      <c r="G209">
        <f ca="1">DATEDIF(THrList[[#This Row],[Date_of_Birth]],NOW(),"Y")</f>
        <v>48</v>
      </c>
      <c r="H209" t="s">
        <v>792</v>
      </c>
      <c r="I209" t="s">
        <v>793</v>
      </c>
      <c r="J209" t="s">
        <v>794</v>
      </c>
    </row>
    <row r="210" spans="1:10" x14ac:dyDescent="0.3">
      <c r="A210" t="s">
        <v>958</v>
      </c>
      <c r="B210" t="s">
        <v>817</v>
      </c>
      <c r="C210" t="str">
        <f>UPPER(THrList[[#This Row],[Last_Name]])</f>
        <v>JACKSON</v>
      </c>
      <c r="D210" t="s">
        <v>883</v>
      </c>
      <c r="E210" t="s">
        <v>791</v>
      </c>
      <c r="F210" s="1">
        <v>35848</v>
      </c>
      <c r="G210">
        <f ca="1">DATEDIF(THrList[[#This Row],[Date_of_Birth]],NOW(),"Y")</f>
        <v>27</v>
      </c>
      <c r="H210" t="s">
        <v>843</v>
      </c>
      <c r="I210" t="s">
        <v>793</v>
      </c>
      <c r="J210" t="s">
        <v>808</v>
      </c>
    </row>
    <row r="211" spans="1:10" x14ac:dyDescent="0.3">
      <c r="A211" t="s">
        <v>766</v>
      </c>
      <c r="B211" t="s">
        <v>824</v>
      </c>
      <c r="C211" t="str">
        <f>UPPER(THrList[[#This Row],[Last_Name]])</f>
        <v>SOW</v>
      </c>
      <c r="D211" t="s">
        <v>796</v>
      </c>
      <c r="E211" t="s">
        <v>797</v>
      </c>
      <c r="F211" s="1">
        <v>31017</v>
      </c>
      <c r="G211">
        <f ca="1">DATEDIF(THrList[[#This Row],[Date_of_Birth]],NOW(),"Y")</f>
        <v>41</v>
      </c>
      <c r="H211" t="s">
        <v>811</v>
      </c>
      <c r="I211" t="s">
        <v>807</v>
      </c>
      <c r="J211" t="s">
        <v>808</v>
      </c>
    </row>
    <row r="212" spans="1:10" x14ac:dyDescent="0.3">
      <c r="A212" t="s">
        <v>959</v>
      </c>
      <c r="B212" t="s">
        <v>960</v>
      </c>
      <c r="C212" t="str">
        <f>UPPER(THrList[[#This Row],[Last_Name]])</f>
        <v xml:space="preserve">TAYLOR </v>
      </c>
      <c r="D212" t="s">
        <v>853</v>
      </c>
      <c r="E212" t="s">
        <v>797</v>
      </c>
      <c r="F212" s="1">
        <v>35736</v>
      </c>
      <c r="G212">
        <f ca="1">DATEDIF(THrList[[#This Row],[Date_of_Birth]],NOW(),"Y")</f>
        <v>28</v>
      </c>
      <c r="H212" t="s">
        <v>843</v>
      </c>
      <c r="I212" t="s">
        <v>807</v>
      </c>
      <c r="J212" t="s">
        <v>814</v>
      </c>
    </row>
    <row r="213" spans="1:10" x14ac:dyDescent="0.3">
      <c r="A213" t="s">
        <v>175</v>
      </c>
      <c r="B213" t="s">
        <v>789</v>
      </c>
      <c r="C213" t="str">
        <f>UPPER(THrList[[#This Row],[Last_Name]])</f>
        <v>LEROY</v>
      </c>
      <c r="D213" t="s">
        <v>846</v>
      </c>
      <c r="E213" t="s">
        <v>797</v>
      </c>
      <c r="F213" s="1">
        <v>38184</v>
      </c>
      <c r="G213">
        <f ca="1">DATEDIF(THrList[[#This Row],[Date_of_Birth]],NOW(),"Y")</f>
        <v>21</v>
      </c>
      <c r="H213" t="s">
        <v>792</v>
      </c>
      <c r="I213" t="s">
        <v>807</v>
      </c>
      <c r="J213" t="s">
        <v>799</v>
      </c>
    </row>
    <row r="214" spans="1:10" x14ac:dyDescent="0.3">
      <c r="A214" t="s">
        <v>213</v>
      </c>
      <c r="B214" t="s">
        <v>795</v>
      </c>
      <c r="C214" t="str">
        <f>UPPER(THrList[[#This Row],[Last_Name]])</f>
        <v>GIRARD</v>
      </c>
      <c r="D214" t="s">
        <v>915</v>
      </c>
      <c r="E214" t="s">
        <v>797</v>
      </c>
      <c r="F214" s="1">
        <v>34418</v>
      </c>
      <c r="G214">
        <f ca="1">DATEDIF(THrList[[#This Row],[Date_of_Birth]],NOW(),"Y")</f>
        <v>31</v>
      </c>
      <c r="H214" t="s">
        <v>811</v>
      </c>
      <c r="I214" t="s">
        <v>798</v>
      </c>
      <c r="J214" t="s">
        <v>794</v>
      </c>
    </row>
    <row r="215" spans="1:10" x14ac:dyDescent="0.3">
      <c r="A215" t="s">
        <v>362</v>
      </c>
      <c r="B215" t="s">
        <v>863</v>
      </c>
      <c r="C215" t="str">
        <f>UPPER(THrList[[#This Row],[Last_Name]])</f>
        <v>THOMAS</v>
      </c>
      <c r="D215" t="s">
        <v>939</v>
      </c>
      <c r="E215" t="s">
        <v>791</v>
      </c>
      <c r="F215" s="1">
        <v>36604</v>
      </c>
      <c r="G215">
        <f ca="1">DATEDIF(THrList[[#This Row],[Date_of_Birth]],NOW(),"Y")</f>
        <v>25</v>
      </c>
      <c r="H215" t="s">
        <v>806</v>
      </c>
      <c r="I215" t="s">
        <v>798</v>
      </c>
      <c r="J215" t="s">
        <v>799</v>
      </c>
    </row>
    <row r="216" spans="1:10" x14ac:dyDescent="0.3">
      <c r="A216" t="s">
        <v>526</v>
      </c>
      <c r="B216" t="s">
        <v>872</v>
      </c>
      <c r="C216" t="str">
        <f>UPPER(THrList[[#This Row],[Last_Name]])</f>
        <v>DIALLO</v>
      </c>
      <c r="D216" t="s">
        <v>816</v>
      </c>
      <c r="E216" t="s">
        <v>791</v>
      </c>
      <c r="F216" s="1">
        <v>32048</v>
      </c>
      <c r="G216">
        <f ca="1">DATEDIF(THrList[[#This Row],[Date_of_Birth]],NOW(),"Y")</f>
        <v>38</v>
      </c>
      <c r="H216" t="s">
        <v>806</v>
      </c>
      <c r="I216" t="s">
        <v>793</v>
      </c>
      <c r="J216" t="s">
        <v>838</v>
      </c>
    </row>
    <row r="217" spans="1:10" x14ac:dyDescent="0.3">
      <c r="A217" t="s">
        <v>261</v>
      </c>
      <c r="B217" t="s">
        <v>858</v>
      </c>
      <c r="C217" t="str">
        <f>UPPER(THrList[[#This Row],[Last_Name]])</f>
        <v>MOORE</v>
      </c>
      <c r="D217" t="s">
        <v>888</v>
      </c>
      <c r="E217" t="s">
        <v>791</v>
      </c>
      <c r="F217" s="1">
        <v>30954</v>
      </c>
      <c r="G217">
        <f ca="1">DATEDIF(THrList[[#This Row],[Date_of_Birth]],NOW(),"Y")</f>
        <v>41</v>
      </c>
      <c r="H217" t="s">
        <v>811</v>
      </c>
      <c r="I217" t="s">
        <v>793</v>
      </c>
      <c r="J217" t="s">
        <v>794</v>
      </c>
    </row>
    <row r="218" spans="1:10" x14ac:dyDescent="0.3">
      <c r="A218" t="s">
        <v>554</v>
      </c>
      <c r="B218" t="s">
        <v>913</v>
      </c>
      <c r="C218" t="str">
        <f>UPPER(THrList[[#This Row],[Last_Name]])</f>
        <v>MERCIER</v>
      </c>
      <c r="D218" t="s">
        <v>915</v>
      </c>
      <c r="E218" t="s">
        <v>791</v>
      </c>
      <c r="F218" s="1">
        <v>32880</v>
      </c>
      <c r="G218">
        <f ca="1">DATEDIF(THrList[[#This Row],[Date_of_Birth]],NOW(),"Y")</f>
        <v>35</v>
      </c>
      <c r="H218" t="s">
        <v>806</v>
      </c>
      <c r="I218" t="s">
        <v>793</v>
      </c>
      <c r="J218" t="s">
        <v>794</v>
      </c>
    </row>
    <row r="219" spans="1:10" x14ac:dyDescent="0.3">
      <c r="A219" t="s">
        <v>230</v>
      </c>
      <c r="B219" t="s">
        <v>898</v>
      </c>
      <c r="C219" t="str">
        <f>UPPER(THrList[[#This Row],[Last_Name]])</f>
        <v>MOREAU</v>
      </c>
      <c r="D219" t="s">
        <v>801</v>
      </c>
      <c r="E219" t="s">
        <v>797</v>
      </c>
      <c r="F219" s="1">
        <v>30227</v>
      </c>
      <c r="G219">
        <f ca="1">DATEDIF(THrList[[#This Row],[Date_of_Birth]],NOW(),"Y")</f>
        <v>43</v>
      </c>
      <c r="H219" t="s">
        <v>843</v>
      </c>
      <c r="I219" t="s">
        <v>807</v>
      </c>
      <c r="J219" t="s">
        <v>794</v>
      </c>
    </row>
    <row r="220" spans="1:10" x14ac:dyDescent="0.3">
      <c r="A220" t="s">
        <v>137</v>
      </c>
      <c r="B220" t="s">
        <v>937</v>
      </c>
      <c r="C220" t="str">
        <f>UPPER(THrList[[#This Row],[Last_Name]])</f>
        <v>KOUASSI</v>
      </c>
      <c r="D220" t="s">
        <v>828</v>
      </c>
      <c r="E220" t="s">
        <v>791</v>
      </c>
      <c r="F220" s="1">
        <v>30688</v>
      </c>
      <c r="G220">
        <f ca="1">DATEDIF(THrList[[#This Row],[Date_of_Birth]],NOW(),"Y")</f>
        <v>41</v>
      </c>
      <c r="H220" t="s">
        <v>811</v>
      </c>
      <c r="I220" t="s">
        <v>798</v>
      </c>
      <c r="J220" t="s">
        <v>819</v>
      </c>
    </row>
    <row r="221" spans="1:10" x14ac:dyDescent="0.3">
      <c r="A221" t="s">
        <v>385</v>
      </c>
      <c r="B221" t="s">
        <v>898</v>
      </c>
      <c r="C221" t="str">
        <f>UPPER(THrList[[#This Row],[Last_Name]])</f>
        <v>MOREAU</v>
      </c>
      <c r="D221" t="s">
        <v>895</v>
      </c>
      <c r="E221" t="s">
        <v>791</v>
      </c>
      <c r="F221" s="1">
        <v>32571</v>
      </c>
      <c r="G221">
        <f ca="1">DATEDIF(THrList[[#This Row],[Date_of_Birth]],NOW(),"Y")</f>
        <v>36</v>
      </c>
      <c r="H221" t="s">
        <v>843</v>
      </c>
      <c r="I221" t="s">
        <v>793</v>
      </c>
      <c r="J221" t="s">
        <v>819</v>
      </c>
    </row>
    <row r="222" spans="1:10" x14ac:dyDescent="0.3">
      <c r="A222" t="s">
        <v>381</v>
      </c>
      <c r="B222" t="s">
        <v>904</v>
      </c>
      <c r="C222" t="str">
        <f>UPPER(THrList[[#This Row],[Last_Name]])</f>
        <v>SINGH</v>
      </c>
      <c r="D222" t="s">
        <v>828</v>
      </c>
      <c r="E222" t="s">
        <v>791</v>
      </c>
      <c r="F222" s="1">
        <v>34968</v>
      </c>
      <c r="G222">
        <f ca="1">DATEDIF(THrList[[#This Row],[Date_of_Birth]],NOW(),"Y")</f>
        <v>30</v>
      </c>
      <c r="H222" t="s">
        <v>792</v>
      </c>
      <c r="I222" t="s">
        <v>793</v>
      </c>
      <c r="J222" t="s">
        <v>823</v>
      </c>
    </row>
    <row r="223" spans="1:10" x14ac:dyDescent="0.3">
      <c r="A223" t="s">
        <v>520</v>
      </c>
      <c r="B223" t="s">
        <v>859</v>
      </c>
      <c r="C223" t="str">
        <f>UPPER(THrList[[#This Row],[Last_Name]])</f>
        <v>PATEL</v>
      </c>
      <c r="D223" t="s">
        <v>830</v>
      </c>
      <c r="E223" t="s">
        <v>791</v>
      </c>
      <c r="F223" s="1">
        <v>26172</v>
      </c>
      <c r="G223">
        <f ca="1">DATEDIF(THrList[[#This Row],[Date_of_Birth]],NOW(),"Y")</f>
        <v>54</v>
      </c>
      <c r="H223" t="s">
        <v>811</v>
      </c>
      <c r="I223" t="s">
        <v>807</v>
      </c>
      <c r="J223" t="s">
        <v>835</v>
      </c>
    </row>
    <row r="224" spans="1:10" x14ac:dyDescent="0.3">
      <c r="A224" t="s">
        <v>710</v>
      </c>
      <c r="B224" t="s">
        <v>887</v>
      </c>
      <c r="C224" t="str">
        <f>UPPER(THrList[[#This Row],[Last_Name]])</f>
        <v>TOURE</v>
      </c>
      <c r="D224" t="s">
        <v>849</v>
      </c>
      <c r="E224" t="s">
        <v>791</v>
      </c>
      <c r="F224" s="1">
        <v>31458</v>
      </c>
      <c r="G224">
        <f ca="1">DATEDIF(THrList[[#This Row],[Date_of_Birth]],NOW(),"Y")</f>
        <v>39</v>
      </c>
      <c r="H224" t="s">
        <v>792</v>
      </c>
      <c r="I224" t="s">
        <v>798</v>
      </c>
      <c r="J224" t="s">
        <v>794</v>
      </c>
    </row>
    <row r="225" spans="1:10" x14ac:dyDescent="0.3">
      <c r="A225" t="s">
        <v>455</v>
      </c>
      <c r="B225" t="s">
        <v>795</v>
      </c>
      <c r="C225" t="str">
        <f>UPPER(THrList[[#This Row],[Last_Name]])</f>
        <v>GIRARD</v>
      </c>
      <c r="D225" t="s">
        <v>841</v>
      </c>
      <c r="E225" t="s">
        <v>791</v>
      </c>
      <c r="F225" s="1">
        <v>36747</v>
      </c>
      <c r="G225">
        <f ca="1">DATEDIF(THrList[[#This Row],[Date_of_Birth]],NOW(),"Y")</f>
        <v>25</v>
      </c>
      <c r="H225" t="s">
        <v>843</v>
      </c>
      <c r="I225" t="s">
        <v>793</v>
      </c>
      <c r="J225" t="s">
        <v>835</v>
      </c>
    </row>
    <row r="226" spans="1:10" x14ac:dyDescent="0.3">
      <c r="A226" t="s">
        <v>235</v>
      </c>
      <c r="B226" t="s">
        <v>821</v>
      </c>
      <c r="C226" t="str">
        <f>UPPER(THrList[[#This Row],[Last_Name]])</f>
        <v>DUBOIS</v>
      </c>
      <c r="D226" t="s">
        <v>810</v>
      </c>
      <c r="E226" t="s">
        <v>797</v>
      </c>
      <c r="F226" s="1">
        <v>31729</v>
      </c>
      <c r="G226">
        <f ca="1">DATEDIF(THrList[[#This Row],[Date_of_Birth]],NOW(),"Y")</f>
        <v>39</v>
      </c>
      <c r="H226" t="s">
        <v>811</v>
      </c>
      <c r="I226" t="s">
        <v>798</v>
      </c>
      <c r="J226" t="s">
        <v>808</v>
      </c>
    </row>
    <row r="227" spans="1:10" x14ac:dyDescent="0.3">
      <c r="A227" t="s">
        <v>158</v>
      </c>
      <c r="B227" t="s">
        <v>817</v>
      </c>
      <c r="C227" t="str">
        <f>UPPER(THrList[[#This Row],[Last_Name]])</f>
        <v>JACKSON</v>
      </c>
      <c r="D227" t="s">
        <v>901</v>
      </c>
      <c r="E227" t="s">
        <v>791</v>
      </c>
      <c r="F227" s="1">
        <v>34478</v>
      </c>
      <c r="G227">
        <f ca="1">DATEDIF(THrList[[#This Row],[Date_of_Birth]],NOW(),"Y")</f>
        <v>31</v>
      </c>
      <c r="H227" t="s">
        <v>811</v>
      </c>
      <c r="I227" t="s">
        <v>807</v>
      </c>
      <c r="J227" t="s">
        <v>835</v>
      </c>
    </row>
    <row r="228" spans="1:10" x14ac:dyDescent="0.3">
      <c r="A228" t="s">
        <v>422</v>
      </c>
      <c r="B228" t="s">
        <v>817</v>
      </c>
      <c r="C228" t="str">
        <f>UPPER(THrList[[#This Row],[Last_Name]])</f>
        <v>JACKSON</v>
      </c>
      <c r="D228" t="s">
        <v>878</v>
      </c>
      <c r="E228" t="s">
        <v>791</v>
      </c>
      <c r="F228" s="1">
        <v>33450</v>
      </c>
      <c r="G228">
        <f ca="1">DATEDIF(THrList[[#This Row],[Date_of_Birth]],NOW(),"Y")</f>
        <v>34</v>
      </c>
      <c r="H228" t="s">
        <v>843</v>
      </c>
      <c r="I228" t="s">
        <v>793</v>
      </c>
      <c r="J228" t="s">
        <v>814</v>
      </c>
    </row>
    <row r="229" spans="1:10" x14ac:dyDescent="0.3">
      <c r="A229" t="s">
        <v>643</v>
      </c>
      <c r="B229" t="s">
        <v>829</v>
      </c>
      <c r="C229" t="str">
        <f>UPPER(THrList[[#This Row],[Last_Name]])</f>
        <v>HASSAN</v>
      </c>
      <c r="D229" t="s">
        <v>822</v>
      </c>
      <c r="E229" t="s">
        <v>791</v>
      </c>
      <c r="F229" s="1">
        <v>32395</v>
      </c>
      <c r="G229">
        <f ca="1">DATEDIF(THrList[[#This Row],[Date_of_Birth]],NOW(),"Y")</f>
        <v>37</v>
      </c>
      <c r="H229" t="s">
        <v>843</v>
      </c>
      <c r="I229" t="s">
        <v>798</v>
      </c>
      <c r="J229" t="s">
        <v>823</v>
      </c>
    </row>
    <row r="230" spans="1:10" x14ac:dyDescent="0.3">
      <c r="A230" t="s">
        <v>705</v>
      </c>
      <c r="B230" t="s">
        <v>911</v>
      </c>
      <c r="C230" t="str">
        <f>UPPER(THrList[[#This Row],[Last_Name]])</f>
        <v>BROWN</v>
      </c>
      <c r="D230" t="s">
        <v>901</v>
      </c>
      <c r="E230" t="s">
        <v>797</v>
      </c>
      <c r="F230" s="1">
        <v>36774</v>
      </c>
      <c r="G230">
        <f ca="1">DATEDIF(THrList[[#This Row],[Date_of_Birth]],NOW(),"Y")</f>
        <v>25</v>
      </c>
      <c r="H230" t="s">
        <v>843</v>
      </c>
      <c r="I230" t="s">
        <v>793</v>
      </c>
      <c r="J230" t="s">
        <v>838</v>
      </c>
    </row>
    <row r="231" spans="1:10" x14ac:dyDescent="0.3">
      <c r="A231" t="s">
        <v>961</v>
      </c>
      <c r="B231" t="s">
        <v>869</v>
      </c>
      <c r="C231" t="str">
        <f>UPPER(THrList[[#This Row],[Last_Name]])</f>
        <v>MILLER</v>
      </c>
      <c r="D231" t="s">
        <v>827</v>
      </c>
      <c r="E231" t="s">
        <v>791</v>
      </c>
      <c r="F231" s="1">
        <v>25559</v>
      </c>
      <c r="G231">
        <f ca="1">DATEDIF(THrList[[#This Row],[Date_of_Birth]],NOW(),"Y")</f>
        <v>55</v>
      </c>
      <c r="H231" t="s">
        <v>843</v>
      </c>
      <c r="I231" t="s">
        <v>798</v>
      </c>
      <c r="J231" t="s">
        <v>1068</v>
      </c>
    </row>
    <row r="232" spans="1:10" x14ac:dyDescent="0.3">
      <c r="A232" t="s">
        <v>587</v>
      </c>
      <c r="B232" t="s">
        <v>910</v>
      </c>
      <c r="C232" t="str">
        <f>UPPER(THrList[[#This Row],[Last_Name]])</f>
        <v>KHAN</v>
      </c>
      <c r="D232" t="s">
        <v>842</v>
      </c>
      <c r="E232" t="s">
        <v>791</v>
      </c>
      <c r="F232" s="1">
        <v>37562</v>
      </c>
      <c r="G232">
        <f ca="1">DATEDIF(THrList[[#This Row],[Date_of_Birth]],NOW(),"Y")</f>
        <v>23</v>
      </c>
      <c r="H232" t="s">
        <v>843</v>
      </c>
      <c r="I232" t="s">
        <v>793</v>
      </c>
      <c r="J232" t="s">
        <v>799</v>
      </c>
    </row>
    <row r="233" spans="1:10" x14ac:dyDescent="0.3">
      <c r="A233" t="s">
        <v>441</v>
      </c>
      <c r="B233" t="s">
        <v>868</v>
      </c>
      <c r="C233" t="str">
        <f>UPPER(THrList[[#This Row],[Last_Name]])</f>
        <v>LOPEZ</v>
      </c>
      <c r="D233" t="s">
        <v>846</v>
      </c>
      <c r="E233" t="s">
        <v>791</v>
      </c>
      <c r="F233" s="1">
        <v>34340</v>
      </c>
      <c r="G233">
        <f ca="1">DATEDIF(THrList[[#This Row],[Date_of_Birth]],NOW(),"Y")</f>
        <v>31</v>
      </c>
      <c r="H233" t="s">
        <v>811</v>
      </c>
      <c r="I233" t="s">
        <v>793</v>
      </c>
      <c r="J233" t="s">
        <v>838</v>
      </c>
    </row>
    <row r="234" spans="1:10" x14ac:dyDescent="0.3">
      <c r="A234" t="s">
        <v>729</v>
      </c>
      <c r="B234" t="s">
        <v>812</v>
      </c>
      <c r="C234" t="str">
        <f>UPPER(THrList[[#This Row],[Last_Name]])</f>
        <v>CAMARA</v>
      </c>
      <c r="D234" t="s">
        <v>915</v>
      </c>
      <c r="E234" t="s">
        <v>797</v>
      </c>
      <c r="F234" s="1">
        <v>26836</v>
      </c>
      <c r="G234">
        <f ca="1">DATEDIF(THrList[[#This Row],[Date_of_Birth]],NOW(),"Y")</f>
        <v>52</v>
      </c>
      <c r="H234" t="s">
        <v>811</v>
      </c>
      <c r="I234" t="s">
        <v>798</v>
      </c>
      <c r="J234" t="s">
        <v>814</v>
      </c>
    </row>
    <row r="235" spans="1:10" x14ac:dyDescent="0.3">
      <c r="A235" t="s">
        <v>102</v>
      </c>
      <c r="B235" t="s">
        <v>887</v>
      </c>
      <c r="C235" t="str">
        <f>UPPER(THrList[[#This Row],[Last_Name]])</f>
        <v>TOURE</v>
      </c>
      <c r="D235" t="s">
        <v>914</v>
      </c>
      <c r="E235" t="s">
        <v>791</v>
      </c>
      <c r="F235" s="1">
        <v>26102</v>
      </c>
      <c r="G235">
        <f ca="1">DATEDIF(THrList[[#This Row],[Date_of_Birth]],NOW(),"Y")</f>
        <v>54</v>
      </c>
      <c r="H235" t="s">
        <v>811</v>
      </c>
      <c r="I235" t="s">
        <v>798</v>
      </c>
      <c r="J235" t="s">
        <v>803</v>
      </c>
    </row>
    <row r="236" spans="1:10" x14ac:dyDescent="0.3">
      <c r="A236" t="s">
        <v>110</v>
      </c>
      <c r="B236" t="s">
        <v>829</v>
      </c>
      <c r="C236" t="str">
        <f>UPPER(THrList[[#This Row],[Last_Name]])</f>
        <v>HASSAN</v>
      </c>
      <c r="D236" t="s">
        <v>842</v>
      </c>
      <c r="E236" t="s">
        <v>791</v>
      </c>
      <c r="F236" s="1">
        <v>26419</v>
      </c>
      <c r="G236">
        <f ca="1">DATEDIF(THrList[[#This Row],[Date_of_Birth]],NOW(),"Y")</f>
        <v>53</v>
      </c>
      <c r="H236" t="s">
        <v>843</v>
      </c>
      <c r="I236" t="s">
        <v>807</v>
      </c>
      <c r="J236" t="s">
        <v>808</v>
      </c>
    </row>
    <row r="237" spans="1:10" x14ac:dyDescent="0.3">
      <c r="A237" t="s">
        <v>962</v>
      </c>
      <c r="B237" t="s">
        <v>909</v>
      </c>
      <c r="C237" t="str">
        <f>UPPER(THrList[[#This Row],[Last_Name]])</f>
        <v>DAVIS</v>
      </c>
      <c r="D237" t="s">
        <v>796</v>
      </c>
      <c r="E237" t="s">
        <v>797</v>
      </c>
      <c r="F237" s="1">
        <v>28862</v>
      </c>
      <c r="G237">
        <f ca="1">DATEDIF(THrList[[#This Row],[Date_of_Birth]],NOW(),"Y")</f>
        <v>46</v>
      </c>
      <c r="H237" t="s">
        <v>811</v>
      </c>
      <c r="I237" t="s">
        <v>807</v>
      </c>
      <c r="J237" t="s">
        <v>799</v>
      </c>
    </row>
    <row r="238" spans="1:10" x14ac:dyDescent="0.3">
      <c r="A238" t="s">
        <v>70</v>
      </c>
      <c r="B238" t="s">
        <v>829</v>
      </c>
      <c r="C238" t="str">
        <f>UPPER(THrList[[#This Row],[Last_Name]])</f>
        <v>HASSAN</v>
      </c>
      <c r="D238" t="s">
        <v>849</v>
      </c>
      <c r="E238" t="s">
        <v>791</v>
      </c>
      <c r="F238" s="1">
        <v>27431</v>
      </c>
      <c r="G238">
        <f ca="1">DATEDIF(THrList[[#This Row],[Date_of_Birth]],NOW(),"Y")</f>
        <v>50</v>
      </c>
      <c r="H238" t="s">
        <v>843</v>
      </c>
      <c r="I238" t="s">
        <v>807</v>
      </c>
      <c r="J238" t="s">
        <v>823</v>
      </c>
    </row>
    <row r="239" spans="1:10" x14ac:dyDescent="0.3">
      <c r="A239" t="s">
        <v>639</v>
      </c>
      <c r="B239" t="s">
        <v>832</v>
      </c>
      <c r="C239" t="str">
        <f>UPPER(THrList[[#This Row],[Last_Name]])</f>
        <v>FOURNIER</v>
      </c>
      <c r="D239" t="s">
        <v>842</v>
      </c>
      <c r="E239" t="s">
        <v>797</v>
      </c>
      <c r="F239" s="1">
        <v>34957</v>
      </c>
      <c r="G239">
        <f ca="1">DATEDIF(THrList[[#This Row],[Date_of_Birth]],NOW(),"Y")</f>
        <v>30</v>
      </c>
      <c r="H239" t="s">
        <v>806</v>
      </c>
      <c r="I239" t="s">
        <v>793</v>
      </c>
      <c r="J239" t="s">
        <v>808</v>
      </c>
    </row>
    <row r="240" spans="1:10" x14ac:dyDescent="0.3">
      <c r="A240" t="s">
        <v>658</v>
      </c>
      <c r="B240" t="s">
        <v>836</v>
      </c>
      <c r="C240" t="str">
        <f>UPPER(THrList[[#This Row],[Last_Name]])</f>
        <v>ANDERSON</v>
      </c>
      <c r="D240" t="s">
        <v>900</v>
      </c>
      <c r="E240" t="s">
        <v>797</v>
      </c>
      <c r="F240" s="1">
        <v>33345</v>
      </c>
      <c r="G240">
        <f ca="1">DATEDIF(THrList[[#This Row],[Date_of_Birth]],NOW(),"Y")</f>
        <v>34</v>
      </c>
      <c r="H240" t="s">
        <v>811</v>
      </c>
      <c r="I240" t="s">
        <v>807</v>
      </c>
      <c r="J240" t="s">
        <v>823</v>
      </c>
    </row>
    <row r="241" spans="1:10" x14ac:dyDescent="0.3">
      <c r="A241" t="s">
        <v>217</v>
      </c>
      <c r="B241" t="s">
        <v>868</v>
      </c>
      <c r="C241" t="str">
        <f>UPPER(THrList[[#This Row],[Last_Name]])</f>
        <v>LOPEZ</v>
      </c>
      <c r="D241" t="s">
        <v>874</v>
      </c>
      <c r="E241" t="s">
        <v>797</v>
      </c>
      <c r="F241" s="1">
        <v>35567</v>
      </c>
      <c r="G241">
        <f ca="1">DATEDIF(THrList[[#This Row],[Date_of_Birth]],NOW(),"Y")</f>
        <v>28</v>
      </c>
      <c r="H241" t="s">
        <v>843</v>
      </c>
      <c r="I241" t="s">
        <v>793</v>
      </c>
      <c r="J241" t="s">
        <v>835</v>
      </c>
    </row>
    <row r="242" spans="1:10" x14ac:dyDescent="0.3">
      <c r="A242" t="s">
        <v>608</v>
      </c>
      <c r="B242" t="s">
        <v>859</v>
      </c>
      <c r="C242" t="str">
        <f>UPPER(THrList[[#This Row],[Last_Name]])</f>
        <v>PATEL</v>
      </c>
      <c r="D242" t="s">
        <v>828</v>
      </c>
      <c r="E242" t="s">
        <v>797</v>
      </c>
      <c r="F242" s="1">
        <v>37045</v>
      </c>
      <c r="G242">
        <f ca="1">DATEDIF(THrList[[#This Row],[Date_of_Birth]],NOW(),"Y")</f>
        <v>24</v>
      </c>
      <c r="H242" t="s">
        <v>806</v>
      </c>
      <c r="I242" t="s">
        <v>793</v>
      </c>
      <c r="J242" t="s">
        <v>799</v>
      </c>
    </row>
    <row r="243" spans="1:10" x14ac:dyDescent="0.3">
      <c r="A243" t="s">
        <v>304</v>
      </c>
      <c r="B243" t="s">
        <v>909</v>
      </c>
      <c r="C243" t="str">
        <f>UPPER(THrList[[#This Row],[Last_Name]])</f>
        <v>DAVIS</v>
      </c>
      <c r="D243" t="s">
        <v>906</v>
      </c>
      <c r="E243" t="s">
        <v>791</v>
      </c>
      <c r="F243" s="1">
        <v>32391</v>
      </c>
      <c r="G243">
        <f ca="1">DATEDIF(THrList[[#This Row],[Date_of_Birth]],NOW(),"Y")</f>
        <v>37</v>
      </c>
      <c r="H243" t="s">
        <v>792</v>
      </c>
      <c r="I243" t="s">
        <v>798</v>
      </c>
      <c r="J243" t="s">
        <v>819</v>
      </c>
    </row>
    <row r="244" spans="1:10" x14ac:dyDescent="0.3">
      <c r="A244" t="s">
        <v>706</v>
      </c>
      <c r="B244" t="s">
        <v>910</v>
      </c>
      <c r="C244" t="str">
        <f>UPPER(THrList[[#This Row],[Last_Name]])</f>
        <v>KHAN</v>
      </c>
      <c r="D244" t="s">
        <v>881</v>
      </c>
      <c r="E244" t="s">
        <v>797</v>
      </c>
      <c r="F244" s="1">
        <v>34743</v>
      </c>
      <c r="G244">
        <f ca="1">DATEDIF(THrList[[#This Row],[Date_of_Birth]],NOW(),"Y")</f>
        <v>30</v>
      </c>
      <c r="H244" t="s">
        <v>806</v>
      </c>
      <c r="I244" t="s">
        <v>793</v>
      </c>
      <c r="J244" t="s">
        <v>835</v>
      </c>
    </row>
    <row r="245" spans="1:10" x14ac:dyDescent="0.3">
      <c r="A245" t="s">
        <v>108</v>
      </c>
      <c r="B245" t="s">
        <v>833</v>
      </c>
      <c r="C245" t="str">
        <f>UPPER(THrList[[#This Row],[Last_Name]])</f>
        <v>JONES</v>
      </c>
      <c r="D245" t="s">
        <v>880</v>
      </c>
      <c r="E245" t="s">
        <v>791</v>
      </c>
      <c r="F245" s="1">
        <v>31191</v>
      </c>
      <c r="G245">
        <f ca="1">DATEDIF(THrList[[#This Row],[Date_of_Birth]],NOW(),"Y")</f>
        <v>40</v>
      </c>
      <c r="H245" t="s">
        <v>843</v>
      </c>
      <c r="I245" t="s">
        <v>807</v>
      </c>
      <c r="J245" t="s">
        <v>814</v>
      </c>
    </row>
    <row r="246" spans="1:10" x14ac:dyDescent="0.3">
      <c r="A246" t="s">
        <v>454</v>
      </c>
      <c r="B246" t="s">
        <v>963</v>
      </c>
      <c r="C246" t="str">
        <f>UPPER(THrList[[#This Row],[Last_Name]])</f>
        <v xml:space="preserve"> MARTINEZ</v>
      </c>
      <c r="D246" t="s">
        <v>827</v>
      </c>
      <c r="E246" t="s">
        <v>791</v>
      </c>
      <c r="F246" s="1">
        <v>28243</v>
      </c>
      <c r="G246">
        <f ca="1">DATEDIF(THrList[[#This Row],[Date_of_Birth]],NOW(),"Y")</f>
        <v>48</v>
      </c>
      <c r="H246" t="s">
        <v>806</v>
      </c>
      <c r="I246" t="s">
        <v>793</v>
      </c>
      <c r="J246" t="s">
        <v>803</v>
      </c>
    </row>
    <row r="247" spans="1:10" x14ac:dyDescent="0.3">
      <c r="A247" t="s">
        <v>382</v>
      </c>
      <c r="B247" t="s">
        <v>829</v>
      </c>
      <c r="C247" t="str">
        <f>UPPER(THrList[[#This Row],[Last_Name]])</f>
        <v>HASSAN</v>
      </c>
      <c r="D247" t="s">
        <v>880</v>
      </c>
      <c r="E247" t="s">
        <v>791</v>
      </c>
      <c r="F247" s="1">
        <v>33356</v>
      </c>
      <c r="G247">
        <f ca="1">DATEDIF(THrList[[#This Row],[Date_of_Birth]],NOW(),"Y")</f>
        <v>34</v>
      </c>
      <c r="H247" t="s">
        <v>806</v>
      </c>
      <c r="I247" t="s">
        <v>798</v>
      </c>
      <c r="J247" t="s">
        <v>838</v>
      </c>
    </row>
    <row r="248" spans="1:10" x14ac:dyDescent="0.3">
      <c r="A248" t="s">
        <v>674</v>
      </c>
      <c r="B248" t="s">
        <v>824</v>
      </c>
      <c r="C248" t="str">
        <f>UPPER(THrList[[#This Row],[Last_Name]])</f>
        <v>SOW</v>
      </c>
      <c r="D248" t="s">
        <v>964</v>
      </c>
      <c r="E248" t="s">
        <v>791</v>
      </c>
      <c r="F248" s="1">
        <v>36206</v>
      </c>
      <c r="G248">
        <f ca="1">DATEDIF(THrList[[#This Row],[Date_of_Birth]],NOW(),"Y")</f>
        <v>26</v>
      </c>
      <c r="H248" t="s">
        <v>806</v>
      </c>
      <c r="I248" t="s">
        <v>793</v>
      </c>
      <c r="J248" t="s">
        <v>823</v>
      </c>
    </row>
    <row r="249" spans="1:10" x14ac:dyDescent="0.3">
      <c r="A249" t="s">
        <v>222</v>
      </c>
      <c r="B249" t="s">
        <v>896</v>
      </c>
      <c r="C249" t="str">
        <f>UPPER(THrList[[#This Row],[Last_Name]])</f>
        <v>DIOP</v>
      </c>
      <c r="D249" t="s">
        <v>816</v>
      </c>
      <c r="E249" t="s">
        <v>791</v>
      </c>
      <c r="F249" s="1">
        <v>37311</v>
      </c>
      <c r="G249">
        <f ca="1">DATEDIF(THrList[[#This Row],[Date_of_Birth]],NOW(),"Y")</f>
        <v>23</v>
      </c>
      <c r="H249" t="s">
        <v>792</v>
      </c>
      <c r="I249" t="s">
        <v>807</v>
      </c>
      <c r="J249" t="s">
        <v>803</v>
      </c>
    </row>
    <row r="250" spans="1:10" x14ac:dyDescent="0.3">
      <c r="A250" t="s">
        <v>59</v>
      </c>
      <c r="B250" t="s">
        <v>817</v>
      </c>
      <c r="C250" t="str">
        <f>UPPER(THrList[[#This Row],[Last_Name]])</f>
        <v>JACKSON</v>
      </c>
      <c r="D250" t="s">
        <v>810</v>
      </c>
      <c r="E250" t="s">
        <v>797</v>
      </c>
      <c r="F250" s="1">
        <v>28813</v>
      </c>
      <c r="G250">
        <f ca="1">DATEDIF(THrList[[#This Row],[Date_of_Birth]],NOW(),"Y")</f>
        <v>47</v>
      </c>
      <c r="H250" t="s">
        <v>843</v>
      </c>
      <c r="I250" t="s">
        <v>793</v>
      </c>
      <c r="J250" t="s">
        <v>808</v>
      </c>
    </row>
    <row r="251" spans="1:10" x14ac:dyDescent="0.3">
      <c r="A251" t="s">
        <v>965</v>
      </c>
      <c r="B251" t="s">
        <v>824</v>
      </c>
      <c r="C251" t="str">
        <f>UPPER(THrList[[#This Row],[Last_Name]])</f>
        <v>SOW</v>
      </c>
      <c r="D251" t="s">
        <v>874</v>
      </c>
      <c r="E251" t="s">
        <v>791</v>
      </c>
      <c r="F251" s="1">
        <v>33756</v>
      </c>
      <c r="G251">
        <f ca="1">DATEDIF(THrList[[#This Row],[Date_of_Birth]],NOW(),"Y")</f>
        <v>33</v>
      </c>
      <c r="H251" t="s">
        <v>806</v>
      </c>
      <c r="I251" t="s">
        <v>793</v>
      </c>
      <c r="J251" t="s">
        <v>835</v>
      </c>
    </row>
    <row r="252" spans="1:10" x14ac:dyDescent="0.3">
      <c r="A252" t="s">
        <v>966</v>
      </c>
      <c r="B252" t="s">
        <v>826</v>
      </c>
      <c r="C252" t="str">
        <f>UPPER(THrList[[#This Row],[Last_Name]])</f>
        <v>RODRIGUEZ</v>
      </c>
      <c r="D252" t="s">
        <v>825</v>
      </c>
      <c r="E252" t="s">
        <v>791</v>
      </c>
      <c r="F252" s="1">
        <v>36969</v>
      </c>
      <c r="G252">
        <f ca="1">DATEDIF(THrList[[#This Row],[Date_of_Birth]],NOW(),"Y")</f>
        <v>24</v>
      </c>
      <c r="H252" t="s">
        <v>792</v>
      </c>
      <c r="I252" t="s">
        <v>793</v>
      </c>
      <c r="J252" t="s">
        <v>799</v>
      </c>
    </row>
    <row r="253" spans="1:10" x14ac:dyDescent="0.3">
      <c r="A253" t="s">
        <v>760</v>
      </c>
      <c r="B253" t="s">
        <v>881</v>
      </c>
      <c r="C253" t="str">
        <f>UPPER(THrList[[#This Row],[Last_Name]])</f>
        <v>IBRAHIM</v>
      </c>
      <c r="D253" t="s">
        <v>906</v>
      </c>
      <c r="E253" t="s">
        <v>791</v>
      </c>
      <c r="F253" s="1">
        <v>29014</v>
      </c>
      <c r="G253">
        <f ca="1">DATEDIF(THrList[[#This Row],[Date_of_Birth]],NOW(),"Y")</f>
        <v>46</v>
      </c>
      <c r="H253" t="s">
        <v>792</v>
      </c>
      <c r="I253" t="s">
        <v>807</v>
      </c>
      <c r="J253" t="s">
        <v>808</v>
      </c>
    </row>
    <row r="254" spans="1:10" x14ac:dyDescent="0.3">
      <c r="A254" t="s">
        <v>13</v>
      </c>
      <c r="B254" t="s">
        <v>943</v>
      </c>
      <c r="C254" t="str">
        <f>UPPER(THrList[[#This Row],[Last_Name]])</f>
        <v>KIM</v>
      </c>
      <c r="D254" t="s">
        <v>834</v>
      </c>
      <c r="E254" t="s">
        <v>791</v>
      </c>
      <c r="F254" s="1">
        <v>26278</v>
      </c>
      <c r="G254">
        <f ca="1">DATEDIF(THrList[[#This Row],[Date_of_Birth]],NOW(),"Y")</f>
        <v>54</v>
      </c>
      <c r="H254" t="s">
        <v>811</v>
      </c>
      <c r="I254" t="s">
        <v>807</v>
      </c>
      <c r="J254" t="s">
        <v>799</v>
      </c>
    </row>
    <row r="255" spans="1:10" x14ac:dyDescent="0.3">
      <c r="A255" t="s">
        <v>762</v>
      </c>
      <c r="B255" t="s">
        <v>896</v>
      </c>
      <c r="C255" t="str">
        <f>UPPER(THrList[[#This Row],[Last_Name]])</f>
        <v>DIOP</v>
      </c>
      <c r="D255" t="s">
        <v>790</v>
      </c>
      <c r="E255" t="s">
        <v>797</v>
      </c>
      <c r="F255" s="1">
        <v>28510</v>
      </c>
      <c r="G255">
        <f ca="1">DATEDIF(THrList[[#This Row],[Date_of_Birth]],NOW(),"Y")</f>
        <v>47</v>
      </c>
      <c r="H255" t="s">
        <v>806</v>
      </c>
      <c r="I255" t="s">
        <v>798</v>
      </c>
      <c r="J255" t="s">
        <v>808</v>
      </c>
    </row>
    <row r="256" spans="1:10" x14ac:dyDescent="0.3">
      <c r="A256" t="s">
        <v>555</v>
      </c>
      <c r="B256" t="s">
        <v>882</v>
      </c>
      <c r="C256" t="str">
        <f>UPPER(THrList[[#This Row],[Last_Name]])</f>
        <v>WILLIAMS</v>
      </c>
      <c r="D256" t="s">
        <v>805</v>
      </c>
      <c r="E256" t="s">
        <v>791</v>
      </c>
      <c r="F256" s="1">
        <v>34948</v>
      </c>
      <c r="G256">
        <f ca="1">DATEDIF(THrList[[#This Row],[Date_of_Birth]],NOW(),"Y")</f>
        <v>30</v>
      </c>
      <c r="H256" t="s">
        <v>792</v>
      </c>
      <c r="I256" t="s">
        <v>798</v>
      </c>
      <c r="J256" t="s">
        <v>819</v>
      </c>
    </row>
    <row r="257" spans="1:10" x14ac:dyDescent="0.3">
      <c r="A257" t="s">
        <v>745</v>
      </c>
      <c r="B257" t="s">
        <v>917</v>
      </c>
      <c r="C257" t="str">
        <f>UPPER(THrList[[#This Row],[Last_Name]])</f>
        <v>LAURENT</v>
      </c>
      <c r="D257" t="s">
        <v>932</v>
      </c>
      <c r="E257" t="s">
        <v>797</v>
      </c>
      <c r="F257" s="1">
        <v>35634</v>
      </c>
      <c r="G257">
        <f ca="1">DATEDIF(THrList[[#This Row],[Date_of_Birth]],NOW(),"Y")</f>
        <v>28</v>
      </c>
      <c r="H257" t="s">
        <v>811</v>
      </c>
      <c r="I257" t="s">
        <v>798</v>
      </c>
      <c r="J257" t="s">
        <v>803</v>
      </c>
    </row>
    <row r="258" spans="1:10" x14ac:dyDescent="0.3">
      <c r="A258" t="s">
        <v>392</v>
      </c>
      <c r="B258" t="s">
        <v>833</v>
      </c>
      <c r="C258" t="str">
        <f>UPPER(THrList[[#This Row],[Last_Name]])</f>
        <v>JONES</v>
      </c>
      <c r="D258" t="s">
        <v>841</v>
      </c>
      <c r="E258" t="s">
        <v>791</v>
      </c>
      <c r="F258" s="1">
        <v>27376</v>
      </c>
      <c r="G258">
        <f ca="1">DATEDIF(THrList[[#This Row],[Date_of_Birth]],NOW(),"Y")</f>
        <v>51</v>
      </c>
      <c r="H258" t="s">
        <v>843</v>
      </c>
      <c r="I258" t="s">
        <v>793</v>
      </c>
      <c r="J258" t="s">
        <v>823</v>
      </c>
    </row>
    <row r="259" spans="1:10" x14ac:dyDescent="0.3">
      <c r="A259" t="s">
        <v>635</v>
      </c>
      <c r="B259" t="s">
        <v>911</v>
      </c>
      <c r="C259" t="str">
        <f>UPPER(THrList[[#This Row],[Last_Name]])</f>
        <v>BROWN</v>
      </c>
      <c r="D259" t="s">
        <v>883</v>
      </c>
      <c r="E259" t="s">
        <v>791</v>
      </c>
      <c r="F259" s="1">
        <v>27691</v>
      </c>
      <c r="G259">
        <f ca="1">DATEDIF(THrList[[#This Row],[Date_of_Birth]],NOW(),"Y")</f>
        <v>50</v>
      </c>
      <c r="H259" t="s">
        <v>811</v>
      </c>
      <c r="I259" t="s">
        <v>793</v>
      </c>
      <c r="J259" t="s">
        <v>814</v>
      </c>
    </row>
    <row r="260" spans="1:10" x14ac:dyDescent="0.3">
      <c r="A260" t="s">
        <v>166</v>
      </c>
      <c r="B260" t="s">
        <v>943</v>
      </c>
      <c r="C260" t="str">
        <f>UPPER(THrList[[#This Row],[Last_Name]])</f>
        <v>KIM</v>
      </c>
      <c r="D260" t="s">
        <v>841</v>
      </c>
      <c r="E260" t="s">
        <v>797</v>
      </c>
      <c r="F260" s="1">
        <v>29189</v>
      </c>
      <c r="G260">
        <f ca="1">DATEDIF(THrList[[#This Row],[Date_of_Birth]],NOW(),"Y")</f>
        <v>46</v>
      </c>
      <c r="H260" t="s">
        <v>811</v>
      </c>
      <c r="I260" t="s">
        <v>807</v>
      </c>
      <c r="J260" t="s">
        <v>803</v>
      </c>
    </row>
    <row r="261" spans="1:10" x14ac:dyDescent="0.3">
      <c r="A261" t="s">
        <v>529</v>
      </c>
      <c r="B261" t="s">
        <v>896</v>
      </c>
      <c r="C261" t="str">
        <f>UPPER(THrList[[#This Row],[Last_Name]])</f>
        <v>DIOP</v>
      </c>
      <c r="D261" t="s">
        <v>846</v>
      </c>
      <c r="E261" t="s">
        <v>797</v>
      </c>
      <c r="F261" s="1">
        <v>34204</v>
      </c>
      <c r="G261">
        <f ca="1">DATEDIF(THrList[[#This Row],[Date_of_Birth]],NOW(),"Y")</f>
        <v>32</v>
      </c>
      <c r="H261" t="s">
        <v>792</v>
      </c>
      <c r="I261" t="s">
        <v>807</v>
      </c>
      <c r="J261" t="s">
        <v>794</v>
      </c>
    </row>
    <row r="262" spans="1:10" x14ac:dyDescent="0.3">
      <c r="A262" t="s">
        <v>378</v>
      </c>
      <c r="B262" t="s">
        <v>869</v>
      </c>
      <c r="C262" t="str">
        <f>UPPER(THrList[[#This Row],[Last_Name]])</f>
        <v>MILLER</v>
      </c>
      <c r="D262" t="s">
        <v>876</v>
      </c>
      <c r="E262" t="s">
        <v>791</v>
      </c>
      <c r="F262" s="1">
        <v>31230</v>
      </c>
      <c r="G262">
        <f ca="1">DATEDIF(THrList[[#This Row],[Date_of_Birth]],NOW(),"Y")</f>
        <v>40</v>
      </c>
      <c r="H262" t="s">
        <v>792</v>
      </c>
      <c r="I262" t="s">
        <v>798</v>
      </c>
      <c r="J262" t="s">
        <v>808</v>
      </c>
    </row>
    <row r="263" spans="1:10" x14ac:dyDescent="0.3">
      <c r="A263" t="s">
        <v>967</v>
      </c>
      <c r="B263" t="s">
        <v>826</v>
      </c>
      <c r="C263" t="str">
        <f>UPPER(THrList[[#This Row],[Last_Name]])</f>
        <v>RODRIGUEZ</v>
      </c>
      <c r="D263" t="s">
        <v>947</v>
      </c>
      <c r="E263" t="s">
        <v>797</v>
      </c>
      <c r="F263" s="1">
        <v>34919</v>
      </c>
      <c r="G263">
        <f ca="1">DATEDIF(THrList[[#This Row],[Date_of_Birth]],NOW(),"Y")</f>
        <v>30</v>
      </c>
      <c r="H263" t="s">
        <v>843</v>
      </c>
      <c r="I263" t="s">
        <v>793</v>
      </c>
      <c r="J263" t="s">
        <v>823</v>
      </c>
    </row>
    <row r="264" spans="1:10" x14ac:dyDescent="0.3">
      <c r="A264" t="s">
        <v>578</v>
      </c>
      <c r="B264" t="s">
        <v>911</v>
      </c>
      <c r="C264" t="str">
        <f>UPPER(THrList[[#This Row],[Last_Name]])</f>
        <v>BROWN</v>
      </c>
      <c r="D264" t="s">
        <v>857</v>
      </c>
      <c r="E264" t="s">
        <v>791</v>
      </c>
      <c r="F264" s="1">
        <v>26396</v>
      </c>
      <c r="G264">
        <f ca="1">DATEDIF(THrList[[#This Row],[Date_of_Birth]],NOW(),"Y")</f>
        <v>53</v>
      </c>
      <c r="H264" t="s">
        <v>806</v>
      </c>
      <c r="I264" t="s">
        <v>798</v>
      </c>
      <c r="J264" t="s">
        <v>835</v>
      </c>
    </row>
    <row r="265" spans="1:10" x14ac:dyDescent="0.3">
      <c r="A265" t="s">
        <v>968</v>
      </c>
      <c r="B265" t="s">
        <v>859</v>
      </c>
      <c r="C265" t="str">
        <f>UPPER(THrList[[#This Row],[Last_Name]])</f>
        <v>PATEL</v>
      </c>
      <c r="D265" t="s">
        <v>834</v>
      </c>
      <c r="E265" t="s">
        <v>797</v>
      </c>
      <c r="F265" s="1">
        <v>34009</v>
      </c>
      <c r="G265">
        <f ca="1">DATEDIF(THrList[[#This Row],[Date_of_Birth]],NOW(),"Y")</f>
        <v>32</v>
      </c>
      <c r="H265" t="s">
        <v>811</v>
      </c>
      <c r="I265" t="s">
        <v>807</v>
      </c>
      <c r="J265" t="s">
        <v>803</v>
      </c>
    </row>
    <row r="266" spans="1:10" x14ac:dyDescent="0.3">
      <c r="A266" t="s">
        <v>697</v>
      </c>
      <c r="B266" t="s">
        <v>824</v>
      </c>
      <c r="C266" t="str">
        <f>UPPER(THrList[[#This Row],[Last_Name]])</f>
        <v>SOW</v>
      </c>
      <c r="D266" t="s">
        <v>900</v>
      </c>
      <c r="E266" t="s">
        <v>791</v>
      </c>
      <c r="F266" s="1">
        <v>28650</v>
      </c>
      <c r="G266">
        <f ca="1">DATEDIF(THrList[[#This Row],[Date_of_Birth]],NOW(),"Y")</f>
        <v>47</v>
      </c>
      <c r="H266" t="s">
        <v>843</v>
      </c>
      <c r="I266" t="s">
        <v>798</v>
      </c>
      <c r="J266" t="s">
        <v>799</v>
      </c>
    </row>
    <row r="267" spans="1:10" x14ac:dyDescent="0.3">
      <c r="A267" t="s">
        <v>171</v>
      </c>
      <c r="B267" t="s">
        <v>863</v>
      </c>
      <c r="C267" t="str">
        <f>UPPER(THrList[[#This Row],[Last_Name]])</f>
        <v>THOMAS</v>
      </c>
      <c r="D267" t="s">
        <v>852</v>
      </c>
      <c r="E267" t="s">
        <v>797</v>
      </c>
      <c r="F267" s="1">
        <v>33575</v>
      </c>
      <c r="G267">
        <f ca="1">DATEDIF(THrList[[#This Row],[Date_of_Birth]],NOW(),"Y")</f>
        <v>34</v>
      </c>
      <c r="H267" t="s">
        <v>792</v>
      </c>
      <c r="I267" t="s">
        <v>798</v>
      </c>
      <c r="J267" t="s">
        <v>835</v>
      </c>
    </row>
    <row r="268" spans="1:10" x14ac:dyDescent="0.3">
      <c r="A268" t="s">
        <v>969</v>
      </c>
      <c r="B268" t="s">
        <v>898</v>
      </c>
      <c r="C268" t="str">
        <f>UPPER(THrList[[#This Row],[Last_Name]])</f>
        <v>MOREAU</v>
      </c>
      <c r="D268" t="s">
        <v>919</v>
      </c>
      <c r="E268" t="s">
        <v>797</v>
      </c>
      <c r="F268" s="1">
        <v>26138</v>
      </c>
      <c r="G268">
        <f ca="1">DATEDIF(THrList[[#This Row],[Date_of_Birth]],NOW(),"Y")</f>
        <v>54</v>
      </c>
      <c r="H268" t="s">
        <v>811</v>
      </c>
      <c r="I268" t="s">
        <v>793</v>
      </c>
      <c r="J268" t="s">
        <v>794</v>
      </c>
    </row>
    <row r="269" spans="1:10" x14ac:dyDescent="0.3">
      <c r="A269" t="s">
        <v>768</v>
      </c>
      <c r="B269" t="s">
        <v>871</v>
      </c>
      <c r="C269" t="str">
        <f>UPPER(THrList[[#This Row],[Last_Name]])</f>
        <v>MENSAH</v>
      </c>
      <c r="D269" t="s">
        <v>828</v>
      </c>
      <c r="E269" t="s">
        <v>791</v>
      </c>
      <c r="F269" s="1">
        <v>34095</v>
      </c>
      <c r="G269">
        <f ca="1">DATEDIF(THrList[[#This Row],[Date_of_Birth]],NOW(),"Y")</f>
        <v>32</v>
      </c>
      <c r="H269" t="s">
        <v>843</v>
      </c>
      <c r="I269" t="s">
        <v>793</v>
      </c>
      <c r="J269" t="s">
        <v>838</v>
      </c>
    </row>
    <row r="270" spans="1:10" x14ac:dyDescent="0.3">
      <c r="A270" t="s">
        <v>322</v>
      </c>
      <c r="B270" t="s">
        <v>879</v>
      </c>
      <c r="C270" t="str">
        <f>UPPER(THrList[[#This Row],[Last_Name]])</f>
        <v>KONE</v>
      </c>
      <c r="D270" t="s">
        <v>932</v>
      </c>
      <c r="E270" t="s">
        <v>791</v>
      </c>
      <c r="F270" s="1">
        <v>29347</v>
      </c>
      <c r="G270">
        <f ca="1">DATEDIF(THrList[[#This Row],[Date_of_Birth]],NOW(),"Y")</f>
        <v>45</v>
      </c>
      <c r="H270" t="s">
        <v>806</v>
      </c>
      <c r="I270" t="s">
        <v>807</v>
      </c>
      <c r="J270" t="s">
        <v>835</v>
      </c>
    </row>
    <row r="271" spans="1:10" x14ac:dyDescent="0.3">
      <c r="A271" t="s">
        <v>970</v>
      </c>
      <c r="B271" t="s">
        <v>904</v>
      </c>
      <c r="C271" t="str">
        <f>UPPER(THrList[[#This Row],[Last_Name]])</f>
        <v>SINGH</v>
      </c>
      <c r="D271" t="s">
        <v>971</v>
      </c>
      <c r="E271" t="s">
        <v>791</v>
      </c>
      <c r="F271" s="1">
        <v>30111</v>
      </c>
      <c r="G271">
        <f ca="1">DATEDIF(THrList[[#This Row],[Date_of_Birth]],NOW(),"Y")</f>
        <v>43</v>
      </c>
      <c r="H271" t="s">
        <v>843</v>
      </c>
      <c r="I271" t="s">
        <v>793</v>
      </c>
      <c r="J271" t="s">
        <v>803</v>
      </c>
    </row>
    <row r="272" spans="1:10" x14ac:dyDescent="0.3">
      <c r="A272" t="s">
        <v>972</v>
      </c>
      <c r="B272" t="s">
        <v>821</v>
      </c>
      <c r="C272" t="str">
        <f>UPPER(THrList[[#This Row],[Last_Name]])</f>
        <v>DUBOIS</v>
      </c>
      <c r="D272" t="s">
        <v>895</v>
      </c>
      <c r="E272" t="s">
        <v>797</v>
      </c>
      <c r="F272" s="1">
        <v>34097</v>
      </c>
      <c r="G272">
        <f ca="1">DATEDIF(THrList[[#This Row],[Date_of_Birth]],NOW(),"Y")</f>
        <v>32</v>
      </c>
      <c r="H272" t="s">
        <v>811</v>
      </c>
      <c r="I272" t="s">
        <v>793</v>
      </c>
      <c r="J272" t="s">
        <v>835</v>
      </c>
    </row>
    <row r="273" spans="1:10" x14ac:dyDescent="0.3">
      <c r="A273" t="s">
        <v>973</v>
      </c>
      <c r="B273" t="s">
        <v>812</v>
      </c>
      <c r="C273" t="str">
        <f>UPPER(THrList[[#This Row],[Last_Name]])</f>
        <v>CAMARA</v>
      </c>
      <c r="D273" t="s">
        <v>828</v>
      </c>
      <c r="E273" t="s">
        <v>797</v>
      </c>
      <c r="F273" s="1">
        <v>27837</v>
      </c>
      <c r="G273">
        <f ca="1">DATEDIF(THrList[[#This Row],[Date_of_Birth]],NOW(),"Y")</f>
        <v>49</v>
      </c>
      <c r="H273" t="s">
        <v>792</v>
      </c>
      <c r="I273" t="s">
        <v>798</v>
      </c>
      <c r="J273" t="s">
        <v>835</v>
      </c>
    </row>
    <row r="274" spans="1:10" x14ac:dyDescent="0.3">
      <c r="A274" t="s">
        <v>181</v>
      </c>
      <c r="B274" t="s">
        <v>802</v>
      </c>
      <c r="C274" t="str">
        <f>UPPER(THrList[[#This Row],[Last_Name]])</f>
        <v>GARCIA</v>
      </c>
      <c r="D274" t="s">
        <v>853</v>
      </c>
      <c r="E274" t="s">
        <v>791</v>
      </c>
      <c r="F274" s="1">
        <v>35488</v>
      </c>
      <c r="G274">
        <f ca="1">DATEDIF(THrList[[#This Row],[Date_of_Birth]],NOW(),"Y")</f>
        <v>28</v>
      </c>
      <c r="H274" t="s">
        <v>811</v>
      </c>
      <c r="I274" t="s">
        <v>807</v>
      </c>
      <c r="J274" t="s">
        <v>823</v>
      </c>
    </row>
    <row r="275" spans="1:10" x14ac:dyDescent="0.3">
      <c r="A275" t="s">
        <v>678</v>
      </c>
      <c r="B275" t="s">
        <v>872</v>
      </c>
      <c r="C275" t="str">
        <f>UPPER(THrList[[#This Row],[Last_Name]])</f>
        <v>DIALLO</v>
      </c>
      <c r="D275" t="s">
        <v>899</v>
      </c>
      <c r="E275" t="s">
        <v>791</v>
      </c>
      <c r="F275" s="1">
        <v>30091</v>
      </c>
      <c r="G275">
        <f ca="1">DATEDIF(THrList[[#This Row],[Date_of_Birth]],NOW(),"Y")</f>
        <v>43</v>
      </c>
      <c r="H275" t="s">
        <v>792</v>
      </c>
      <c r="I275" t="s">
        <v>798</v>
      </c>
      <c r="J275" t="s">
        <v>838</v>
      </c>
    </row>
    <row r="276" spans="1:10" x14ac:dyDescent="0.3">
      <c r="A276" t="s">
        <v>377</v>
      </c>
      <c r="B276" t="s">
        <v>826</v>
      </c>
      <c r="C276" t="str">
        <f>UPPER(THrList[[#This Row],[Last_Name]])</f>
        <v>RODRIGUEZ</v>
      </c>
      <c r="D276" t="s">
        <v>829</v>
      </c>
      <c r="E276" t="s">
        <v>791</v>
      </c>
      <c r="F276" s="1">
        <v>29538</v>
      </c>
      <c r="G276">
        <f ca="1">DATEDIF(THrList[[#This Row],[Date_of_Birth]],NOW(),"Y")</f>
        <v>45</v>
      </c>
      <c r="H276" t="s">
        <v>811</v>
      </c>
      <c r="I276" t="s">
        <v>798</v>
      </c>
      <c r="J276" t="s">
        <v>794</v>
      </c>
    </row>
    <row r="277" spans="1:10" x14ac:dyDescent="0.3">
      <c r="A277" t="s">
        <v>600</v>
      </c>
      <c r="B277" t="s">
        <v>845</v>
      </c>
      <c r="C277" t="str">
        <f>UPPER(THrList[[#This Row],[Last_Name]])</f>
        <v>WILSON</v>
      </c>
      <c r="D277" t="s">
        <v>825</v>
      </c>
      <c r="E277" t="s">
        <v>797</v>
      </c>
      <c r="F277" s="1">
        <v>34598</v>
      </c>
      <c r="G277">
        <f ca="1">DATEDIF(THrList[[#This Row],[Date_of_Birth]],NOW(),"Y")</f>
        <v>31</v>
      </c>
      <c r="H277" t="s">
        <v>806</v>
      </c>
      <c r="I277" t="s">
        <v>793</v>
      </c>
      <c r="J277" t="s">
        <v>838</v>
      </c>
    </row>
    <row r="278" spans="1:10" x14ac:dyDescent="0.3">
      <c r="A278" t="s">
        <v>974</v>
      </c>
      <c r="B278" t="s">
        <v>917</v>
      </c>
      <c r="C278" t="str">
        <f>UPPER(THrList[[#This Row],[Last_Name]])</f>
        <v>LAURENT</v>
      </c>
      <c r="D278" t="s">
        <v>849</v>
      </c>
      <c r="E278" t="s">
        <v>791</v>
      </c>
      <c r="F278" s="1">
        <v>29921</v>
      </c>
      <c r="G278">
        <f ca="1">DATEDIF(THrList[[#This Row],[Date_of_Birth]],NOW(),"Y")</f>
        <v>44</v>
      </c>
      <c r="H278" t="s">
        <v>811</v>
      </c>
      <c r="I278" t="s">
        <v>807</v>
      </c>
      <c r="J278" t="s">
        <v>794</v>
      </c>
    </row>
    <row r="279" spans="1:10" x14ac:dyDescent="0.3">
      <c r="A279" t="s">
        <v>393</v>
      </c>
      <c r="B279" t="s">
        <v>868</v>
      </c>
      <c r="C279" t="str">
        <f>UPPER(THrList[[#This Row],[Last_Name]])</f>
        <v>LOPEZ</v>
      </c>
      <c r="D279" t="s">
        <v>829</v>
      </c>
      <c r="E279" t="s">
        <v>797</v>
      </c>
      <c r="F279" s="1">
        <v>25346</v>
      </c>
      <c r="G279">
        <f ca="1">DATEDIF(THrList[[#This Row],[Date_of_Birth]],NOW(),"Y")</f>
        <v>56</v>
      </c>
      <c r="H279" t="s">
        <v>792</v>
      </c>
      <c r="I279" t="s">
        <v>798</v>
      </c>
      <c r="J279" t="s">
        <v>794</v>
      </c>
    </row>
    <row r="280" spans="1:10" x14ac:dyDescent="0.3">
      <c r="A280" t="s">
        <v>975</v>
      </c>
      <c r="B280" t="s">
        <v>802</v>
      </c>
      <c r="C280" t="str">
        <f>UPPER(THrList[[#This Row],[Last_Name]])</f>
        <v>GARCIA</v>
      </c>
      <c r="D280" t="s">
        <v>864</v>
      </c>
      <c r="E280" t="s">
        <v>791</v>
      </c>
      <c r="F280" s="1">
        <v>32511</v>
      </c>
      <c r="G280">
        <f ca="1">DATEDIF(THrList[[#This Row],[Date_of_Birth]],NOW(),"Y")</f>
        <v>36</v>
      </c>
      <c r="H280" t="s">
        <v>811</v>
      </c>
      <c r="I280" t="s">
        <v>793</v>
      </c>
      <c r="J280" t="s">
        <v>808</v>
      </c>
    </row>
    <row r="281" spans="1:10" x14ac:dyDescent="0.3">
      <c r="A281" t="s">
        <v>657</v>
      </c>
      <c r="B281" t="s">
        <v>890</v>
      </c>
      <c r="C281" t="str">
        <f>UPPER(THrList[[#This Row],[Last_Name]])</f>
        <v>ROUSSEAU</v>
      </c>
      <c r="D281" t="s">
        <v>805</v>
      </c>
      <c r="E281" t="s">
        <v>791</v>
      </c>
      <c r="F281" s="1">
        <v>33382</v>
      </c>
      <c r="G281">
        <f ca="1">DATEDIF(THrList[[#This Row],[Date_of_Birth]],NOW(),"Y")</f>
        <v>34</v>
      </c>
      <c r="H281" t="s">
        <v>792</v>
      </c>
      <c r="I281" t="s">
        <v>793</v>
      </c>
      <c r="J281" t="s">
        <v>835</v>
      </c>
    </row>
    <row r="282" spans="1:10" x14ac:dyDescent="0.3">
      <c r="A282" t="s">
        <v>429</v>
      </c>
      <c r="B282" t="s">
        <v>800</v>
      </c>
      <c r="C282" t="str">
        <f>UPPER(THrList[[#This Row],[Last_Name]])</f>
        <v>JOHNSON</v>
      </c>
      <c r="D282" t="s">
        <v>864</v>
      </c>
      <c r="E282" t="s">
        <v>797</v>
      </c>
      <c r="F282" s="1">
        <v>29850</v>
      </c>
      <c r="G282">
        <f ca="1">DATEDIF(THrList[[#This Row],[Date_of_Birth]],NOW(),"Y")</f>
        <v>44</v>
      </c>
      <c r="H282" t="s">
        <v>811</v>
      </c>
      <c r="I282" t="s">
        <v>793</v>
      </c>
      <c r="J282" t="s">
        <v>838</v>
      </c>
    </row>
    <row r="283" spans="1:10" x14ac:dyDescent="0.3">
      <c r="A283" t="s">
        <v>976</v>
      </c>
      <c r="B283" t="s">
        <v>804</v>
      </c>
      <c r="C283" t="str">
        <f>UPPER(THrList[[#This Row],[Last_Name]])</f>
        <v>SMITH</v>
      </c>
      <c r="D283" t="s">
        <v>818</v>
      </c>
      <c r="E283" t="s">
        <v>797</v>
      </c>
      <c r="F283" s="1">
        <v>30950</v>
      </c>
      <c r="G283">
        <f ca="1">DATEDIF(THrList[[#This Row],[Date_of_Birth]],NOW(),"Y")</f>
        <v>41</v>
      </c>
      <c r="H283" t="s">
        <v>811</v>
      </c>
      <c r="I283" t="s">
        <v>798</v>
      </c>
      <c r="J283" t="s">
        <v>794</v>
      </c>
    </row>
    <row r="284" spans="1:10" x14ac:dyDescent="0.3">
      <c r="A284" t="s">
        <v>535</v>
      </c>
      <c r="B284" t="s">
        <v>812</v>
      </c>
      <c r="C284" t="str">
        <f>UPPER(THrList[[#This Row],[Last_Name]])</f>
        <v>CAMARA</v>
      </c>
      <c r="D284" t="s">
        <v>880</v>
      </c>
      <c r="E284" t="s">
        <v>791</v>
      </c>
      <c r="F284" s="1">
        <v>25278</v>
      </c>
      <c r="G284">
        <f ca="1">DATEDIF(THrList[[#This Row],[Date_of_Birth]],NOW(),"Y")</f>
        <v>56</v>
      </c>
      <c r="H284" t="s">
        <v>843</v>
      </c>
      <c r="I284" t="s">
        <v>807</v>
      </c>
      <c r="J284" t="s">
        <v>794</v>
      </c>
    </row>
    <row r="285" spans="1:10" x14ac:dyDescent="0.3">
      <c r="A285" t="s">
        <v>977</v>
      </c>
      <c r="B285" t="s">
        <v>836</v>
      </c>
      <c r="C285" t="str">
        <f>UPPER(THrList[[#This Row],[Last_Name]])</f>
        <v>ANDERSON</v>
      </c>
      <c r="D285" t="s">
        <v>813</v>
      </c>
      <c r="E285" t="s">
        <v>791</v>
      </c>
      <c r="F285" s="1">
        <v>28805</v>
      </c>
      <c r="G285">
        <f ca="1">DATEDIF(THrList[[#This Row],[Date_of_Birth]],NOW(),"Y")</f>
        <v>47</v>
      </c>
      <c r="H285" t="s">
        <v>792</v>
      </c>
      <c r="I285" t="s">
        <v>798</v>
      </c>
      <c r="J285" t="s">
        <v>838</v>
      </c>
    </row>
    <row r="286" spans="1:10" x14ac:dyDescent="0.3">
      <c r="A286" t="s">
        <v>74</v>
      </c>
      <c r="B286" t="s">
        <v>896</v>
      </c>
      <c r="C286" t="str">
        <f>UPPER(THrList[[#This Row],[Last_Name]])</f>
        <v>DIOP</v>
      </c>
      <c r="D286" t="s">
        <v>828</v>
      </c>
      <c r="E286" t="s">
        <v>791</v>
      </c>
      <c r="F286" s="1">
        <v>28037</v>
      </c>
      <c r="G286">
        <f ca="1">DATEDIF(THrList[[#This Row],[Date_of_Birth]],NOW(),"Y")</f>
        <v>49</v>
      </c>
      <c r="H286" t="s">
        <v>792</v>
      </c>
      <c r="I286" t="s">
        <v>793</v>
      </c>
      <c r="J286" t="s">
        <v>838</v>
      </c>
    </row>
    <row r="287" spans="1:10" x14ac:dyDescent="0.3">
      <c r="A287" t="s">
        <v>978</v>
      </c>
      <c r="B287" t="s">
        <v>896</v>
      </c>
      <c r="C287" t="str">
        <f>UPPER(THrList[[#This Row],[Last_Name]])</f>
        <v>DIOP</v>
      </c>
      <c r="D287" t="s">
        <v>857</v>
      </c>
      <c r="E287" t="s">
        <v>791</v>
      </c>
      <c r="F287" s="1">
        <v>30648</v>
      </c>
      <c r="G287">
        <f ca="1">DATEDIF(THrList[[#This Row],[Date_of_Birth]],NOW(),"Y")</f>
        <v>42</v>
      </c>
      <c r="H287" t="s">
        <v>792</v>
      </c>
      <c r="I287" t="s">
        <v>798</v>
      </c>
      <c r="J287" t="s">
        <v>814</v>
      </c>
    </row>
    <row r="288" spans="1:10" x14ac:dyDescent="0.3">
      <c r="A288" t="s">
        <v>492</v>
      </c>
      <c r="B288" t="s">
        <v>909</v>
      </c>
      <c r="C288" t="str">
        <f>UPPER(THrList[[#This Row],[Last_Name]])</f>
        <v>DAVIS</v>
      </c>
      <c r="D288" t="s">
        <v>841</v>
      </c>
      <c r="E288" t="s">
        <v>791</v>
      </c>
      <c r="F288" s="1">
        <v>26229</v>
      </c>
      <c r="G288">
        <f ca="1">DATEDIF(THrList[[#This Row],[Date_of_Birth]],NOW(),"Y")</f>
        <v>54</v>
      </c>
      <c r="H288" t="s">
        <v>806</v>
      </c>
      <c r="I288" t="s">
        <v>798</v>
      </c>
      <c r="J288" t="s">
        <v>1068</v>
      </c>
    </row>
    <row r="289" spans="1:10" x14ac:dyDescent="0.3">
      <c r="A289" t="s">
        <v>203</v>
      </c>
      <c r="B289" t="s">
        <v>898</v>
      </c>
      <c r="C289" t="str">
        <f>UPPER(THrList[[#This Row],[Last_Name]])</f>
        <v>MOREAU</v>
      </c>
      <c r="D289" t="s">
        <v>790</v>
      </c>
      <c r="E289" t="s">
        <v>791</v>
      </c>
      <c r="F289" s="1">
        <v>28783</v>
      </c>
      <c r="G289">
        <f ca="1">DATEDIF(THrList[[#This Row],[Date_of_Birth]],NOW(),"Y")</f>
        <v>47</v>
      </c>
      <c r="H289" t="s">
        <v>806</v>
      </c>
      <c r="I289" t="s">
        <v>807</v>
      </c>
      <c r="J289" t="s">
        <v>794</v>
      </c>
    </row>
    <row r="290" spans="1:10" x14ac:dyDescent="0.3">
      <c r="A290" t="s">
        <v>721</v>
      </c>
      <c r="B290" t="s">
        <v>862</v>
      </c>
      <c r="C290" t="str">
        <f>UPPER(THrList[[#This Row],[Last_Name]])</f>
        <v>CHEN</v>
      </c>
      <c r="D290" t="s">
        <v>816</v>
      </c>
      <c r="E290" t="s">
        <v>797</v>
      </c>
      <c r="F290" s="1">
        <v>35818</v>
      </c>
      <c r="G290">
        <f ca="1">DATEDIF(THrList[[#This Row],[Date_of_Birth]],NOW(),"Y")</f>
        <v>27</v>
      </c>
      <c r="H290" t="s">
        <v>792</v>
      </c>
      <c r="I290" t="s">
        <v>807</v>
      </c>
      <c r="J290" t="s">
        <v>814</v>
      </c>
    </row>
    <row r="291" spans="1:10" x14ac:dyDescent="0.3">
      <c r="A291" t="s">
        <v>979</v>
      </c>
      <c r="B291" t="s">
        <v>886</v>
      </c>
      <c r="C291" t="str">
        <f>UPPER(THrList[[#This Row],[Last_Name]])</f>
        <v>MARTINEZ</v>
      </c>
      <c r="D291" t="s">
        <v>846</v>
      </c>
      <c r="E291" t="s">
        <v>791</v>
      </c>
      <c r="F291" s="1">
        <v>34372</v>
      </c>
      <c r="G291">
        <f ca="1">DATEDIF(THrList[[#This Row],[Date_of_Birth]],NOW(),"Y")</f>
        <v>31</v>
      </c>
      <c r="H291" t="s">
        <v>811</v>
      </c>
      <c r="I291" t="s">
        <v>807</v>
      </c>
      <c r="J291" t="s">
        <v>794</v>
      </c>
    </row>
    <row r="292" spans="1:10" x14ac:dyDescent="0.3">
      <c r="A292" t="s">
        <v>428</v>
      </c>
      <c r="B292" t="s">
        <v>824</v>
      </c>
      <c r="C292" t="str">
        <f>UPPER(THrList[[#This Row],[Last_Name]])</f>
        <v>SOW</v>
      </c>
      <c r="D292" t="s">
        <v>825</v>
      </c>
      <c r="E292" t="s">
        <v>797</v>
      </c>
      <c r="F292" s="1">
        <v>32217</v>
      </c>
      <c r="G292">
        <f ca="1">DATEDIF(THrList[[#This Row],[Date_of_Birth]],NOW(),"Y")</f>
        <v>37</v>
      </c>
      <c r="H292" t="s">
        <v>806</v>
      </c>
      <c r="I292" t="s">
        <v>798</v>
      </c>
      <c r="J292" t="s">
        <v>794</v>
      </c>
    </row>
    <row r="293" spans="1:10" x14ac:dyDescent="0.3">
      <c r="A293" t="s">
        <v>726</v>
      </c>
      <c r="B293" t="s">
        <v>909</v>
      </c>
      <c r="C293" t="str">
        <f>UPPER(THrList[[#This Row],[Last_Name]])</f>
        <v>DAVIS</v>
      </c>
      <c r="D293" t="s">
        <v>915</v>
      </c>
      <c r="E293" t="s">
        <v>797</v>
      </c>
      <c r="F293" s="1">
        <v>30543</v>
      </c>
      <c r="G293">
        <f ca="1">DATEDIF(THrList[[#This Row],[Date_of_Birth]],NOW(),"Y")</f>
        <v>42</v>
      </c>
      <c r="H293" t="s">
        <v>811</v>
      </c>
      <c r="I293" t="s">
        <v>807</v>
      </c>
      <c r="J293" t="s">
        <v>794</v>
      </c>
    </row>
    <row r="294" spans="1:10" x14ac:dyDescent="0.3">
      <c r="A294" t="s">
        <v>475</v>
      </c>
      <c r="B294" t="s">
        <v>800</v>
      </c>
      <c r="C294" t="str">
        <f>UPPER(THrList[[#This Row],[Last_Name]])</f>
        <v>JOHNSON</v>
      </c>
      <c r="D294" t="s">
        <v>810</v>
      </c>
      <c r="E294" t="s">
        <v>791</v>
      </c>
      <c r="F294" s="1">
        <v>37222</v>
      </c>
      <c r="G294">
        <f ca="1">DATEDIF(THrList[[#This Row],[Date_of_Birth]],NOW(),"Y")</f>
        <v>24</v>
      </c>
      <c r="H294" t="s">
        <v>843</v>
      </c>
      <c r="I294" t="s">
        <v>793</v>
      </c>
      <c r="J294" t="s">
        <v>814</v>
      </c>
    </row>
    <row r="295" spans="1:10" x14ac:dyDescent="0.3">
      <c r="A295" t="s">
        <v>541</v>
      </c>
      <c r="B295" t="s">
        <v>980</v>
      </c>
      <c r="C295" t="str">
        <f>UPPER(THrList[[#This Row],[Last_Name]])</f>
        <v>WILSON</v>
      </c>
      <c r="D295" t="s">
        <v>825</v>
      </c>
      <c r="E295" t="s">
        <v>797</v>
      </c>
      <c r="F295" s="1">
        <v>35444</v>
      </c>
      <c r="G295">
        <f ca="1">DATEDIF(THrList[[#This Row],[Date_of_Birth]],NOW(),"Y")</f>
        <v>28</v>
      </c>
      <c r="H295" t="s">
        <v>811</v>
      </c>
      <c r="I295" t="s">
        <v>798</v>
      </c>
      <c r="J295" t="s">
        <v>799</v>
      </c>
    </row>
    <row r="296" spans="1:10" x14ac:dyDescent="0.3">
      <c r="A296" t="s">
        <v>271</v>
      </c>
      <c r="B296" t="s">
        <v>840</v>
      </c>
      <c r="C296" t="str">
        <f>UPPER(THrList[[#This Row],[Last_Name]])</f>
        <v>PETIT</v>
      </c>
      <c r="D296" t="s">
        <v>853</v>
      </c>
      <c r="E296" t="s">
        <v>797</v>
      </c>
      <c r="F296" s="1">
        <v>26626</v>
      </c>
      <c r="G296">
        <f ca="1">DATEDIF(THrList[[#This Row],[Date_of_Birth]],NOW(),"Y")</f>
        <v>53</v>
      </c>
      <c r="H296" t="s">
        <v>806</v>
      </c>
      <c r="I296" t="s">
        <v>798</v>
      </c>
      <c r="J296" t="s">
        <v>803</v>
      </c>
    </row>
    <row r="297" spans="1:10" x14ac:dyDescent="0.3">
      <c r="A297" t="s">
        <v>498</v>
      </c>
      <c r="B297" t="s">
        <v>795</v>
      </c>
      <c r="C297" t="str">
        <f>UPPER(THrList[[#This Row],[Last_Name]])</f>
        <v>GIRARD</v>
      </c>
      <c r="D297" t="s">
        <v>880</v>
      </c>
      <c r="E297" t="s">
        <v>797</v>
      </c>
      <c r="F297" s="1">
        <v>27783</v>
      </c>
      <c r="G297">
        <f ca="1">DATEDIF(THrList[[#This Row],[Date_of_Birth]],NOW(),"Y")</f>
        <v>49</v>
      </c>
      <c r="H297" t="s">
        <v>792</v>
      </c>
      <c r="I297" t="s">
        <v>798</v>
      </c>
      <c r="J297" t="s">
        <v>819</v>
      </c>
    </row>
    <row r="298" spans="1:10" x14ac:dyDescent="0.3">
      <c r="A298" t="s">
        <v>981</v>
      </c>
      <c r="B298" t="s">
        <v>840</v>
      </c>
      <c r="C298" t="str">
        <f>UPPER(THrList[[#This Row],[Last_Name]])</f>
        <v>PETIT</v>
      </c>
      <c r="D298" t="s">
        <v>900</v>
      </c>
      <c r="E298" t="s">
        <v>797</v>
      </c>
      <c r="F298" s="1">
        <v>33897</v>
      </c>
      <c r="G298">
        <f ca="1">DATEDIF(THrList[[#This Row],[Date_of_Birth]],NOW(),"Y")</f>
        <v>33</v>
      </c>
      <c r="H298" t="s">
        <v>843</v>
      </c>
      <c r="I298" t="s">
        <v>798</v>
      </c>
      <c r="J298" t="s">
        <v>794</v>
      </c>
    </row>
    <row r="299" spans="1:10" x14ac:dyDescent="0.3">
      <c r="A299" t="s">
        <v>486</v>
      </c>
      <c r="B299" t="s">
        <v>879</v>
      </c>
      <c r="C299" t="str">
        <f>UPPER(THrList[[#This Row],[Last_Name]])</f>
        <v>KONE</v>
      </c>
      <c r="D299" t="s">
        <v>852</v>
      </c>
      <c r="E299" t="s">
        <v>797</v>
      </c>
      <c r="F299" s="1">
        <v>25144</v>
      </c>
      <c r="G299">
        <f ca="1">DATEDIF(THrList[[#This Row],[Date_of_Birth]],NOW(),"Y")</f>
        <v>57</v>
      </c>
      <c r="H299" t="s">
        <v>806</v>
      </c>
      <c r="I299" t="s">
        <v>798</v>
      </c>
      <c r="J299" t="s">
        <v>819</v>
      </c>
    </row>
    <row r="300" spans="1:10" x14ac:dyDescent="0.3">
      <c r="A300" t="s">
        <v>679</v>
      </c>
      <c r="B300" t="s">
        <v>829</v>
      </c>
      <c r="C300" t="str">
        <f>UPPER(THrList[[#This Row],[Last_Name]])</f>
        <v>HASSAN</v>
      </c>
      <c r="D300" t="s">
        <v>906</v>
      </c>
      <c r="E300" t="s">
        <v>791</v>
      </c>
      <c r="F300" s="1">
        <v>26233</v>
      </c>
      <c r="G300">
        <f ca="1">DATEDIF(THrList[[#This Row],[Date_of_Birth]],NOW(),"Y")</f>
        <v>54</v>
      </c>
      <c r="H300" t="s">
        <v>843</v>
      </c>
      <c r="I300" t="s">
        <v>807</v>
      </c>
      <c r="J300" t="s">
        <v>823</v>
      </c>
    </row>
    <row r="301" spans="1:10" x14ac:dyDescent="0.3">
      <c r="A301" t="s">
        <v>737</v>
      </c>
      <c r="B301" t="s">
        <v>917</v>
      </c>
      <c r="C301" t="str">
        <f>UPPER(THrList[[#This Row],[Last_Name]])</f>
        <v>LAURENT</v>
      </c>
      <c r="D301" t="s">
        <v>849</v>
      </c>
      <c r="E301" t="s">
        <v>797</v>
      </c>
      <c r="F301" s="1">
        <v>37878</v>
      </c>
      <c r="G301">
        <f ca="1">DATEDIF(THrList[[#This Row],[Date_of_Birth]],NOW(),"Y")</f>
        <v>22</v>
      </c>
      <c r="H301" t="s">
        <v>811</v>
      </c>
      <c r="I301" t="s">
        <v>798</v>
      </c>
      <c r="J301" t="s">
        <v>814</v>
      </c>
    </row>
    <row r="302" spans="1:10" x14ac:dyDescent="0.3">
      <c r="A302" t="s">
        <v>581</v>
      </c>
      <c r="B302" t="s">
        <v>920</v>
      </c>
      <c r="C302" t="str">
        <f>UPPER(THrList[[#This Row],[Last_Name]])</f>
        <v>HERNANDEZ</v>
      </c>
      <c r="D302" t="s">
        <v>918</v>
      </c>
      <c r="E302" t="s">
        <v>791</v>
      </c>
      <c r="F302" s="1">
        <v>35852</v>
      </c>
      <c r="G302">
        <f ca="1">DATEDIF(THrList[[#This Row],[Date_of_Birth]],NOW(),"Y")</f>
        <v>27</v>
      </c>
      <c r="H302" t="s">
        <v>806</v>
      </c>
      <c r="I302" t="s">
        <v>793</v>
      </c>
      <c r="J302" t="s">
        <v>835</v>
      </c>
    </row>
    <row r="303" spans="1:10" x14ac:dyDescent="0.3">
      <c r="A303" t="s">
        <v>982</v>
      </c>
      <c r="B303" t="s">
        <v>890</v>
      </c>
      <c r="C303" t="str">
        <f>UPPER(THrList[[#This Row],[Last_Name]])</f>
        <v>ROUSSEAU</v>
      </c>
      <c r="D303" t="s">
        <v>893</v>
      </c>
      <c r="E303" t="s">
        <v>791</v>
      </c>
      <c r="F303" s="1">
        <v>36975</v>
      </c>
      <c r="G303">
        <f ca="1">DATEDIF(THrList[[#This Row],[Date_of_Birth]],NOW(),"Y")</f>
        <v>24</v>
      </c>
      <c r="H303" t="s">
        <v>792</v>
      </c>
      <c r="I303" t="s">
        <v>807</v>
      </c>
      <c r="J303" t="s">
        <v>799</v>
      </c>
    </row>
    <row r="304" spans="1:10" x14ac:dyDescent="0.3">
      <c r="A304" t="s">
        <v>667</v>
      </c>
      <c r="B304" t="s">
        <v>909</v>
      </c>
      <c r="C304" t="str">
        <f>UPPER(THrList[[#This Row],[Last_Name]])</f>
        <v>DAVIS</v>
      </c>
      <c r="D304" t="s">
        <v>874</v>
      </c>
      <c r="E304" t="s">
        <v>791</v>
      </c>
      <c r="F304" s="1">
        <v>36542</v>
      </c>
      <c r="G304">
        <f ca="1">DATEDIF(THrList[[#This Row],[Date_of_Birth]],NOW(),"Y")</f>
        <v>25</v>
      </c>
      <c r="H304" t="s">
        <v>843</v>
      </c>
      <c r="I304" t="s">
        <v>798</v>
      </c>
      <c r="J304" t="s">
        <v>838</v>
      </c>
    </row>
    <row r="305" spans="1:10" x14ac:dyDescent="0.3">
      <c r="A305" t="s">
        <v>335</v>
      </c>
      <c r="B305" t="s">
        <v>824</v>
      </c>
      <c r="C305" t="str">
        <f>UPPER(THrList[[#This Row],[Last_Name]])</f>
        <v>SOW</v>
      </c>
      <c r="D305" t="s">
        <v>810</v>
      </c>
      <c r="E305" t="s">
        <v>791</v>
      </c>
      <c r="F305" s="1">
        <v>26173</v>
      </c>
      <c r="G305">
        <f ca="1">DATEDIF(THrList[[#This Row],[Date_of_Birth]],NOW(),"Y")</f>
        <v>54</v>
      </c>
      <c r="H305" t="s">
        <v>843</v>
      </c>
      <c r="I305" t="s">
        <v>807</v>
      </c>
      <c r="J305" t="s">
        <v>803</v>
      </c>
    </row>
    <row r="306" spans="1:10" x14ac:dyDescent="0.3">
      <c r="A306" t="s">
        <v>438</v>
      </c>
      <c r="B306" t="s">
        <v>879</v>
      </c>
      <c r="C306" t="str">
        <f>UPPER(THrList[[#This Row],[Last_Name]])</f>
        <v>KONE</v>
      </c>
      <c r="D306" t="s">
        <v>874</v>
      </c>
      <c r="E306" t="s">
        <v>797</v>
      </c>
      <c r="F306" s="1">
        <v>32095</v>
      </c>
      <c r="G306">
        <f ca="1">DATEDIF(THrList[[#This Row],[Date_of_Birth]],NOW(),"Y")</f>
        <v>38</v>
      </c>
      <c r="H306" t="s">
        <v>811</v>
      </c>
      <c r="I306" t="s">
        <v>807</v>
      </c>
      <c r="J306" t="s">
        <v>799</v>
      </c>
    </row>
    <row r="307" spans="1:10" x14ac:dyDescent="0.3">
      <c r="A307" t="s">
        <v>556</v>
      </c>
      <c r="B307" t="s">
        <v>943</v>
      </c>
      <c r="C307" t="str">
        <f>UPPER(THrList[[#This Row],[Last_Name]])</f>
        <v>KIM</v>
      </c>
      <c r="D307" t="s">
        <v>856</v>
      </c>
      <c r="E307" t="s">
        <v>797</v>
      </c>
      <c r="F307" s="1">
        <v>36783</v>
      </c>
      <c r="G307">
        <f ca="1">DATEDIF(THrList[[#This Row],[Date_of_Birth]],NOW(),"Y")</f>
        <v>25</v>
      </c>
      <c r="H307" t="s">
        <v>843</v>
      </c>
      <c r="I307" t="s">
        <v>793</v>
      </c>
      <c r="J307" t="s">
        <v>803</v>
      </c>
    </row>
    <row r="308" spans="1:10" x14ac:dyDescent="0.3">
      <c r="A308" t="s">
        <v>693</v>
      </c>
      <c r="B308" t="s">
        <v>910</v>
      </c>
      <c r="C308" t="str">
        <f>UPPER(THrList[[#This Row],[Last_Name]])</f>
        <v>KHAN</v>
      </c>
      <c r="D308" t="s">
        <v>901</v>
      </c>
      <c r="E308" t="s">
        <v>791</v>
      </c>
      <c r="F308" s="1">
        <v>26240</v>
      </c>
      <c r="G308">
        <f ca="1">DATEDIF(THrList[[#This Row],[Date_of_Birth]],NOW(),"Y")</f>
        <v>54</v>
      </c>
      <c r="H308" t="s">
        <v>792</v>
      </c>
      <c r="I308" t="s">
        <v>793</v>
      </c>
      <c r="J308" t="s">
        <v>808</v>
      </c>
    </row>
    <row r="309" spans="1:10" x14ac:dyDescent="0.3">
      <c r="A309" t="s">
        <v>140</v>
      </c>
      <c r="B309" t="s">
        <v>836</v>
      </c>
      <c r="C309" t="str">
        <f>UPPER(THrList[[#This Row],[Last_Name]])</f>
        <v>ANDERSON</v>
      </c>
      <c r="D309" t="s">
        <v>939</v>
      </c>
      <c r="E309" t="s">
        <v>791</v>
      </c>
      <c r="F309" s="1">
        <v>35512</v>
      </c>
      <c r="G309">
        <f ca="1">DATEDIF(THrList[[#This Row],[Date_of_Birth]],NOW(),"Y")</f>
        <v>28</v>
      </c>
      <c r="H309" t="s">
        <v>811</v>
      </c>
      <c r="I309" t="s">
        <v>807</v>
      </c>
      <c r="J309" t="s">
        <v>814</v>
      </c>
    </row>
    <row r="310" spans="1:10" x14ac:dyDescent="0.3">
      <c r="A310" t="s">
        <v>597</v>
      </c>
      <c r="B310" t="s">
        <v>804</v>
      </c>
      <c r="C310" t="str">
        <f>UPPER(THrList[[#This Row],[Last_Name]])</f>
        <v>SMITH</v>
      </c>
      <c r="D310" t="s">
        <v>830</v>
      </c>
      <c r="E310" t="s">
        <v>791</v>
      </c>
      <c r="F310" s="1">
        <v>27896</v>
      </c>
      <c r="G310">
        <f ca="1">DATEDIF(THrList[[#This Row],[Date_of_Birth]],NOW(),"Y")</f>
        <v>49</v>
      </c>
      <c r="H310" t="s">
        <v>806</v>
      </c>
      <c r="I310" t="s">
        <v>793</v>
      </c>
      <c r="J310" t="s">
        <v>794</v>
      </c>
    </row>
    <row r="311" spans="1:10" x14ac:dyDescent="0.3">
      <c r="A311" t="s">
        <v>247</v>
      </c>
      <c r="B311" t="s">
        <v>795</v>
      </c>
      <c r="C311" t="str">
        <f>UPPER(THrList[[#This Row],[Last_Name]])</f>
        <v>GIRARD</v>
      </c>
      <c r="D311" t="s">
        <v>857</v>
      </c>
      <c r="E311" t="s">
        <v>797</v>
      </c>
      <c r="F311" s="1">
        <v>28864</v>
      </c>
      <c r="G311">
        <f ca="1">DATEDIF(THrList[[#This Row],[Date_of_Birth]],NOW(),"Y")</f>
        <v>46</v>
      </c>
      <c r="H311" t="s">
        <v>792</v>
      </c>
      <c r="I311" t="s">
        <v>807</v>
      </c>
      <c r="J311" t="s">
        <v>803</v>
      </c>
    </row>
    <row r="312" spans="1:10" x14ac:dyDescent="0.3">
      <c r="A312" t="s">
        <v>440</v>
      </c>
      <c r="B312" t="s">
        <v>911</v>
      </c>
      <c r="C312" t="str">
        <f>UPPER(THrList[[#This Row],[Last_Name]])</f>
        <v>BROWN</v>
      </c>
      <c r="D312" t="s">
        <v>841</v>
      </c>
      <c r="E312" t="s">
        <v>797</v>
      </c>
      <c r="F312" s="1">
        <v>27028</v>
      </c>
      <c r="G312">
        <f ca="1">DATEDIF(THrList[[#This Row],[Date_of_Birth]],NOW(),"Y")</f>
        <v>51</v>
      </c>
      <c r="H312" t="s">
        <v>792</v>
      </c>
      <c r="I312" t="s">
        <v>798</v>
      </c>
      <c r="J312" t="s">
        <v>835</v>
      </c>
    </row>
    <row r="313" spans="1:10" x14ac:dyDescent="0.3">
      <c r="A313" t="s">
        <v>694</v>
      </c>
      <c r="B313" t="s">
        <v>871</v>
      </c>
      <c r="C313" t="str">
        <f>UPPER(THrList[[#This Row],[Last_Name]])</f>
        <v>MENSAH</v>
      </c>
      <c r="D313" t="s">
        <v>828</v>
      </c>
      <c r="E313" t="s">
        <v>791</v>
      </c>
      <c r="F313" s="1">
        <v>30032</v>
      </c>
      <c r="G313">
        <f ca="1">DATEDIF(THrList[[#This Row],[Date_of_Birth]],NOW(),"Y")</f>
        <v>43</v>
      </c>
      <c r="H313" t="s">
        <v>792</v>
      </c>
      <c r="I313" t="s">
        <v>798</v>
      </c>
      <c r="J313" t="s">
        <v>814</v>
      </c>
    </row>
    <row r="314" spans="1:10" x14ac:dyDescent="0.3">
      <c r="A314" t="s">
        <v>105</v>
      </c>
      <c r="B314" t="s">
        <v>917</v>
      </c>
      <c r="C314" t="str">
        <f>UPPER(THrList[[#This Row],[Last_Name]])</f>
        <v>LAURENT</v>
      </c>
      <c r="D314" t="s">
        <v>856</v>
      </c>
      <c r="E314" t="s">
        <v>797</v>
      </c>
      <c r="F314" s="1">
        <v>32665</v>
      </c>
      <c r="G314">
        <f ca="1">DATEDIF(THrList[[#This Row],[Date_of_Birth]],NOW(),"Y")</f>
        <v>36</v>
      </c>
      <c r="H314" t="s">
        <v>843</v>
      </c>
      <c r="I314" t="s">
        <v>798</v>
      </c>
      <c r="J314" t="s">
        <v>808</v>
      </c>
    </row>
    <row r="315" spans="1:10" x14ac:dyDescent="0.3">
      <c r="A315" t="s">
        <v>92</v>
      </c>
      <c r="B315" t="s">
        <v>882</v>
      </c>
      <c r="C315" t="str">
        <f>UPPER(THrList[[#This Row],[Last_Name]])</f>
        <v>WILLIAMS</v>
      </c>
      <c r="D315" t="s">
        <v>805</v>
      </c>
      <c r="E315" t="s">
        <v>797</v>
      </c>
      <c r="F315" s="1">
        <v>31895</v>
      </c>
      <c r="G315">
        <f ca="1">DATEDIF(THrList[[#This Row],[Date_of_Birth]],NOW(),"Y")</f>
        <v>38</v>
      </c>
      <c r="H315" t="s">
        <v>806</v>
      </c>
      <c r="I315" t="s">
        <v>798</v>
      </c>
      <c r="J315" t="s">
        <v>799</v>
      </c>
    </row>
    <row r="316" spans="1:10" x14ac:dyDescent="0.3">
      <c r="A316" t="s">
        <v>324</v>
      </c>
      <c r="B316" t="s">
        <v>826</v>
      </c>
      <c r="C316" t="str">
        <f>UPPER(THrList[[#This Row],[Last_Name]])</f>
        <v>RODRIGUEZ</v>
      </c>
      <c r="D316" t="s">
        <v>849</v>
      </c>
      <c r="E316" t="s">
        <v>797</v>
      </c>
      <c r="F316" s="1">
        <v>36739</v>
      </c>
      <c r="G316">
        <f ca="1">DATEDIF(THrList[[#This Row],[Date_of_Birth]],NOW(),"Y")</f>
        <v>25</v>
      </c>
      <c r="H316" t="s">
        <v>843</v>
      </c>
      <c r="I316" t="s">
        <v>798</v>
      </c>
      <c r="J316" t="s">
        <v>794</v>
      </c>
    </row>
    <row r="317" spans="1:10" x14ac:dyDescent="0.3">
      <c r="A317" t="s">
        <v>311</v>
      </c>
      <c r="B317" t="s">
        <v>863</v>
      </c>
      <c r="C317" t="str">
        <f>UPPER(THrList[[#This Row],[Last_Name]])</f>
        <v>THOMAS</v>
      </c>
      <c r="D317" t="s">
        <v>796</v>
      </c>
      <c r="E317" t="s">
        <v>797</v>
      </c>
      <c r="F317" s="1">
        <v>32250</v>
      </c>
      <c r="G317">
        <f ca="1">DATEDIF(THrList[[#This Row],[Date_of_Birth]],NOW(),"Y")</f>
        <v>37</v>
      </c>
      <c r="H317" t="s">
        <v>806</v>
      </c>
      <c r="I317" t="s">
        <v>807</v>
      </c>
      <c r="J317" t="s">
        <v>794</v>
      </c>
    </row>
    <row r="318" spans="1:10" x14ac:dyDescent="0.3">
      <c r="A318" t="s">
        <v>308</v>
      </c>
      <c r="B318" t="s">
        <v>911</v>
      </c>
      <c r="C318" t="str">
        <f>UPPER(THrList[[#This Row],[Last_Name]])</f>
        <v>BROWN</v>
      </c>
      <c r="D318" t="s">
        <v>828</v>
      </c>
      <c r="E318" t="s">
        <v>791</v>
      </c>
      <c r="F318" s="1">
        <v>32922</v>
      </c>
      <c r="G318">
        <f ca="1">DATEDIF(THrList[[#This Row],[Date_of_Birth]],NOW(),"Y")</f>
        <v>35</v>
      </c>
      <c r="H318" t="s">
        <v>811</v>
      </c>
      <c r="I318" t="s">
        <v>807</v>
      </c>
      <c r="J318" t="s">
        <v>814</v>
      </c>
    </row>
    <row r="319" spans="1:10" x14ac:dyDescent="0.3">
      <c r="A319" t="s">
        <v>983</v>
      </c>
      <c r="B319" t="s">
        <v>826</v>
      </c>
      <c r="C319" t="str">
        <f>UPPER(THrList[[#This Row],[Last_Name]])</f>
        <v>RODRIGUEZ</v>
      </c>
      <c r="D319" t="s">
        <v>883</v>
      </c>
      <c r="E319" t="s">
        <v>791</v>
      </c>
      <c r="F319" s="1">
        <v>30552</v>
      </c>
      <c r="G319">
        <f ca="1">DATEDIF(THrList[[#This Row],[Date_of_Birth]],NOW(),"Y")</f>
        <v>42</v>
      </c>
      <c r="H319" t="s">
        <v>792</v>
      </c>
      <c r="I319" t="s">
        <v>798</v>
      </c>
      <c r="J319" t="s">
        <v>794</v>
      </c>
    </row>
    <row r="320" spans="1:10" x14ac:dyDescent="0.3">
      <c r="A320" t="s">
        <v>357</v>
      </c>
      <c r="B320" t="s">
        <v>855</v>
      </c>
      <c r="C320" t="str">
        <f>UPPER(THrList[[#This Row],[Last_Name]])</f>
        <v>TAYLOR</v>
      </c>
      <c r="D320" t="s">
        <v>801</v>
      </c>
      <c r="E320" t="s">
        <v>797</v>
      </c>
      <c r="F320" s="1">
        <v>27422</v>
      </c>
      <c r="G320">
        <f ca="1">DATEDIF(THrList[[#This Row],[Date_of_Birth]],NOW(),"Y")</f>
        <v>50</v>
      </c>
      <c r="H320" t="s">
        <v>811</v>
      </c>
      <c r="I320" t="s">
        <v>798</v>
      </c>
      <c r="J320" t="s">
        <v>823</v>
      </c>
    </row>
    <row r="321" spans="1:10" x14ac:dyDescent="0.3">
      <c r="A321" t="s">
        <v>513</v>
      </c>
      <c r="B321" t="s">
        <v>872</v>
      </c>
      <c r="C321" t="str">
        <f>UPPER(THrList[[#This Row],[Last_Name]])</f>
        <v>DIALLO</v>
      </c>
      <c r="D321" t="s">
        <v>895</v>
      </c>
      <c r="E321" t="s">
        <v>791</v>
      </c>
      <c r="F321" s="1">
        <v>28138</v>
      </c>
      <c r="G321">
        <f ca="1">DATEDIF(THrList[[#This Row],[Date_of_Birth]],NOW(),"Y")</f>
        <v>48</v>
      </c>
      <c r="H321" t="s">
        <v>843</v>
      </c>
      <c r="I321" t="s">
        <v>798</v>
      </c>
      <c r="J321" t="s">
        <v>835</v>
      </c>
    </row>
    <row r="322" spans="1:10" x14ac:dyDescent="0.3">
      <c r="A322" t="s">
        <v>984</v>
      </c>
      <c r="B322" t="s">
        <v>866</v>
      </c>
      <c r="C322" t="str">
        <f>UPPER(THrList[[#This Row],[Last_Name]])</f>
        <v>ABDULLAH</v>
      </c>
      <c r="D322" t="s">
        <v>810</v>
      </c>
      <c r="E322" t="s">
        <v>797</v>
      </c>
      <c r="F322" s="1">
        <v>29326</v>
      </c>
      <c r="G322">
        <f ca="1">DATEDIF(THrList[[#This Row],[Date_of_Birth]],NOW(),"Y")</f>
        <v>45</v>
      </c>
      <c r="H322" t="s">
        <v>843</v>
      </c>
      <c r="I322" t="s">
        <v>793</v>
      </c>
      <c r="J322" t="s">
        <v>814</v>
      </c>
    </row>
    <row r="323" spans="1:10" x14ac:dyDescent="0.3">
      <c r="A323" t="s">
        <v>752</v>
      </c>
      <c r="B323" t="s">
        <v>913</v>
      </c>
      <c r="C323" t="str">
        <f>UPPER(THrList[[#This Row],[Last_Name]])</f>
        <v>MERCIER</v>
      </c>
      <c r="D323" t="s">
        <v>895</v>
      </c>
      <c r="E323" t="s">
        <v>797</v>
      </c>
      <c r="F323" s="1">
        <v>26659</v>
      </c>
      <c r="G323">
        <f ca="1">DATEDIF(THrList[[#This Row],[Date_of_Birth]],NOW(),"Y")</f>
        <v>52</v>
      </c>
      <c r="H323" t="s">
        <v>806</v>
      </c>
      <c r="I323" t="s">
        <v>807</v>
      </c>
      <c r="J323" t="s">
        <v>838</v>
      </c>
    </row>
    <row r="324" spans="1:10" x14ac:dyDescent="0.3">
      <c r="A324" t="s">
        <v>111</v>
      </c>
      <c r="B324" t="s">
        <v>909</v>
      </c>
      <c r="C324" t="str">
        <f>UPPER(THrList[[#This Row],[Last_Name]])</f>
        <v>DAVIS</v>
      </c>
      <c r="D324" t="s">
        <v>939</v>
      </c>
      <c r="E324" t="s">
        <v>797</v>
      </c>
      <c r="F324" s="1">
        <v>28071</v>
      </c>
      <c r="G324">
        <f ca="1">DATEDIF(THrList[[#This Row],[Date_of_Birth]],NOW(),"Y")</f>
        <v>49</v>
      </c>
      <c r="H324" t="s">
        <v>806</v>
      </c>
      <c r="I324" t="s">
        <v>793</v>
      </c>
      <c r="J324" t="s">
        <v>814</v>
      </c>
    </row>
    <row r="325" spans="1:10" x14ac:dyDescent="0.3">
      <c r="A325" t="s">
        <v>168</v>
      </c>
      <c r="B325" t="s">
        <v>898</v>
      </c>
      <c r="C325" t="str">
        <f>UPPER(THrList[[#This Row],[Last_Name]])</f>
        <v>MOREAU</v>
      </c>
      <c r="D325" t="s">
        <v>816</v>
      </c>
      <c r="E325" t="s">
        <v>797</v>
      </c>
      <c r="F325" s="1">
        <v>37422</v>
      </c>
      <c r="G325">
        <f ca="1">DATEDIF(THrList[[#This Row],[Date_of_Birth]],NOW(),"Y")</f>
        <v>23</v>
      </c>
      <c r="H325" t="s">
        <v>792</v>
      </c>
      <c r="I325" t="s">
        <v>798</v>
      </c>
      <c r="J325" t="s">
        <v>814</v>
      </c>
    </row>
    <row r="326" spans="1:10" x14ac:dyDescent="0.3">
      <c r="A326" t="s">
        <v>205</v>
      </c>
      <c r="B326" t="s">
        <v>985</v>
      </c>
      <c r="C326" t="str">
        <f>UPPER(THrList[[#This Row],[Last_Name]])</f>
        <v xml:space="preserve"> WILSON</v>
      </c>
      <c r="D326" t="s">
        <v>853</v>
      </c>
      <c r="E326" t="s">
        <v>791</v>
      </c>
      <c r="F326" s="1">
        <v>28894</v>
      </c>
      <c r="G326">
        <f ca="1">DATEDIF(THrList[[#This Row],[Date_of_Birth]],NOW(),"Y")</f>
        <v>46</v>
      </c>
      <c r="H326" t="s">
        <v>843</v>
      </c>
      <c r="I326" t="s">
        <v>798</v>
      </c>
      <c r="J326" t="s">
        <v>794</v>
      </c>
    </row>
    <row r="327" spans="1:10" x14ac:dyDescent="0.3">
      <c r="A327" t="s">
        <v>54</v>
      </c>
      <c r="B327" t="s">
        <v>862</v>
      </c>
      <c r="C327" t="str">
        <f>UPPER(THrList[[#This Row],[Last_Name]])</f>
        <v>CHEN</v>
      </c>
      <c r="D327" t="s">
        <v>874</v>
      </c>
      <c r="E327" t="s">
        <v>797</v>
      </c>
      <c r="F327" s="1">
        <v>34724</v>
      </c>
      <c r="G327">
        <f ca="1">DATEDIF(THrList[[#This Row],[Date_of_Birth]],NOW(),"Y")</f>
        <v>30</v>
      </c>
      <c r="H327" t="s">
        <v>806</v>
      </c>
      <c r="I327" t="s">
        <v>807</v>
      </c>
      <c r="J327" t="s">
        <v>803</v>
      </c>
    </row>
    <row r="328" spans="1:10" x14ac:dyDescent="0.3">
      <c r="A328" t="s">
        <v>577</v>
      </c>
      <c r="B328" t="s">
        <v>800</v>
      </c>
      <c r="C328" t="str">
        <f>UPPER(THrList[[#This Row],[Last_Name]])</f>
        <v>JOHNSON</v>
      </c>
      <c r="D328" t="s">
        <v>816</v>
      </c>
      <c r="E328" t="s">
        <v>797</v>
      </c>
      <c r="F328" s="1">
        <v>28676</v>
      </c>
      <c r="G328">
        <f ca="1">DATEDIF(THrList[[#This Row],[Date_of_Birth]],NOW(),"Y")</f>
        <v>47</v>
      </c>
      <c r="H328" t="s">
        <v>806</v>
      </c>
      <c r="I328" t="s">
        <v>793</v>
      </c>
      <c r="J328" t="s">
        <v>803</v>
      </c>
    </row>
    <row r="329" spans="1:10" x14ac:dyDescent="0.3">
      <c r="A329" t="s">
        <v>986</v>
      </c>
      <c r="B329" t="s">
        <v>821</v>
      </c>
      <c r="C329" t="str">
        <f>UPPER(THrList[[#This Row],[Last_Name]])</f>
        <v>DUBOIS</v>
      </c>
      <c r="D329" t="s">
        <v>885</v>
      </c>
      <c r="E329" t="s">
        <v>791</v>
      </c>
      <c r="F329" s="1">
        <v>30128</v>
      </c>
      <c r="G329">
        <f ca="1">DATEDIF(THrList[[#This Row],[Date_of_Birth]],NOW(),"Y")</f>
        <v>43</v>
      </c>
      <c r="H329" t="s">
        <v>843</v>
      </c>
      <c r="I329" t="s">
        <v>798</v>
      </c>
      <c r="J329" t="s">
        <v>823</v>
      </c>
    </row>
    <row r="330" spans="1:10" x14ac:dyDescent="0.3">
      <c r="A330" t="s">
        <v>508</v>
      </c>
      <c r="B330" t="s">
        <v>836</v>
      </c>
      <c r="C330" t="str">
        <f>UPPER(THrList[[#This Row],[Last_Name]])</f>
        <v>ANDERSON</v>
      </c>
      <c r="D330" t="s">
        <v>900</v>
      </c>
      <c r="E330" t="s">
        <v>791</v>
      </c>
      <c r="F330" s="1">
        <v>31119</v>
      </c>
      <c r="G330">
        <f ca="1">DATEDIF(THrList[[#This Row],[Date_of_Birth]],NOW(),"Y")</f>
        <v>40</v>
      </c>
      <c r="H330" t="s">
        <v>792</v>
      </c>
      <c r="I330" t="s">
        <v>807</v>
      </c>
      <c r="J330" t="s">
        <v>799</v>
      </c>
    </row>
    <row r="331" spans="1:10" x14ac:dyDescent="0.3">
      <c r="A331" t="s">
        <v>258</v>
      </c>
      <c r="B331" t="s">
        <v>881</v>
      </c>
      <c r="C331" t="str">
        <f>UPPER(THrList[[#This Row],[Last_Name]])</f>
        <v>IBRAHIM</v>
      </c>
      <c r="D331" t="s">
        <v>790</v>
      </c>
      <c r="E331" t="s">
        <v>797</v>
      </c>
      <c r="F331" s="1">
        <v>36783</v>
      </c>
      <c r="G331">
        <f ca="1">DATEDIF(THrList[[#This Row],[Date_of_Birth]],NOW(),"Y")</f>
        <v>25</v>
      </c>
      <c r="H331" t="s">
        <v>811</v>
      </c>
      <c r="I331" t="s">
        <v>793</v>
      </c>
      <c r="J331" t="s">
        <v>808</v>
      </c>
    </row>
    <row r="332" spans="1:10" x14ac:dyDescent="0.3">
      <c r="A332" t="s">
        <v>740</v>
      </c>
      <c r="B332" t="s">
        <v>802</v>
      </c>
      <c r="C332" t="str">
        <f>UPPER(THrList[[#This Row],[Last_Name]])</f>
        <v>GARCIA</v>
      </c>
      <c r="D332" t="s">
        <v>914</v>
      </c>
      <c r="E332" t="s">
        <v>797</v>
      </c>
      <c r="F332" s="1">
        <v>33970</v>
      </c>
      <c r="G332">
        <f ca="1">DATEDIF(THrList[[#This Row],[Date_of_Birth]],NOW(),"Y")</f>
        <v>32</v>
      </c>
      <c r="H332" t="s">
        <v>811</v>
      </c>
      <c r="I332" t="s">
        <v>793</v>
      </c>
      <c r="J332" t="s">
        <v>808</v>
      </c>
    </row>
    <row r="333" spans="1:10" x14ac:dyDescent="0.3">
      <c r="A333" t="s">
        <v>136</v>
      </c>
      <c r="B333" t="s">
        <v>887</v>
      </c>
      <c r="C333" t="str">
        <f>UPPER(THrList[[#This Row],[Last_Name]])</f>
        <v>TOURE</v>
      </c>
      <c r="D333" t="s">
        <v>853</v>
      </c>
      <c r="E333" t="s">
        <v>791</v>
      </c>
      <c r="F333" s="1">
        <v>34614</v>
      </c>
      <c r="G333">
        <f ca="1">DATEDIF(THrList[[#This Row],[Date_of_Birth]],NOW(),"Y")</f>
        <v>31</v>
      </c>
      <c r="H333" t="s">
        <v>806</v>
      </c>
      <c r="I333" t="s">
        <v>793</v>
      </c>
      <c r="J333" t="s">
        <v>814</v>
      </c>
    </row>
    <row r="334" spans="1:10" x14ac:dyDescent="0.3">
      <c r="A334" t="s">
        <v>58</v>
      </c>
      <c r="B334" t="s">
        <v>859</v>
      </c>
      <c r="C334" t="str">
        <f>UPPER(THrList[[#This Row],[Last_Name]])</f>
        <v>PATEL</v>
      </c>
      <c r="D334" t="s">
        <v>876</v>
      </c>
      <c r="E334" t="s">
        <v>791</v>
      </c>
      <c r="F334" s="1">
        <v>29076</v>
      </c>
      <c r="G334">
        <f ca="1">DATEDIF(THrList[[#This Row],[Date_of_Birth]],NOW(),"Y")</f>
        <v>46</v>
      </c>
      <c r="H334" t="s">
        <v>806</v>
      </c>
      <c r="I334" t="s">
        <v>793</v>
      </c>
      <c r="J334" t="s">
        <v>814</v>
      </c>
    </row>
    <row r="335" spans="1:10" x14ac:dyDescent="0.3">
      <c r="A335" t="s">
        <v>345</v>
      </c>
      <c r="B335" t="s">
        <v>872</v>
      </c>
      <c r="C335" t="str">
        <f>UPPER(THrList[[#This Row],[Last_Name]])</f>
        <v>DIALLO</v>
      </c>
      <c r="D335" t="s">
        <v>837</v>
      </c>
      <c r="E335" t="s">
        <v>791</v>
      </c>
      <c r="F335" s="1">
        <v>28681</v>
      </c>
      <c r="G335">
        <f ca="1">DATEDIF(THrList[[#This Row],[Date_of_Birth]],NOW(),"Y")</f>
        <v>47</v>
      </c>
      <c r="H335" t="s">
        <v>792</v>
      </c>
      <c r="I335" t="s">
        <v>807</v>
      </c>
      <c r="J335" t="s">
        <v>808</v>
      </c>
    </row>
    <row r="336" spans="1:10" x14ac:dyDescent="0.3">
      <c r="A336" t="s">
        <v>477</v>
      </c>
      <c r="B336" t="s">
        <v>851</v>
      </c>
      <c r="C336" t="str">
        <f>UPPER(THrList[[#This Row],[Last_Name]])</f>
        <v>NGUYEN</v>
      </c>
      <c r="D336" t="s">
        <v>876</v>
      </c>
      <c r="E336" t="s">
        <v>791</v>
      </c>
      <c r="F336" s="1">
        <v>34189</v>
      </c>
      <c r="G336">
        <f ca="1">DATEDIF(THrList[[#This Row],[Date_of_Birth]],NOW(),"Y")</f>
        <v>32</v>
      </c>
      <c r="H336" t="s">
        <v>806</v>
      </c>
      <c r="I336" t="s">
        <v>807</v>
      </c>
      <c r="J336" t="s">
        <v>794</v>
      </c>
    </row>
    <row r="337" spans="1:10" x14ac:dyDescent="0.3">
      <c r="A337" t="s">
        <v>334</v>
      </c>
      <c r="B337" t="s">
        <v>836</v>
      </c>
      <c r="C337" t="str">
        <f>UPPER(THrList[[#This Row],[Last_Name]])</f>
        <v>ANDERSON</v>
      </c>
      <c r="D337" t="s">
        <v>830</v>
      </c>
      <c r="E337" t="s">
        <v>791</v>
      </c>
      <c r="F337" s="1">
        <v>32637</v>
      </c>
      <c r="G337">
        <f ca="1">DATEDIF(THrList[[#This Row],[Date_of_Birth]],NOW(),"Y")</f>
        <v>36</v>
      </c>
      <c r="H337" t="s">
        <v>806</v>
      </c>
      <c r="I337" t="s">
        <v>793</v>
      </c>
      <c r="J337" t="s">
        <v>803</v>
      </c>
    </row>
    <row r="338" spans="1:10" x14ac:dyDescent="0.3">
      <c r="A338" t="s">
        <v>987</v>
      </c>
      <c r="B338" t="s">
        <v>866</v>
      </c>
      <c r="C338" t="str">
        <f>UPPER(THrList[[#This Row],[Last_Name]])</f>
        <v>ABDULLAH</v>
      </c>
      <c r="D338" t="s">
        <v>860</v>
      </c>
      <c r="E338" t="s">
        <v>791</v>
      </c>
      <c r="F338" s="1">
        <v>27384</v>
      </c>
      <c r="G338">
        <f ca="1">DATEDIF(THrList[[#This Row],[Date_of_Birth]],NOW(),"Y")</f>
        <v>50</v>
      </c>
      <c r="H338" t="s">
        <v>843</v>
      </c>
      <c r="I338" t="s">
        <v>793</v>
      </c>
      <c r="J338" t="s">
        <v>814</v>
      </c>
    </row>
    <row r="339" spans="1:10" x14ac:dyDescent="0.3">
      <c r="A339" t="s">
        <v>730</v>
      </c>
      <c r="B339" t="s">
        <v>898</v>
      </c>
      <c r="C339" t="str">
        <f>UPPER(THrList[[#This Row],[Last_Name]])</f>
        <v>MOREAU</v>
      </c>
      <c r="D339" t="s">
        <v>880</v>
      </c>
      <c r="E339" t="s">
        <v>797</v>
      </c>
      <c r="F339" s="1">
        <v>29423</v>
      </c>
      <c r="G339">
        <f ca="1">DATEDIF(THrList[[#This Row],[Date_of_Birth]],NOW(),"Y")</f>
        <v>45</v>
      </c>
      <c r="H339" t="s">
        <v>843</v>
      </c>
      <c r="I339" t="s">
        <v>807</v>
      </c>
      <c r="J339" t="s">
        <v>808</v>
      </c>
    </row>
    <row r="340" spans="1:10" x14ac:dyDescent="0.3">
      <c r="A340" t="s">
        <v>81</v>
      </c>
      <c r="B340" t="s">
        <v>821</v>
      </c>
      <c r="C340" t="str">
        <f>UPPER(THrList[[#This Row],[Last_Name]])</f>
        <v>DUBOIS</v>
      </c>
      <c r="D340" t="s">
        <v>914</v>
      </c>
      <c r="E340" t="s">
        <v>791</v>
      </c>
      <c r="F340" s="1">
        <v>31139</v>
      </c>
      <c r="G340">
        <f ca="1">DATEDIF(THrList[[#This Row],[Date_of_Birth]],NOW(),"Y")</f>
        <v>40</v>
      </c>
      <c r="H340" t="s">
        <v>811</v>
      </c>
      <c r="I340" t="s">
        <v>793</v>
      </c>
      <c r="J340" t="s">
        <v>794</v>
      </c>
    </row>
    <row r="341" spans="1:10" x14ac:dyDescent="0.3">
      <c r="A341" t="s">
        <v>652</v>
      </c>
      <c r="B341" t="s">
        <v>866</v>
      </c>
      <c r="C341" t="str">
        <f>UPPER(THrList[[#This Row],[Last_Name]])</f>
        <v>ABDULLAH</v>
      </c>
      <c r="D341" t="s">
        <v>801</v>
      </c>
      <c r="E341" t="s">
        <v>791</v>
      </c>
      <c r="F341" s="1">
        <v>25313</v>
      </c>
      <c r="G341">
        <f ca="1">DATEDIF(THrList[[#This Row],[Date_of_Birth]],NOW(),"Y")</f>
        <v>56</v>
      </c>
      <c r="H341" t="s">
        <v>811</v>
      </c>
      <c r="I341" t="s">
        <v>807</v>
      </c>
      <c r="J341" t="s">
        <v>803</v>
      </c>
    </row>
    <row r="342" spans="1:10" x14ac:dyDescent="0.3">
      <c r="A342" t="s">
        <v>437</v>
      </c>
      <c r="B342" t="s">
        <v>907</v>
      </c>
      <c r="C342" t="str">
        <f>UPPER(THrList[[#This Row],[Last_Name]])</f>
        <v>GONZALEZ</v>
      </c>
      <c r="D342" t="s">
        <v>874</v>
      </c>
      <c r="E342" t="s">
        <v>791</v>
      </c>
      <c r="F342" s="1">
        <v>24958</v>
      </c>
      <c r="G342">
        <f ca="1">DATEDIF(THrList[[#This Row],[Date_of_Birth]],NOW(),"Y")</f>
        <v>57</v>
      </c>
      <c r="H342" t="s">
        <v>792</v>
      </c>
      <c r="I342" t="s">
        <v>793</v>
      </c>
      <c r="J342" t="s">
        <v>838</v>
      </c>
    </row>
    <row r="343" spans="1:10" x14ac:dyDescent="0.3">
      <c r="A343" t="s">
        <v>648</v>
      </c>
      <c r="B343" t="s">
        <v>804</v>
      </c>
      <c r="C343" t="str">
        <f>UPPER(THrList[[#This Row],[Last_Name]])</f>
        <v>SMITH</v>
      </c>
      <c r="D343" t="s">
        <v>856</v>
      </c>
      <c r="E343" t="s">
        <v>797</v>
      </c>
      <c r="F343" s="1">
        <v>34318</v>
      </c>
      <c r="G343">
        <f ca="1">DATEDIF(THrList[[#This Row],[Date_of_Birth]],NOW(),"Y")</f>
        <v>32</v>
      </c>
      <c r="H343" t="s">
        <v>806</v>
      </c>
      <c r="I343" t="s">
        <v>793</v>
      </c>
      <c r="J343" t="s">
        <v>799</v>
      </c>
    </row>
    <row r="344" spans="1:10" x14ac:dyDescent="0.3">
      <c r="A344" t="s">
        <v>756</v>
      </c>
      <c r="B344" t="s">
        <v>909</v>
      </c>
      <c r="C344" t="str">
        <f>UPPER(THrList[[#This Row],[Last_Name]])</f>
        <v>DAVIS</v>
      </c>
      <c r="D344" t="s">
        <v>900</v>
      </c>
      <c r="E344" t="s">
        <v>791</v>
      </c>
      <c r="F344" s="1">
        <v>30408</v>
      </c>
      <c r="G344">
        <f ca="1">DATEDIF(THrList[[#This Row],[Date_of_Birth]],NOW(),"Y")</f>
        <v>42</v>
      </c>
      <c r="H344" t="s">
        <v>806</v>
      </c>
      <c r="I344" t="s">
        <v>807</v>
      </c>
      <c r="J344" t="s">
        <v>819</v>
      </c>
    </row>
    <row r="345" spans="1:10" x14ac:dyDescent="0.3">
      <c r="A345" t="s">
        <v>988</v>
      </c>
      <c r="B345" t="s">
        <v>911</v>
      </c>
      <c r="C345" t="str">
        <f>UPPER(THrList[[#This Row],[Last_Name]])</f>
        <v>BROWN</v>
      </c>
      <c r="D345" t="s">
        <v>883</v>
      </c>
      <c r="E345" t="s">
        <v>797</v>
      </c>
      <c r="F345" s="1">
        <v>26615</v>
      </c>
      <c r="G345">
        <f ca="1">DATEDIF(THrList[[#This Row],[Date_of_Birth]],NOW(),"Y")</f>
        <v>53</v>
      </c>
      <c r="H345" t="s">
        <v>792</v>
      </c>
      <c r="I345" t="s">
        <v>793</v>
      </c>
      <c r="J345" t="s">
        <v>823</v>
      </c>
    </row>
    <row r="346" spans="1:10" x14ac:dyDescent="0.3">
      <c r="A346" t="s">
        <v>342</v>
      </c>
      <c r="B346" t="s">
        <v>907</v>
      </c>
      <c r="C346" t="str">
        <f>UPPER(THrList[[#This Row],[Last_Name]])</f>
        <v>GONZALEZ</v>
      </c>
      <c r="D346" t="s">
        <v>915</v>
      </c>
      <c r="E346" t="s">
        <v>797</v>
      </c>
      <c r="F346" s="1">
        <v>27543</v>
      </c>
      <c r="G346">
        <f ca="1">DATEDIF(THrList[[#This Row],[Date_of_Birth]],NOW(),"Y")</f>
        <v>50</v>
      </c>
      <c r="H346" t="s">
        <v>792</v>
      </c>
      <c r="I346" t="s">
        <v>807</v>
      </c>
      <c r="J346" t="s">
        <v>814</v>
      </c>
    </row>
    <row r="347" spans="1:10" x14ac:dyDescent="0.3">
      <c r="A347" t="s">
        <v>202</v>
      </c>
      <c r="B347" t="s">
        <v>829</v>
      </c>
      <c r="C347" t="str">
        <f>UPPER(THrList[[#This Row],[Last_Name]])</f>
        <v>HASSAN</v>
      </c>
      <c r="D347" t="s">
        <v>899</v>
      </c>
      <c r="E347" t="s">
        <v>797</v>
      </c>
      <c r="F347" s="1">
        <v>37136</v>
      </c>
      <c r="G347">
        <f ca="1">DATEDIF(THrList[[#This Row],[Date_of_Birth]],NOW(),"Y")</f>
        <v>24</v>
      </c>
      <c r="H347" t="s">
        <v>811</v>
      </c>
      <c r="I347" t="s">
        <v>807</v>
      </c>
      <c r="J347" t="s">
        <v>794</v>
      </c>
    </row>
    <row r="348" spans="1:10" x14ac:dyDescent="0.3">
      <c r="A348" t="s">
        <v>731</v>
      </c>
      <c r="B348" t="s">
        <v>826</v>
      </c>
      <c r="C348" t="str">
        <f>UPPER(THrList[[#This Row],[Last_Name]])</f>
        <v>RODRIGUEZ</v>
      </c>
      <c r="D348" t="s">
        <v>873</v>
      </c>
      <c r="E348" t="s">
        <v>791</v>
      </c>
      <c r="F348" s="1">
        <v>36457</v>
      </c>
      <c r="G348">
        <f ca="1">DATEDIF(THrList[[#This Row],[Date_of_Birth]],NOW(),"Y")</f>
        <v>26</v>
      </c>
      <c r="H348" t="s">
        <v>811</v>
      </c>
      <c r="I348" t="s">
        <v>793</v>
      </c>
      <c r="J348" t="s">
        <v>838</v>
      </c>
    </row>
    <row r="349" spans="1:10" x14ac:dyDescent="0.3">
      <c r="A349" t="s">
        <v>989</v>
      </c>
      <c r="B349" t="s">
        <v>855</v>
      </c>
      <c r="C349" t="str">
        <f>UPPER(THrList[[#This Row],[Last_Name]])</f>
        <v>TAYLOR</v>
      </c>
      <c r="D349" t="s">
        <v>893</v>
      </c>
      <c r="E349" t="s">
        <v>791</v>
      </c>
      <c r="F349" s="1">
        <v>33873</v>
      </c>
      <c r="G349">
        <f ca="1">DATEDIF(THrList[[#This Row],[Date_of_Birth]],NOW(),"Y")</f>
        <v>33</v>
      </c>
      <c r="H349" t="s">
        <v>843</v>
      </c>
      <c r="I349" t="s">
        <v>793</v>
      </c>
      <c r="J349" t="s">
        <v>838</v>
      </c>
    </row>
    <row r="350" spans="1:10" x14ac:dyDescent="0.3">
      <c r="A350" t="s">
        <v>654</v>
      </c>
      <c r="B350" t="s">
        <v>851</v>
      </c>
      <c r="C350" t="str">
        <f>UPPER(THrList[[#This Row],[Last_Name]])</f>
        <v>NGUYEN</v>
      </c>
      <c r="D350" t="s">
        <v>885</v>
      </c>
      <c r="E350" t="s">
        <v>791</v>
      </c>
      <c r="F350" s="1">
        <v>35398</v>
      </c>
      <c r="G350">
        <f ca="1">DATEDIF(THrList[[#This Row],[Date_of_Birth]],NOW(),"Y")</f>
        <v>29</v>
      </c>
      <c r="H350" t="s">
        <v>843</v>
      </c>
      <c r="I350" t="s">
        <v>807</v>
      </c>
      <c r="J350" t="s">
        <v>803</v>
      </c>
    </row>
    <row r="351" spans="1:10" x14ac:dyDescent="0.3">
      <c r="A351" t="s">
        <v>990</v>
      </c>
      <c r="B351" t="s">
        <v>904</v>
      </c>
      <c r="C351" t="str">
        <f>UPPER(THrList[[#This Row],[Last_Name]])</f>
        <v>SINGH</v>
      </c>
      <c r="D351" t="s">
        <v>805</v>
      </c>
      <c r="E351" t="s">
        <v>791</v>
      </c>
      <c r="F351" s="1">
        <v>34300</v>
      </c>
      <c r="G351">
        <f ca="1">DATEDIF(THrList[[#This Row],[Date_of_Birth]],NOW(),"Y")</f>
        <v>32</v>
      </c>
      <c r="H351" t="s">
        <v>843</v>
      </c>
      <c r="I351" t="s">
        <v>793</v>
      </c>
      <c r="J351" t="s">
        <v>819</v>
      </c>
    </row>
    <row r="352" spans="1:10" x14ac:dyDescent="0.3">
      <c r="A352" t="s">
        <v>135</v>
      </c>
      <c r="B352" t="s">
        <v>886</v>
      </c>
      <c r="C352" t="str">
        <f>UPPER(THrList[[#This Row],[Last_Name]])</f>
        <v>MARTINEZ</v>
      </c>
      <c r="D352" t="s">
        <v>864</v>
      </c>
      <c r="E352" t="s">
        <v>797</v>
      </c>
      <c r="F352" s="1">
        <v>28847</v>
      </c>
      <c r="G352">
        <f ca="1">DATEDIF(THrList[[#This Row],[Date_of_Birth]],NOW(),"Y")</f>
        <v>46</v>
      </c>
      <c r="H352" t="s">
        <v>843</v>
      </c>
      <c r="I352" t="s">
        <v>807</v>
      </c>
      <c r="J352" t="s">
        <v>838</v>
      </c>
    </row>
    <row r="353" spans="1:10" x14ac:dyDescent="0.3">
      <c r="A353" t="s">
        <v>147</v>
      </c>
      <c r="B353" t="s">
        <v>925</v>
      </c>
      <c r="C353" t="str">
        <f>UPPER(THrList[[#This Row],[Last_Name]])</f>
        <v>LEFEVRE</v>
      </c>
      <c r="D353" t="s">
        <v>919</v>
      </c>
      <c r="E353" t="s">
        <v>797</v>
      </c>
      <c r="F353" s="1">
        <v>30503</v>
      </c>
      <c r="G353">
        <f ca="1">DATEDIF(THrList[[#This Row],[Date_of_Birth]],NOW(),"Y")</f>
        <v>42</v>
      </c>
      <c r="H353" t="s">
        <v>806</v>
      </c>
      <c r="I353" t="s">
        <v>807</v>
      </c>
      <c r="J353" t="s">
        <v>823</v>
      </c>
    </row>
    <row r="354" spans="1:10" x14ac:dyDescent="0.3">
      <c r="A354" t="s">
        <v>686</v>
      </c>
      <c r="B354" t="s">
        <v>789</v>
      </c>
      <c r="C354" t="str">
        <f>UPPER(THrList[[#This Row],[Last_Name]])</f>
        <v>LEROY</v>
      </c>
      <c r="D354" t="s">
        <v>827</v>
      </c>
      <c r="E354" t="s">
        <v>791</v>
      </c>
      <c r="F354" s="1">
        <v>26484</v>
      </c>
      <c r="G354">
        <f ca="1">DATEDIF(THrList[[#This Row],[Date_of_Birth]],NOW(),"Y")</f>
        <v>53</v>
      </c>
      <c r="H354" t="s">
        <v>811</v>
      </c>
      <c r="I354" t="s">
        <v>793</v>
      </c>
      <c r="J354" t="s">
        <v>808</v>
      </c>
    </row>
    <row r="355" spans="1:10" x14ac:dyDescent="0.3">
      <c r="A355" t="s">
        <v>991</v>
      </c>
      <c r="B355" t="s">
        <v>907</v>
      </c>
      <c r="C355" t="str">
        <f>UPPER(THrList[[#This Row],[Last_Name]])</f>
        <v>GONZALEZ</v>
      </c>
      <c r="D355" t="s">
        <v>881</v>
      </c>
      <c r="E355" t="s">
        <v>797</v>
      </c>
      <c r="F355" s="1">
        <v>31189</v>
      </c>
      <c r="G355">
        <f ca="1">DATEDIF(THrList[[#This Row],[Date_of_Birth]],NOW(),"Y")</f>
        <v>40</v>
      </c>
      <c r="H355" t="s">
        <v>843</v>
      </c>
      <c r="I355" t="s">
        <v>798</v>
      </c>
      <c r="J355" t="s">
        <v>838</v>
      </c>
    </row>
    <row r="356" spans="1:10" x14ac:dyDescent="0.3">
      <c r="A356" t="s">
        <v>104</v>
      </c>
      <c r="B356" t="s">
        <v>892</v>
      </c>
      <c r="C356" t="str">
        <f>UPPER(THrList[[#This Row],[Last_Name]])</f>
        <v>BALDE</v>
      </c>
      <c r="D356" t="s">
        <v>790</v>
      </c>
      <c r="E356" t="s">
        <v>797</v>
      </c>
      <c r="F356" s="1">
        <v>30807</v>
      </c>
      <c r="G356">
        <f ca="1">DATEDIF(THrList[[#This Row],[Date_of_Birth]],NOW(),"Y")</f>
        <v>41</v>
      </c>
      <c r="H356" t="s">
        <v>843</v>
      </c>
      <c r="I356" t="s">
        <v>807</v>
      </c>
      <c r="J356" t="s">
        <v>835</v>
      </c>
    </row>
    <row r="357" spans="1:10" x14ac:dyDescent="0.3">
      <c r="A357" t="s">
        <v>466</v>
      </c>
      <c r="B357" t="s">
        <v>821</v>
      </c>
      <c r="C357" t="str">
        <f>UPPER(THrList[[#This Row],[Last_Name]])</f>
        <v>DUBOIS</v>
      </c>
      <c r="D357" t="s">
        <v>878</v>
      </c>
      <c r="E357" t="s">
        <v>791</v>
      </c>
      <c r="F357" s="1">
        <v>31113</v>
      </c>
      <c r="G357">
        <f ca="1">DATEDIF(THrList[[#This Row],[Date_of_Birth]],NOW(),"Y")</f>
        <v>40</v>
      </c>
      <c r="H357" t="s">
        <v>843</v>
      </c>
      <c r="I357" t="s">
        <v>793</v>
      </c>
      <c r="J357" t="s">
        <v>799</v>
      </c>
    </row>
    <row r="358" spans="1:10" x14ac:dyDescent="0.3">
      <c r="A358" t="s">
        <v>212</v>
      </c>
      <c r="B358" t="s">
        <v>836</v>
      </c>
      <c r="C358" t="str">
        <f>UPPER(THrList[[#This Row],[Last_Name]])</f>
        <v>ANDERSON</v>
      </c>
      <c r="D358" t="s">
        <v>828</v>
      </c>
      <c r="E358" t="s">
        <v>791</v>
      </c>
      <c r="F358" s="1">
        <v>29043</v>
      </c>
      <c r="G358">
        <f ca="1">DATEDIF(THrList[[#This Row],[Date_of_Birth]],NOW(),"Y")</f>
        <v>46</v>
      </c>
      <c r="H358" t="s">
        <v>806</v>
      </c>
      <c r="I358" t="s">
        <v>798</v>
      </c>
      <c r="J358" t="s">
        <v>814</v>
      </c>
    </row>
    <row r="359" spans="1:10" x14ac:dyDescent="0.3">
      <c r="A359" t="s">
        <v>354</v>
      </c>
      <c r="B359" t="s">
        <v>858</v>
      </c>
      <c r="C359" t="str">
        <f>UPPER(THrList[[#This Row],[Last_Name]])</f>
        <v>MOORE</v>
      </c>
      <c r="D359" t="s">
        <v>805</v>
      </c>
      <c r="E359" t="s">
        <v>791</v>
      </c>
      <c r="F359" s="1">
        <v>36380</v>
      </c>
      <c r="G359">
        <f ca="1">DATEDIF(THrList[[#This Row],[Date_of_Birth]],NOW(),"Y")</f>
        <v>26</v>
      </c>
      <c r="H359" t="s">
        <v>806</v>
      </c>
      <c r="I359" t="s">
        <v>807</v>
      </c>
      <c r="J359" t="s">
        <v>799</v>
      </c>
    </row>
    <row r="360" spans="1:10" x14ac:dyDescent="0.3">
      <c r="A360" t="s">
        <v>85</v>
      </c>
      <c r="B360" t="s">
        <v>836</v>
      </c>
      <c r="C360" t="str">
        <f>UPPER(THrList[[#This Row],[Last_Name]])</f>
        <v>ANDERSON</v>
      </c>
      <c r="D360" t="s">
        <v>870</v>
      </c>
      <c r="E360" t="s">
        <v>797</v>
      </c>
      <c r="F360" s="1">
        <v>32311</v>
      </c>
      <c r="G360">
        <f ca="1">DATEDIF(THrList[[#This Row],[Date_of_Birth]],NOW(),"Y")</f>
        <v>37</v>
      </c>
      <c r="H360" t="s">
        <v>811</v>
      </c>
      <c r="I360" t="s">
        <v>793</v>
      </c>
      <c r="J360" t="s">
        <v>794</v>
      </c>
    </row>
    <row r="361" spans="1:10" x14ac:dyDescent="0.3">
      <c r="A361" t="s">
        <v>521</v>
      </c>
      <c r="B361" t="s">
        <v>868</v>
      </c>
      <c r="C361" t="str">
        <f>UPPER(THrList[[#This Row],[Last_Name]])</f>
        <v>LOPEZ</v>
      </c>
      <c r="D361" t="s">
        <v>878</v>
      </c>
      <c r="E361" t="s">
        <v>791</v>
      </c>
      <c r="F361" s="1">
        <v>33888</v>
      </c>
      <c r="G361">
        <f ca="1">DATEDIF(THrList[[#This Row],[Date_of_Birth]],NOW(),"Y")</f>
        <v>33</v>
      </c>
      <c r="H361" t="s">
        <v>843</v>
      </c>
      <c r="I361" t="s">
        <v>793</v>
      </c>
      <c r="J361" t="s">
        <v>814</v>
      </c>
    </row>
    <row r="362" spans="1:10" x14ac:dyDescent="0.3">
      <c r="A362" t="s">
        <v>452</v>
      </c>
      <c r="B362" t="s">
        <v>821</v>
      </c>
      <c r="C362" t="str">
        <f>UPPER(THrList[[#This Row],[Last_Name]])</f>
        <v>DUBOIS</v>
      </c>
      <c r="D362" t="s">
        <v>830</v>
      </c>
      <c r="E362" t="s">
        <v>791</v>
      </c>
      <c r="F362" s="1">
        <v>25810</v>
      </c>
      <c r="G362">
        <f ca="1">DATEDIF(THrList[[#This Row],[Date_of_Birth]],NOW(),"Y")</f>
        <v>55</v>
      </c>
      <c r="H362" t="s">
        <v>811</v>
      </c>
      <c r="I362" t="s">
        <v>798</v>
      </c>
      <c r="J362" t="s">
        <v>823</v>
      </c>
    </row>
    <row r="363" spans="1:10" x14ac:dyDescent="0.3">
      <c r="A363" t="s">
        <v>123</v>
      </c>
      <c r="B363" t="s">
        <v>879</v>
      </c>
      <c r="C363" t="str">
        <f>UPPER(THrList[[#This Row],[Last_Name]])</f>
        <v>KONE</v>
      </c>
      <c r="D363" t="s">
        <v>860</v>
      </c>
      <c r="E363" t="s">
        <v>797</v>
      </c>
      <c r="F363" s="1">
        <v>33847</v>
      </c>
      <c r="G363">
        <f ca="1">DATEDIF(THrList[[#This Row],[Date_of_Birth]],NOW(),"Y")</f>
        <v>33</v>
      </c>
      <c r="H363" t="s">
        <v>843</v>
      </c>
      <c r="I363" t="s">
        <v>807</v>
      </c>
      <c r="J363" t="s">
        <v>799</v>
      </c>
    </row>
    <row r="364" spans="1:10" x14ac:dyDescent="0.3">
      <c r="A364" t="s">
        <v>363</v>
      </c>
      <c r="B364" t="s">
        <v>890</v>
      </c>
      <c r="C364" t="str">
        <f>UPPER(THrList[[#This Row],[Last_Name]])</f>
        <v>ROUSSEAU</v>
      </c>
      <c r="D364" t="s">
        <v>874</v>
      </c>
      <c r="E364" t="s">
        <v>797</v>
      </c>
      <c r="F364" s="1">
        <v>38160</v>
      </c>
      <c r="G364">
        <f ca="1">DATEDIF(THrList[[#This Row],[Date_of_Birth]],NOW(),"Y")</f>
        <v>21</v>
      </c>
      <c r="H364" t="s">
        <v>811</v>
      </c>
      <c r="I364" t="s">
        <v>793</v>
      </c>
      <c r="J364" t="s">
        <v>808</v>
      </c>
    </row>
    <row r="365" spans="1:10" x14ac:dyDescent="0.3">
      <c r="A365" t="s">
        <v>992</v>
      </c>
      <c r="B365" t="s">
        <v>871</v>
      </c>
      <c r="C365" t="str">
        <f>UPPER(THrList[[#This Row],[Last_Name]])</f>
        <v>MENSAH</v>
      </c>
      <c r="D365" t="s">
        <v>810</v>
      </c>
      <c r="E365" t="s">
        <v>791</v>
      </c>
      <c r="F365" s="1">
        <v>34066</v>
      </c>
      <c r="G365">
        <f ca="1">DATEDIF(THrList[[#This Row],[Date_of_Birth]],NOW(),"Y")</f>
        <v>32</v>
      </c>
      <c r="H365" t="s">
        <v>806</v>
      </c>
      <c r="I365" t="s">
        <v>798</v>
      </c>
      <c r="J365" t="s">
        <v>808</v>
      </c>
    </row>
    <row r="366" spans="1:10" x14ac:dyDescent="0.3">
      <c r="A366" t="s">
        <v>637</v>
      </c>
      <c r="B366" t="s">
        <v>812</v>
      </c>
      <c r="C366" t="str">
        <f>UPPER(THrList[[#This Row],[Last_Name]])</f>
        <v>CAMARA</v>
      </c>
      <c r="D366" t="s">
        <v>870</v>
      </c>
      <c r="E366" t="s">
        <v>791</v>
      </c>
      <c r="F366" s="1">
        <v>38247</v>
      </c>
      <c r="G366">
        <f ca="1">DATEDIF(THrList[[#This Row],[Date_of_Birth]],NOW(),"Y")</f>
        <v>21</v>
      </c>
      <c r="H366" t="s">
        <v>811</v>
      </c>
      <c r="I366" t="s">
        <v>798</v>
      </c>
      <c r="J366" t="s">
        <v>819</v>
      </c>
    </row>
    <row r="367" spans="1:10" x14ac:dyDescent="0.3">
      <c r="A367" t="s">
        <v>692</v>
      </c>
      <c r="B367" t="s">
        <v>832</v>
      </c>
      <c r="C367" t="str">
        <f>UPPER(THrList[[#This Row],[Last_Name]])</f>
        <v>FOURNIER</v>
      </c>
      <c r="D367" t="s">
        <v>919</v>
      </c>
      <c r="E367" t="s">
        <v>797</v>
      </c>
      <c r="F367" s="1">
        <v>27075</v>
      </c>
      <c r="G367">
        <f ca="1">DATEDIF(THrList[[#This Row],[Date_of_Birth]],NOW(),"Y")</f>
        <v>51</v>
      </c>
      <c r="H367" t="s">
        <v>811</v>
      </c>
      <c r="I367" t="s">
        <v>798</v>
      </c>
      <c r="J367" t="s">
        <v>799</v>
      </c>
    </row>
    <row r="368" spans="1:10" x14ac:dyDescent="0.3">
      <c r="A368" t="s">
        <v>650</v>
      </c>
      <c r="B368" t="s">
        <v>937</v>
      </c>
      <c r="C368" t="str">
        <f>UPPER(THrList[[#This Row],[Last_Name]])</f>
        <v>KOUASSI</v>
      </c>
      <c r="D368" t="s">
        <v>818</v>
      </c>
      <c r="E368" t="s">
        <v>797</v>
      </c>
      <c r="F368" s="1">
        <v>27653</v>
      </c>
      <c r="G368">
        <f ca="1">DATEDIF(THrList[[#This Row],[Date_of_Birth]],NOW(),"Y")</f>
        <v>50</v>
      </c>
      <c r="H368" t="s">
        <v>811</v>
      </c>
      <c r="I368" t="s">
        <v>807</v>
      </c>
      <c r="J368" t="s">
        <v>835</v>
      </c>
    </row>
    <row r="369" spans="1:10" x14ac:dyDescent="0.3">
      <c r="A369" t="s">
        <v>479</v>
      </c>
      <c r="B369" t="s">
        <v>911</v>
      </c>
      <c r="C369" t="str">
        <f>UPPER(THrList[[#This Row],[Last_Name]])</f>
        <v>BROWN</v>
      </c>
      <c r="D369" t="s">
        <v>914</v>
      </c>
      <c r="E369" t="s">
        <v>797</v>
      </c>
      <c r="F369" s="1">
        <v>38102</v>
      </c>
      <c r="G369">
        <f ca="1">DATEDIF(THrList[[#This Row],[Date_of_Birth]],NOW(),"Y")</f>
        <v>21</v>
      </c>
      <c r="H369" t="s">
        <v>806</v>
      </c>
      <c r="I369" t="s">
        <v>807</v>
      </c>
      <c r="J369" t="s">
        <v>823</v>
      </c>
    </row>
    <row r="370" spans="1:10" x14ac:dyDescent="0.3">
      <c r="A370" t="s">
        <v>462</v>
      </c>
      <c r="B370" t="s">
        <v>802</v>
      </c>
      <c r="C370" t="str">
        <f>UPPER(THrList[[#This Row],[Last_Name]])</f>
        <v>GARCIA</v>
      </c>
      <c r="D370" t="s">
        <v>919</v>
      </c>
      <c r="E370" t="s">
        <v>791</v>
      </c>
      <c r="F370" s="1">
        <v>38049</v>
      </c>
      <c r="G370">
        <f ca="1">DATEDIF(THrList[[#This Row],[Date_of_Birth]],NOW(),"Y")</f>
        <v>21</v>
      </c>
      <c r="H370" t="s">
        <v>792</v>
      </c>
      <c r="I370" t="s">
        <v>793</v>
      </c>
      <c r="J370" t="s">
        <v>814</v>
      </c>
    </row>
    <row r="371" spans="1:10" x14ac:dyDescent="0.3">
      <c r="A371" t="s">
        <v>993</v>
      </c>
      <c r="B371" t="s">
        <v>892</v>
      </c>
      <c r="C371" t="str">
        <f>UPPER(THrList[[#This Row],[Last_Name]])</f>
        <v>BALDE</v>
      </c>
      <c r="D371" t="s">
        <v>926</v>
      </c>
      <c r="E371" t="s">
        <v>791</v>
      </c>
      <c r="F371" s="1">
        <v>34559</v>
      </c>
      <c r="G371">
        <f ca="1">DATEDIF(THrList[[#This Row],[Date_of_Birth]],NOW(),"Y")</f>
        <v>31</v>
      </c>
      <c r="H371" t="s">
        <v>806</v>
      </c>
      <c r="I371" t="s">
        <v>793</v>
      </c>
      <c r="J371" t="s">
        <v>814</v>
      </c>
    </row>
    <row r="372" spans="1:10" x14ac:dyDescent="0.3">
      <c r="A372" t="s">
        <v>547</v>
      </c>
      <c r="B372" t="s">
        <v>812</v>
      </c>
      <c r="C372" t="str">
        <f>UPPER(THrList[[#This Row],[Last_Name]])</f>
        <v>CAMARA</v>
      </c>
      <c r="D372" t="s">
        <v>915</v>
      </c>
      <c r="E372" t="s">
        <v>791</v>
      </c>
      <c r="F372" s="1">
        <v>37097</v>
      </c>
      <c r="G372">
        <f ca="1">DATEDIF(THrList[[#This Row],[Date_of_Birth]],NOW(),"Y")</f>
        <v>24</v>
      </c>
      <c r="H372" t="s">
        <v>843</v>
      </c>
      <c r="I372" t="s">
        <v>807</v>
      </c>
      <c r="J372" t="s">
        <v>814</v>
      </c>
    </row>
    <row r="373" spans="1:10" x14ac:dyDescent="0.3">
      <c r="A373" t="s">
        <v>994</v>
      </c>
      <c r="B373" t="s">
        <v>887</v>
      </c>
      <c r="C373" t="str">
        <f>UPPER(THrList[[#This Row],[Last_Name]])</f>
        <v>TOURE</v>
      </c>
      <c r="D373" t="s">
        <v>893</v>
      </c>
      <c r="E373" t="s">
        <v>791</v>
      </c>
      <c r="F373" s="1">
        <v>35400</v>
      </c>
      <c r="G373">
        <f ca="1">DATEDIF(THrList[[#This Row],[Date_of_Birth]],NOW(),"Y")</f>
        <v>29</v>
      </c>
      <c r="H373" t="s">
        <v>792</v>
      </c>
      <c r="I373" t="s">
        <v>807</v>
      </c>
      <c r="J373" t="s">
        <v>799</v>
      </c>
    </row>
    <row r="374" spans="1:10" x14ac:dyDescent="0.3">
      <c r="A374" t="s">
        <v>384</v>
      </c>
      <c r="B374" t="s">
        <v>824</v>
      </c>
      <c r="C374" t="str">
        <f>UPPER(THrList[[#This Row],[Last_Name]])</f>
        <v>SOW</v>
      </c>
      <c r="D374" t="s">
        <v>918</v>
      </c>
      <c r="E374" t="s">
        <v>797</v>
      </c>
      <c r="F374" s="1">
        <v>35237</v>
      </c>
      <c r="G374">
        <f ca="1">DATEDIF(THrList[[#This Row],[Date_of_Birth]],NOW(),"Y")</f>
        <v>29</v>
      </c>
      <c r="H374" t="s">
        <v>806</v>
      </c>
      <c r="I374" t="s">
        <v>807</v>
      </c>
      <c r="J374" t="s">
        <v>838</v>
      </c>
    </row>
    <row r="375" spans="1:10" x14ac:dyDescent="0.3">
      <c r="A375" t="s">
        <v>670</v>
      </c>
      <c r="B375" t="s">
        <v>913</v>
      </c>
      <c r="C375" t="str">
        <f>UPPER(THrList[[#This Row],[Last_Name]])</f>
        <v>MERCIER</v>
      </c>
      <c r="D375" t="s">
        <v>883</v>
      </c>
      <c r="E375" t="s">
        <v>791</v>
      </c>
      <c r="F375" s="1">
        <v>33094</v>
      </c>
      <c r="G375">
        <f ca="1">DATEDIF(THrList[[#This Row],[Date_of_Birth]],NOW(),"Y")</f>
        <v>35</v>
      </c>
      <c r="H375" t="s">
        <v>811</v>
      </c>
      <c r="I375" t="s">
        <v>793</v>
      </c>
      <c r="J375" t="s">
        <v>823</v>
      </c>
    </row>
    <row r="376" spans="1:10" x14ac:dyDescent="0.3">
      <c r="A376" t="s">
        <v>495</v>
      </c>
      <c r="B376" t="s">
        <v>800</v>
      </c>
      <c r="C376" t="str">
        <f>UPPER(THrList[[#This Row],[Last_Name]])</f>
        <v>JOHNSON</v>
      </c>
      <c r="D376" t="s">
        <v>829</v>
      </c>
      <c r="E376" t="s">
        <v>797</v>
      </c>
      <c r="F376" s="1">
        <v>33760</v>
      </c>
      <c r="G376">
        <f ca="1">DATEDIF(THrList[[#This Row],[Date_of_Birth]],NOW(),"Y")</f>
        <v>33</v>
      </c>
      <c r="H376" t="s">
        <v>811</v>
      </c>
      <c r="I376" t="s">
        <v>798</v>
      </c>
      <c r="J376" t="s">
        <v>794</v>
      </c>
    </row>
    <row r="377" spans="1:10" x14ac:dyDescent="0.3">
      <c r="A377" t="s">
        <v>427</v>
      </c>
      <c r="B377" t="s">
        <v>859</v>
      </c>
      <c r="C377" t="str">
        <f>UPPER(THrList[[#This Row],[Last_Name]])</f>
        <v>PATEL</v>
      </c>
      <c r="D377" t="s">
        <v>914</v>
      </c>
      <c r="E377" t="s">
        <v>797</v>
      </c>
      <c r="F377" s="1">
        <v>27363</v>
      </c>
      <c r="G377">
        <f ca="1">DATEDIF(THrList[[#This Row],[Date_of_Birth]],NOW(),"Y")</f>
        <v>51</v>
      </c>
      <c r="H377" t="s">
        <v>792</v>
      </c>
      <c r="I377" t="s">
        <v>807</v>
      </c>
      <c r="J377" t="s">
        <v>803</v>
      </c>
    </row>
    <row r="378" spans="1:10" x14ac:dyDescent="0.3">
      <c r="A378" t="s">
        <v>537</v>
      </c>
      <c r="B378" t="s">
        <v>868</v>
      </c>
      <c r="C378" t="str">
        <f>UPPER(THrList[[#This Row],[Last_Name]])</f>
        <v>LOPEZ</v>
      </c>
      <c r="D378" t="s">
        <v>926</v>
      </c>
      <c r="E378" t="s">
        <v>791</v>
      </c>
      <c r="F378" s="1">
        <v>37648</v>
      </c>
      <c r="G378">
        <f ca="1">DATEDIF(THrList[[#This Row],[Date_of_Birth]],NOW(),"Y")</f>
        <v>22</v>
      </c>
      <c r="H378" t="s">
        <v>811</v>
      </c>
      <c r="I378" t="s">
        <v>798</v>
      </c>
      <c r="J378" t="s">
        <v>794</v>
      </c>
    </row>
    <row r="379" spans="1:10" x14ac:dyDescent="0.3">
      <c r="A379" t="s">
        <v>533</v>
      </c>
      <c r="B379" t="s">
        <v>898</v>
      </c>
      <c r="C379" t="str">
        <f>UPPER(THrList[[#This Row],[Last_Name]])</f>
        <v>MOREAU</v>
      </c>
      <c r="D379" t="s">
        <v>880</v>
      </c>
      <c r="E379" t="s">
        <v>791</v>
      </c>
      <c r="F379" s="1">
        <v>26120</v>
      </c>
      <c r="G379">
        <f ca="1">DATEDIF(THrList[[#This Row],[Date_of_Birth]],NOW(),"Y")</f>
        <v>54</v>
      </c>
      <c r="H379" t="s">
        <v>811</v>
      </c>
      <c r="I379" t="s">
        <v>807</v>
      </c>
      <c r="J379" t="s">
        <v>799</v>
      </c>
    </row>
    <row r="380" spans="1:10" x14ac:dyDescent="0.3">
      <c r="A380" t="s">
        <v>194</v>
      </c>
      <c r="B380" t="s">
        <v>833</v>
      </c>
      <c r="C380" t="str">
        <f>UPPER(THrList[[#This Row],[Last_Name]])</f>
        <v>JONES</v>
      </c>
      <c r="D380" t="s">
        <v>810</v>
      </c>
      <c r="E380" t="s">
        <v>797</v>
      </c>
      <c r="F380" s="1">
        <v>29307</v>
      </c>
      <c r="G380">
        <f ca="1">DATEDIF(THrList[[#This Row],[Date_of_Birth]],NOW(),"Y")</f>
        <v>45</v>
      </c>
      <c r="H380" t="s">
        <v>792</v>
      </c>
      <c r="I380" t="s">
        <v>807</v>
      </c>
      <c r="J380" t="s">
        <v>803</v>
      </c>
    </row>
    <row r="381" spans="1:10" x14ac:dyDescent="0.3">
      <c r="A381" t="s">
        <v>117</v>
      </c>
      <c r="B381" t="s">
        <v>833</v>
      </c>
      <c r="C381" t="str">
        <f>UPPER(THrList[[#This Row],[Last_Name]])</f>
        <v>JONES</v>
      </c>
      <c r="D381" t="s">
        <v>852</v>
      </c>
      <c r="E381" t="s">
        <v>791</v>
      </c>
      <c r="F381" s="1">
        <v>28339</v>
      </c>
      <c r="G381">
        <f ca="1">DATEDIF(THrList[[#This Row],[Date_of_Birth]],NOW(),"Y")</f>
        <v>48</v>
      </c>
      <c r="H381" t="s">
        <v>806</v>
      </c>
      <c r="I381" t="s">
        <v>793</v>
      </c>
      <c r="J381" t="s">
        <v>835</v>
      </c>
    </row>
    <row r="382" spans="1:10" x14ac:dyDescent="0.3">
      <c r="A382" t="s">
        <v>49</v>
      </c>
      <c r="B382" t="s">
        <v>845</v>
      </c>
      <c r="C382" t="str">
        <f>UPPER(THrList[[#This Row],[Last_Name]])</f>
        <v>WILSON</v>
      </c>
      <c r="D382" t="s">
        <v>906</v>
      </c>
      <c r="E382" t="s">
        <v>797</v>
      </c>
      <c r="F382" s="1">
        <v>28362</v>
      </c>
      <c r="G382">
        <f ca="1">DATEDIF(THrList[[#This Row],[Date_of_Birth]],NOW(),"Y")</f>
        <v>48</v>
      </c>
      <c r="H382" t="s">
        <v>806</v>
      </c>
      <c r="I382" t="s">
        <v>793</v>
      </c>
      <c r="J382" t="s">
        <v>819</v>
      </c>
    </row>
    <row r="383" spans="1:10" x14ac:dyDescent="0.3">
      <c r="A383" t="s">
        <v>559</v>
      </c>
      <c r="B383" t="s">
        <v>802</v>
      </c>
      <c r="C383" t="str">
        <f>UPPER(THrList[[#This Row],[Last_Name]])</f>
        <v>GARCIA</v>
      </c>
      <c r="D383" t="s">
        <v>915</v>
      </c>
      <c r="E383" t="s">
        <v>791</v>
      </c>
      <c r="F383" s="1">
        <v>25954</v>
      </c>
      <c r="G383">
        <f ca="1">DATEDIF(THrList[[#This Row],[Date_of_Birth]],NOW(),"Y")</f>
        <v>54</v>
      </c>
      <c r="H383" t="s">
        <v>811</v>
      </c>
      <c r="I383" t="s">
        <v>793</v>
      </c>
      <c r="J383" t="s">
        <v>803</v>
      </c>
    </row>
    <row r="384" spans="1:10" x14ac:dyDescent="0.3">
      <c r="A384" t="s">
        <v>995</v>
      </c>
      <c r="B384" t="s">
        <v>829</v>
      </c>
      <c r="C384" t="str">
        <f>UPPER(THrList[[#This Row],[Last_Name]])</f>
        <v>HASSAN</v>
      </c>
      <c r="D384" t="s">
        <v>818</v>
      </c>
      <c r="E384" t="s">
        <v>791</v>
      </c>
      <c r="F384" s="1">
        <v>31970</v>
      </c>
      <c r="G384">
        <f ca="1">DATEDIF(THrList[[#This Row],[Date_of_Birth]],NOW(),"Y")</f>
        <v>38</v>
      </c>
      <c r="H384" t="s">
        <v>811</v>
      </c>
      <c r="I384" t="s">
        <v>807</v>
      </c>
      <c r="J384" t="s">
        <v>794</v>
      </c>
    </row>
    <row r="385" spans="1:10" x14ac:dyDescent="0.3">
      <c r="A385" t="s">
        <v>184</v>
      </c>
      <c r="B385" t="s">
        <v>840</v>
      </c>
      <c r="C385" t="str">
        <f>UPPER(THrList[[#This Row],[Last_Name]])</f>
        <v>PETIT</v>
      </c>
      <c r="D385" t="s">
        <v>830</v>
      </c>
      <c r="E385" t="s">
        <v>797</v>
      </c>
      <c r="F385" s="1">
        <v>33240</v>
      </c>
      <c r="G385">
        <f ca="1">DATEDIF(THrList[[#This Row],[Date_of_Birth]],NOW(),"Y")</f>
        <v>34</v>
      </c>
      <c r="H385" t="s">
        <v>843</v>
      </c>
      <c r="I385" t="s">
        <v>807</v>
      </c>
      <c r="J385" t="s">
        <v>808</v>
      </c>
    </row>
    <row r="386" spans="1:10" x14ac:dyDescent="0.3">
      <c r="A386" t="s">
        <v>558</v>
      </c>
      <c r="B386" t="s">
        <v>840</v>
      </c>
      <c r="C386" t="str">
        <f>UPPER(THrList[[#This Row],[Last_Name]])</f>
        <v>PETIT</v>
      </c>
      <c r="D386" t="s">
        <v>901</v>
      </c>
      <c r="E386" t="s">
        <v>791</v>
      </c>
      <c r="F386" s="1">
        <v>28181</v>
      </c>
      <c r="G386">
        <f ca="1">DATEDIF(THrList[[#This Row],[Date_of_Birth]],NOW(),"Y")</f>
        <v>48</v>
      </c>
      <c r="H386" t="s">
        <v>792</v>
      </c>
      <c r="I386" t="s">
        <v>793</v>
      </c>
      <c r="J386" t="s">
        <v>823</v>
      </c>
    </row>
    <row r="387" spans="1:10" x14ac:dyDescent="0.3">
      <c r="A387" t="s">
        <v>16</v>
      </c>
      <c r="B387" t="s">
        <v>800</v>
      </c>
      <c r="C387" t="str">
        <f>UPPER(THrList[[#This Row],[Last_Name]])</f>
        <v>JOHNSON</v>
      </c>
      <c r="D387" t="s">
        <v>895</v>
      </c>
      <c r="E387" t="s">
        <v>791</v>
      </c>
      <c r="F387" s="1">
        <v>31851</v>
      </c>
      <c r="G387">
        <f ca="1">DATEDIF(THrList[[#This Row],[Date_of_Birth]],NOW(),"Y")</f>
        <v>38</v>
      </c>
      <c r="H387" t="s">
        <v>811</v>
      </c>
      <c r="I387" t="s">
        <v>793</v>
      </c>
      <c r="J387" t="s">
        <v>814</v>
      </c>
    </row>
    <row r="388" spans="1:10" x14ac:dyDescent="0.3">
      <c r="A388" t="s">
        <v>570</v>
      </c>
      <c r="B388" t="s">
        <v>858</v>
      </c>
      <c r="C388" t="str">
        <f>UPPER(THrList[[#This Row],[Last_Name]])</f>
        <v>MOORE</v>
      </c>
      <c r="D388" t="s">
        <v>805</v>
      </c>
      <c r="E388" t="s">
        <v>797</v>
      </c>
      <c r="F388" s="1">
        <v>28174</v>
      </c>
      <c r="G388">
        <f ca="1">DATEDIF(THrList[[#This Row],[Date_of_Birth]],NOW(),"Y")</f>
        <v>48</v>
      </c>
      <c r="H388" t="s">
        <v>843</v>
      </c>
      <c r="I388" t="s">
        <v>793</v>
      </c>
      <c r="J388" t="s">
        <v>808</v>
      </c>
    </row>
    <row r="389" spans="1:10" x14ac:dyDescent="0.3">
      <c r="A389" t="s">
        <v>109</v>
      </c>
      <c r="B389" t="s">
        <v>821</v>
      </c>
      <c r="C389" t="str">
        <f>UPPER(THrList[[#This Row],[Last_Name]])</f>
        <v>DUBOIS</v>
      </c>
      <c r="D389" t="s">
        <v>864</v>
      </c>
      <c r="E389" t="s">
        <v>791</v>
      </c>
      <c r="F389" s="1">
        <v>38165</v>
      </c>
      <c r="G389">
        <f ca="1">DATEDIF(THrList[[#This Row],[Date_of_Birth]],NOW(),"Y")</f>
        <v>21</v>
      </c>
      <c r="H389" t="s">
        <v>811</v>
      </c>
      <c r="I389" t="s">
        <v>793</v>
      </c>
      <c r="J389" t="s">
        <v>823</v>
      </c>
    </row>
    <row r="390" spans="1:10" x14ac:dyDescent="0.3">
      <c r="A390" t="s">
        <v>369</v>
      </c>
      <c r="B390" t="s">
        <v>909</v>
      </c>
      <c r="C390" t="str">
        <f>UPPER(THrList[[#This Row],[Last_Name]])</f>
        <v>DAVIS</v>
      </c>
      <c r="D390" t="s">
        <v>883</v>
      </c>
      <c r="E390" t="s">
        <v>791</v>
      </c>
      <c r="F390" s="1">
        <v>30478</v>
      </c>
      <c r="G390">
        <f ca="1">DATEDIF(THrList[[#This Row],[Date_of_Birth]],NOW(),"Y")</f>
        <v>42</v>
      </c>
      <c r="H390" t="s">
        <v>792</v>
      </c>
      <c r="I390" t="s">
        <v>793</v>
      </c>
      <c r="J390" t="s">
        <v>819</v>
      </c>
    </row>
    <row r="391" spans="1:10" x14ac:dyDescent="0.3">
      <c r="A391" t="s">
        <v>163</v>
      </c>
      <c r="B391" t="s">
        <v>800</v>
      </c>
      <c r="C391" t="str">
        <f>UPPER(THrList[[#This Row],[Last_Name]])</f>
        <v>JOHNSON</v>
      </c>
      <c r="D391" t="s">
        <v>857</v>
      </c>
      <c r="E391" t="s">
        <v>797</v>
      </c>
      <c r="F391" s="1">
        <v>34268</v>
      </c>
      <c r="G391">
        <f ca="1">DATEDIF(THrList[[#This Row],[Date_of_Birth]],NOW(),"Y")</f>
        <v>32</v>
      </c>
      <c r="H391" t="s">
        <v>843</v>
      </c>
      <c r="I391" t="s">
        <v>798</v>
      </c>
      <c r="J391" t="s">
        <v>835</v>
      </c>
    </row>
    <row r="392" spans="1:10" x14ac:dyDescent="0.3">
      <c r="A392" t="s">
        <v>290</v>
      </c>
      <c r="B392" t="s">
        <v>833</v>
      </c>
      <c r="C392" t="str">
        <f>UPPER(THrList[[#This Row],[Last_Name]])</f>
        <v>JONES</v>
      </c>
      <c r="D392" t="s">
        <v>853</v>
      </c>
      <c r="E392" t="s">
        <v>797</v>
      </c>
      <c r="F392" s="1">
        <v>33658</v>
      </c>
      <c r="G392">
        <f ca="1">DATEDIF(THrList[[#This Row],[Date_of_Birth]],NOW(),"Y")</f>
        <v>33</v>
      </c>
      <c r="H392" t="s">
        <v>811</v>
      </c>
      <c r="I392" t="s">
        <v>793</v>
      </c>
      <c r="J392" t="s">
        <v>808</v>
      </c>
    </row>
    <row r="393" spans="1:10" x14ac:dyDescent="0.3">
      <c r="A393" t="s">
        <v>121</v>
      </c>
      <c r="B393" t="s">
        <v>896</v>
      </c>
      <c r="C393" t="str">
        <f>UPPER(THrList[[#This Row],[Last_Name]])</f>
        <v>DIOP</v>
      </c>
      <c r="D393" t="s">
        <v>849</v>
      </c>
      <c r="E393" t="s">
        <v>797</v>
      </c>
      <c r="F393" s="1">
        <v>32643</v>
      </c>
      <c r="G393">
        <f ca="1">DATEDIF(THrList[[#This Row],[Date_of_Birth]],NOW(),"Y")</f>
        <v>36</v>
      </c>
      <c r="H393" t="s">
        <v>806</v>
      </c>
      <c r="I393" t="s">
        <v>793</v>
      </c>
      <c r="J393" t="s">
        <v>838</v>
      </c>
    </row>
    <row r="394" spans="1:10" x14ac:dyDescent="0.3">
      <c r="A394" t="s">
        <v>553</v>
      </c>
      <c r="B394" t="s">
        <v>910</v>
      </c>
      <c r="C394" t="str">
        <f>UPPER(THrList[[#This Row],[Last_Name]])</f>
        <v>KHAN</v>
      </c>
      <c r="D394" t="s">
        <v>939</v>
      </c>
      <c r="E394" t="s">
        <v>797</v>
      </c>
      <c r="F394" s="1">
        <v>24945</v>
      </c>
      <c r="G394">
        <f ca="1">DATEDIF(THrList[[#This Row],[Date_of_Birth]],NOW(),"Y")</f>
        <v>57</v>
      </c>
      <c r="H394" t="s">
        <v>811</v>
      </c>
      <c r="I394" t="s">
        <v>798</v>
      </c>
      <c r="J394" t="s">
        <v>1068</v>
      </c>
    </row>
    <row r="395" spans="1:10" x14ac:dyDescent="0.3">
      <c r="A395" t="s">
        <v>413</v>
      </c>
      <c r="B395" t="s">
        <v>832</v>
      </c>
      <c r="C395" t="str">
        <f>UPPER(THrList[[#This Row],[Last_Name]])</f>
        <v>FOURNIER</v>
      </c>
      <c r="D395" t="s">
        <v>885</v>
      </c>
      <c r="E395" t="s">
        <v>797</v>
      </c>
      <c r="F395" s="1">
        <v>27425</v>
      </c>
      <c r="G395">
        <f ca="1">DATEDIF(THrList[[#This Row],[Date_of_Birth]],NOW(),"Y")</f>
        <v>50</v>
      </c>
      <c r="H395" t="s">
        <v>811</v>
      </c>
      <c r="I395" t="s">
        <v>807</v>
      </c>
      <c r="J395" t="s">
        <v>814</v>
      </c>
    </row>
    <row r="396" spans="1:10" x14ac:dyDescent="0.3">
      <c r="A396" t="s">
        <v>634</v>
      </c>
      <c r="B396" t="s">
        <v>812</v>
      </c>
      <c r="C396" t="str">
        <f>UPPER(THrList[[#This Row],[Last_Name]])</f>
        <v>CAMARA</v>
      </c>
      <c r="D396" t="s">
        <v>801</v>
      </c>
      <c r="E396" t="s">
        <v>797</v>
      </c>
      <c r="F396" s="1">
        <v>31581</v>
      </c>
      <c r="G396">
        <f ca="1">DATEDIF(THrList[[#This Row],[Date_of_Birth]],NOW(),"Y")</f>
        <v>39</v>
      </c>
      <c r="H396" t="s">
        <v>811</v>
      </c>
      <c r="I396" t="s">
        <v>798</v>
      </c>
      <c r="J396" t="s">
        <v>823</v>
      </c>
    </row>
    <row r="397" spans="1:10" x14ac:dyDescent="0.3">
      <c r="A397" t="s">
        <v>655</v>
      </c>
      <c r="B397" t="s">
        <v>868</v>
      </c>
      <c r="C397" t="str">
        <f>UPPER(THrList[[#This Row],[Last_Name]])</f>
        <v>LOPEZ</v>
      </c>
      <c r="D397" t="s">
        <v>914</v>
      </c>
      <c r="E397" t="s">
        <v>797</v>
      </c>
      <c r="F397" s="1">
        <v>37883</v>
      </c>
      <c r="G397">
        <f ca="1">DATEDIF(THrList[[#This Row],[Date_of_Birth]],NOW(),"Y")</f>
        <v>22</v>
      </c>
      <c r="H397" t="s">
        <v>806</v>
      </c>
      <c r="I397" t="s">
        <v>798</v>
      </c>
      <c r="J397" t="s">
        <v>794</v>
      </c>
    </row>
    <row r="398" spans="1:10" x14ac:dyDescent="0.3">
      <c r="A398" t="s">
        <v>996</v>
      </c>
      <c r="B398" t="s">
        <v>826</v>
      </c>
      <c r="C398" t="str">
        <f>UPPER(THrList[[#This Row],[Last_Name]])</f>
        <v>RODRIGUEZ</v>
      </c>
      <c r="D398" t="s">
        <v>906</v>
      </c>
      <c r="E398" t="s">
        <v>791</v>
      </c>
      <c r="F398" s="1">
        <v>33951</v>
      </c>
      <c r="G398">
        <f ca="1">DATEDIF(THrList[[#This Row],[Date_of_Birth]],NOW(),"Y")</f>
        <v>33</v>
      </c>
      <c r="H398" t="s">
        <v>843</v>
      </c>
      <c r="I398" t="s">
        <v>807</v>
      </c>
      <c r="J398" t="s">
        <v>803</v>
      </c>
    </row>
    <row r="399" spans="1:10" x14ac:dyDescent="0.3">
      <c r="A399" t="s">
        <v>442</v>
      </c>
      <c r="B399" t="s">
        <v>855</v>
      </c>
      <c r="C399" t="str">
        <f>UPPER(THrList[[#This Row],[Last_Name]])</f>
        <v>TAYLOR</v>
      </c>
      <c r="D399" t="s">
        <v>825</v>
      </c>
      <c r="E399" t="s">
        <v>797</v>
      </c>
      <c r="F399" s="1">
        <v>28263</v>
      </c>
      <c r="G399">
        <f ca="1">DATEDIF(THrList[[#This Row],[Date_of_Birth]],NOW(),"Y")</f>
        <v>48</v>
      </c>
      <c r="H399" t="s">
        <v>792</v>
      </c>
      <c r="I399" t="s">
        <v>793</v>
      </c>
      <c r="J399" t="s">
        <v>799</v>
      </c>
    </row>
    <row r="400" spans="1:10" x14ac:dyDescent="0.3">
      <c r="A400" t="s">
        <v>540</v>
      </c>
      <c r="B400" t="s">
        <v>815</v>
      </c>
      <c r="C400" t="str">
        <f>UPPER(THrList[[#This Row],[Last_Name]])</f>
        <v>MARTIN</v>
      </c>
      <c r="D400" t="s">
        <v>822</v>
      </c>
      <c r="E400" t="s">
        <v>791</v>
      </c>
      <c r="F400" s="1">
        <v>33067</v>
      </c>
      <c r="G400">
        <f ca="1">DATEDIF(THrList[[#This Row],[Date_of_Birth]],NOW(),"Y")</f>
        <v>35</v>
      </c>
      <c r="H400" t="s">
        <v>806</v>
      </c>
      <c r="I400" t="s">
        <v>793</v>
      </c>
      <c r="J400" t="s">
        <v>838</v>
      </c>
    </row>
    <row r="401" spans="1:10" x14ac:dyDescent="0.3">
      <c r="A401" t="s">
        <v>368</v>
      </c>
      <c r="B401" t="s">
        <v>789</v>
      </c>
      <c r="C401" t="str">
        <f>UPPER(THrList[[#This Row],[Last_Name]])</f>
        <v>LEROY</v>
      </c>
      <c r="D401" t="s">
        <v>818</v>
      </c>
      <c r="E401" t="s">
        <v>797</v>
      </c>
      <c r="F401" s="1">
        <v>31074</v>
      </c>
      <c r="G401">
        <f ca="1">DATEDIF(THrList[[#This Row],[Date_of_Birth]],NOW(),"Y")</f>
        <v>40</v>
      </c>
      <c r="H401" t="s">
        <v>843</v>
      </c>
      <c r="I401" t="s">
        <v>807</v>
      </c>
      <c r="J401" t="s">
        <v>838</v>
      </c>
    </row>
    <row r="402" spans="1:10" x14ac:dyDescent="0.3">
      <c r="A402" t="s">
        <v>997</v>
      </c>
      <c r="B402" t="s">
        <v>882</v>
      </c>
      <c r="C402" t="str">
        <f>UPPER(THrList[[#This Row],[Last_Name]])</f>
        <v>WILLIAMS</v>
      </c>
      <c r="D402" t="s">
        <v>919</v>
      </c>
      <c r="E402" t="s">
        <v>797</v>
      </c>
      <c r="F402" s="1">
        <v>36604</v>
      </c>
      <c r="G402">
        <f ca="1">DATEDIF(THrList[[#This Row],[Date_of_Birth]],NOW(),"Y")</f>
        <v>25</v>
      </c>
      <c r="H402" t="s">
        <v>811</v>
      </c>
      <c r="I402" t="s">
        <v>807</v>
      </c>
      <c r="J402" t="s">
        <v>814</v>
      </c>
    </row>
    <row r="403" spans="1:10" x14ac:dyDescent="0.3">
      <c r="A403" t="s">
        <v>416</v>
      </c>
      <c r="B403" t="s">
        <v>863</v>
      </c>
      <c r="C403" t="str">
        <f>UPPER(THrList[[#This Row],[Last_Name]])</f>
        <v>THOMAS</v>
      </c>
      <c r="D403" t="s">
        <v>810</v>
      </c>
      <c r="E403" t="s">
        <v>791</v>
      </c>
      <c r="F403" s="1">
        <v>36119</v>
      </c>
      <c r="G403">
        <f ca="1">DATEDIF(THrList[[#This Row],[Date_of_Birth]],NOW(),"Y")</f>
        <v>27</v>
      </c>
      <c r="H403" t="s">
        <v>806</v>
      </c>
      <c r="I403" t="s">
        <v>798</v>
      </c>
      <c r="J403" t="s">
        <v>808</v>
      </c>
    </row>
    <row r="404" spans="1:10" x14ac:dyDescent="0.3">
      <c r="A404" t="s">
        <v>275</v>
      </c>
      <c r="B404" t="s">
        <v>917</v>
      </c>
      <c r="C404" t="str">
        <f>UPPER(THrList[[#This Row],[Last_Name]])</f>
        <v>LAURENT</v>
      </c>
      <c r="D404" t="s">
        <v>919</v>
      </c>
      <c r="E404" t="s">
        <v>791</v>
      </c>
      <c r="F404" s="1">
        <v>35999</v>
      </c>
      <c r="G404">
        <f ca="1">DATEDIF(THrList[[#This Row],[Date_of_Birth]],NOW(),"Y")</f>
        <v>27</v>
      </c>
      <c r="H404" t="s">
        <v>806</v>
      </c>
      <c r="I404" t="s">
        <v>807</v>
      </c>
      <c r="J404" t="s">
        <v>794</v>
      </c>
    </row>
    <row r="405" spans="1:10" x14ac:dyDescent="0.3">
      <c r="A405" t="s">
        <v>998</v>
      </c>
      <c r="B405" t="s">
        <v>892</v>
      </c>
      <c r="C405" t="str">
        <f>UPPER(THrList[[#This Row],[Last_Name]])</f>
        <v>BALDE</v>
      </c>
      <c r="D405" t="s">
        <v>906</v>
      </c>
      <c r="E405" t="s">
        <v>797</v>
      </c>
      <c r="F405" s="1">
        <v>38291</v>
      </c>
      <c r="G405">
        <f ca="1">DATEDIF(THrList[[#This Row],[Date_of_Birth]],NOW(),"Y")</f>
        <v>21</v>
      </c>
      <c r="H405" t="s">
        <v>806</v>
      </c>
      <c r="I405" t="s">
        <v>807</v>
      </c>
      <c r="J405" t="s">
        <v>803</v>
      </c>
    </row>
    <row r="406" spans="1:10" x14ac:dyDescent="0.3">
      <c r="A406" t="s">
        <v>675</v>
      </c>
      <c r="B406" t="s">
        <v>836</v>
      </c>
      <c r="C406" t="str">
        <f>UPPER(THrList[[#This Row],[Last_Name]])</f>
        <v>ANDERSON</v>
      </c>
      <c r="D406" t="s">
        <v>900</v>
      </c>
      <c r="E406" t="s">
        <v>791</v>
      </c>
      <c r="F406" s="1">
        <v>27719</v>
      </c>
      <c r="G406">
        <f ca="1">DATEDIF(THrList[[#This Row],[Date_of_Birth]],NOW(),"Y")</f>
        <v>50</v>
      </c>
      <c r="H406" t="s">
        <v>806</v>
      </c>
      <c r="I406" t="s">
        <v>807</v>
      </c>
      <c r="J406" t="s">
        <v>838</v>
      </c>
    </row>
    <row r="407" spans="1:10" x14ac:dyDescent="0.3">
      <c r="A407" t="s">
        <v>93</v>
      </c>
      <c r="B407" t="s">
        <v>913</v>
      </c>
      <c r="C407" t="str">
        <f>UPPER(THrList[[#This Row],[Last_Name]])</f>
        <v>MERCIER</v>
      </c>
      <c r="D407" t="s">
        <v>810</v>
      </c>
      <c r="E407" t="s">
        <v>797</v>
      </c>
      <c r="F407" s="1">
        <v>35204</v>
      </c>
      <c r="G407">
        <f ca="1">DATEDIF(THrList[[#This Row],[Date_of_Birth]],NOW(),"Y")</f>
        <v>29</v>
      </c>
      <c r="H407" t="s">
        <v>843</v>
      </c>
      <c r="I407" t="s">
        <v>793</v>
      </c>
      <c r="J407" t="s">
        <v>803</v>
      </c>
    </row>
    <row r="408" spans="1:10" x14ac:dyDescent="0.3">
      <c r="A408" t="s">
        <v>267</v>
      </c>
      <c r="B408" t="s">
        <v>917</v>
      </c>
      <c r="C408" t="str">
        <f>UPPER(THrList[[#This Row],[Last_Name]])</f>
        <v>LAURENT</v>
      </c>
      <c r="D408" t="s">
        <v>870</v>
      </c>
      <c r="E408" t="s">
        <v>791</v>
      </c>
      <c r="F408" s="1">
        <v>27574</v>
      </c>
      <c r="G408">
        <f ca="1">DATEDIF(THrList[[#This Row],[Date_of_Birth]],NOW(),"Y")</f>
        <v>50</v>
      </c>
      <c r="H408" t="s">
        <v>792</v>
      </c>
      <c r="I408" t="s">
        <v>798</v>
      </c>
      <c r="J408" t="s">
        <v>794</v>
      </c>
    </row>
    <row r="409" spans="1:10" x14ac:dyDescent="0.3">
      <c r="A409" t="s">
        <v>89</v>
      </c>
      <c r="B409" t="s">
        <v>881</v>
      </c>
      <c r="C409" t="str">
        <f>UPPER(THrList[[#This Row],[Last_Name]])</f>
        <v>IBRAHIM</v>
      </c>
      <c r="D409" t="s">
        <v>899</v>
      </c>
      <c r="E409" t="s">
        <v>797</v>
      </c>
      <c r="F409" s="1">
        <v>35417</v>
      </c>
      <c r="G409">
        <f ca="1">DATEDIF(THrList[[#This Row],[Date_of_Birth]],NOW(),"Y")</f>
        <v>29</v>
      </c>
      <c r="H409" t="s">
        <v>806</v>
      </c>
      <c r="I409" t="s">
        <v>807</v>
      </c>
      <c r="J409" t="s">
        <v>835</v>
      </c>
    </row>
    <row r="410" spans="1:10" x14ac:dyDescent="0.3">
      <c r="A410" t="s">
        <v>246</v>
      </c>
      <c r="B410" t="s">
        <v>863</v>
      </c>
      <c r="C410" t="str">
        <f>UPPER(THrList[[#This Row],[Last_Name]])</f>
        <v>THOMAS</v>
      </c>
      <c r="D410" t="s">
        <v>880</v>
      </c>
      <c r="E410" t="s">
        <v>797</v>
      </c>
      <c r="F410" s="1">
        <v>33064</v>
      </c>
      <c r="G410">
        <f ca="1">DATEDIF(THrList[[#This Row],[Date_of_Birth]],NOW(),"Y")</f>
        <v>35</v>
      </c>
      <c r="H410" t="s">
        <v>806</v>
      </c>
      <c r="I410" t="s">
        <v>793</v>
      </c>
      <c r="J410" t="s">
        <v>803</v>
      </c>
    </row>
    <row r="411" spans="1:10" x14ac:dyDescent="0.3">
      <c r="A411" t="s">
        <v>999</v>
      </c>
      <c r="B411" t="s">
        <v>804</v>
      </c>
      <c r="C411" t="str">
        <f>UPPER(THrList[[#This Row],[Last_Name]])</f>
        <v>SMITH</v>
      </c>
      <c r="D411" t="s">
        <v>827</v>
      </c>
      <c r="E411" t="s">
        <v>797</v>
      </c>
      <c r="F411" s="1">
        <v>36033</v>
      </c>
      <c r="G411">
        <f ca="1">DATEDIF(THrList[[#This Row],[Date_of_Birth]],NOW(),"Y")</f>
        <v>27</v>
      </c>
      <c r="H411" t="s">
        <v>806</v>
      </c>
      <c r="I411" t="s">
        <v>807</v>
      </c>
      <c r="J411" t="s">
        <v>838</v>
      </c>
    </row>
    <row r="412" spans="1:10" x14ac:dyDescent="0.3">
      <c r="A412" t="s">
        <v>511</v>
      </c>
      <c r="B412" t="s">
        <v>826</v>
      </c>
      <c r="C412" t="str">
        <f>UPPER(THrList[[#This Row],[Last_Name]])</f>
        <v>RODRIGUEZ</v>
      </c>
      <c r="D412" t="s">
        <v>805</v>
      </c>
      <c r="E412" t="s">
        <v>791</v>
      </c>
      <c r="F412" s="1">
        <v>37958</v>
      </c>
      <c r="G412">
        <f ca="1">DATEDIF(THrList[[#This Row],[Date_of_Birth]],NOW(),"Y")</f>
        <v>22</v>
      </c>
      <c r="H412" t="s">
        <v>806</v>
      </c>
      <c r="I412" t="s">
        <v>798</v>
      </c>
      <c r="J412" t="s">
        <v>808</v>
      </c>
    </row>
    <row r="413" spans="1:10" x14ac:dyDescent="0.3">
      <c r="A413" t="s">
        <v>206</v>
      </c>
      <c r="B413" t="s">
        <v>911</v>
      </c>
      <c r="C413" t="str">
        <f>UPPER(THrList[[#This Row],[Last_Name]])</f>
        <v>BROWN</v>
      </c>
      <c r="D413" t="s">
        <v>834</v>
      </c>
      <c r="E413" t="s">
        <v>791</v>
      </c>
      <c r="F413" s="1">
        <v>37913</v>
      </c>
      <c r="G413">
        <f ca="1">DATEDIF(THrList[[#This Row],[Date_of_Birth]],NOW(),"Y")</f>
        <v>22</v>
      </c>
      <c r="H413" t="s">
        <v>792</v>
      </c>
      <c r="I413" t="s">
        <v>798</v>
      </c>
      <c r="J413" t="s">
        <v>838</v>
      </c>
    </row>
    <row r="414" spans="1:10" x14ac:dyDescent="0.3">
      <c r="A414" t="s">
        <v>566</v>
      </c>
      <c r="B414" t="s">
        <v>904</v>
      </c>
      <c r="C414" t="str">
        <f>UPPER(THrList[[#This Row],[Last_Name]])</f>
        <v>SINGH</v>
      </c>
      <c r="D414" t="s">
        <v>830</v>
      </c>
      <c r="E414" t="s">
        <v>791</v>
      </c>
      <c r="F414" s="1">
        <v>34244</v>
      </c>
      <c r="G414">
        <f ca="1">DATEDIF(THrList[[#This Row],[Date_of_Birth]],NOW(),"Y")</f>
        <v>32</v>
      </c>
      <c r="H414" t="s">
        <v>843</v>
      </c>
      <c r="I414" t="s">
        <v>798</v>
      </c>
      <c r="J414" t="s">
        <v>794</v>
      </c>
    </row>
    <row r="415" spans="1:10" x14ac:dyDescent="0.3">
      <c r="A415" t="s">
        <v>1000</v>
      </c>
      <c r="B415" t="s">
        <v>824</v>
      </c>
      <c r="C415" t="str">
        <f>UPPER(THrList[[#This Row],[Last_Name]])</f>
        <v>SOW</v>
      </c>
      <c r="D415" t="s">
        <v>864</v>
      </c>
      <c r="E415" t="s">
        <v>791</v>
      </c>
      <c r="F415" s="1">
        <v>37121</v>
      </c>
      <c r="G415">
        <f ca="1">DATEDIF(THrList[[#This Row],[Date_of_Birth]],NOW(),"Y")</f>
        <v>24</v>
      </c>
      <c r="H415" t="s">
        <v>811</v>
      </c>
      <c r="I415" t="s">
        <v>793</v>
      </c>
      <c r="J415" t="s">
        <v>794</v>
      </c>
    </row>
    <row r="416" spans="1:10" x14ac:dyDescent="0.3">
      <c r="A416" t="s">
        <v>510</v>
      </c>
      <c r="B416" t="s">
        <v>887</v>
      </c>
      <c r="C416" t="str">
        <f>UPPER(THrList[[#This Row],[Last_Name]])</f>
        <v>TOURE</v>
      </c>
      <c r="D416" t="s">
        <v>900</v>
      </c>
      <c r="E416" t="s">
        <v>797</v>
      </c>
      <c r="F416" s="1">
        <v>28443</v>
      </c>
      <c r="G416">
        <f ca="1">DATEDIF(THrList[[#This Row],[Date_of_Birth]],NOW(),"Y")</f>
        <v>48</v>
      </c>
      <c r="H416" t="s">
        <v>806</v>
      </c>
      <c r="I416" t="s">
        <v>798</v>
      </c>
      <c r="J416" t="s">
        <v>808</v>
      </c>
    </row>
    <row r="417" spans="1:10" x14ac:dyDescent="0.3">
      <c r="A417" t="s">
        <v>186</v>
      </c>
      <c r="B417" t="s">
        <v>840</v>
      </c>
      <c r="C417" t="str">
        <f>UPPER(THrList[[#This Row],[Last_Name]])</f>
        <v>PETIT</v>
      </c>
      <c r="D417" t="s">
        <v>822</v>
      </c>
      <c r="E417" t="s">
        <v>797</v>
      </c>
      <c r="F417" s="1">
        <v>33372</v>
      </c>
      <c r="G417">
        <f ca="1">DATEDIF(THrList[[#This Row],[Date_of_Birth]],NOW(),"Y")</f>
        <v>34</v>
      </c>
      <c r="H417" t="s">
        <v>811</v>
      </c>
      <c r="I417" t="s">
        <v>798</v>
      </c>
      <c r="J417" t="s">
        <v>823</v>
      </c>
    </row>
    <row r="418" spans="1:10" x14ac:dyDescent="0.3">
      <c r="A418" t="s">
        <v>254</v>
      </c>
      <c r="B418" t="s">
        <v>911</v>
      </c>
      <c r="C418" t="str">
        <f>UPPER(THrList[[#This Row],[Last_Name]])</f>
        <v>BROWN</v>
      </c>
      <c r="D418" t="s">
        <v>837</v>
      </c>
      <c r="E418" t="s">
        <v>791</v>
      </c>
      <c r="F418" s="1">
        <v>32815</v>
      </c>
      <c r="G418">
        <f ca="1">DATEDIF(THrList[[#This Row],[Date_of_Birth]],NOW(),"Y")</f>
        <v>36</v>
      </c>
      <c r="H418" t="s">
        <v>806</v>
      </c>
      <c r="I418" t="s">
        <v>793</v>
      </c>
      <c r="J418" t="s">
        <v>799</v>
      </c>
    </row>
    <row r="419" spans="1:10" x14ac:dyDescent="0.3">
      <c r="A419" t="s">
        <v>1001</v>
      </c>
      <c r="B419" t="s">
        <v>809</v>
      </c>
      <c r="C419" t="str">
        <f>UPPER(THrList[[#This Row],[Last_Name]])</f>
        <v>TRAORE</v>
      </c>
      <c r="D419" t="s">
        <v>801</v>
      </c>
      <c r="E419" t="s">
        <v>797</v>
      </c>
      <c r="F419" s="1">
        <v>28572</v>
      </c>
      <c r="G419">
        <f ca="1">DATEDIF(THrList[[#This Row],[Date_of_Birth]],NOW(),"Y")</f>
        <v>47</v>
      </c>
      <c r="H419" t="s">
        <v>843</v>
      </c>
      <c r="I419" t="s">
        <v>798</v>
      </c>
      <c r="J419" t="s">
        <v>838</v>
      </c>
    </row>
    <row r="420" spans="1:10" x14ac:dyDescent="0.3">
      <c r="A420" t="s">
        <v>229</v>
      </c>
      <c r="B420" t="s">
        <v>836</v>
      </c>
      <c r="C420" t="str">
        <f>UPPER(THrList[[#This Row],[Last_Name]])</f>
        <v>ANDERSON</v>
      </c>
      <c r="D420" t="s">
        <v>852</v>
      </c>
      <c r="E420" t="s">
        <v>797</v>
      </c>
      <c r="F420" s="1">
        <v>35167</v>
      </c>
      <c r="G420">
        <f ca="1">DATEDIF(THrList[[#This Row],[Date_of_Birth]],NOW(),"Y")</f>
        <v>29</v>
      </c>
      <c r="H420" t="s">
        <v>792</v>
      </c>
      <c r="I420" t="s">
        <v>807</v>
      </c>
      <c r="J420" t="s">
        <v>814</v>
      </c>
    </row>
    <row r="421" spans="1:10" x14ac:dyDescent="0.3">
      <c r="A421" t="s">
        <v>313</v>
      </c>
      <c r="B421" t="s">
        <v>917</v>
      </c>
      <c r="C421" t="str">
        <f>UPPER(THrList[[#This Row],[Last_Name]])</f>
        <v>LAURENT</v>
      </c>
      <c r="D421" t="s">
        <v>901</v>
      </c>
      <c r="E421" t="s">
        <v>791</v>
      </c>
      <c r="F421" s="1">
        <v>26119</v>
      </c>
      <c r="G421">
        <f ca="1">DATEDIF(THrList[[#This Row],[Date_of_Birth]],NOW(),"Y")</f>
        <v>54</v>
      </c>
      <c r="H421" t="s">
        <v>792</v>
      </c>
      <c r="I421" t="s">
        <v>793</v>
      </c>
      <c r="J421" t="s">
        <v>803</v>
      </c>
    </row>
    <row r="422" spans="1:10" x14ac:dyDescent="0.3">
      <c r="A422" t="s">
        <v>338</v>
      </c>
      <c r="B422" t="s">
        <v>937</v>
      </c>
      <c r="C422" t="str">
        <f>UPPER(THrList[[#This Row],[Last_Name]])</f>
        <v>KOUASSI</v>
      </c>
      <c r="D422" t="s">
        <v>822</v>
      </c>
      <c r="E422" t="s">
        <v>791</v>
      </c>
      <c r="F422" s="1">
        <v>30670</v>
      </c>
      <c r="G422">
        <f ca="1">DATEDIF(THrList[[#This Row],[Date_of_Birth]],NOW(),"Y")</f>
        <v>41</v>
      </c>
      <c r="H422" t="s">
        <v>792</v>
      </c>
      <c r="I422" t="s">
        <v>793</v>
      </c>
      <c r="J422" t="s">
        <v>835</v>
      </c>
    </row>
    <row r="423" spans="1:10" x14ac:dyDescent="0.3">
      <c r="A423" t="s">
        <v>627</v>
      </c>
      <c r="B423" t="s">
        <v>824</v>
      </c>
      <c r="C423" t="str">
        <f>UPPER(THrList[[#This Row],[Last_Name]])</f>
        <v>SOW</v>
      </c>
      <c r="D423" t="s">
        <v>873</v>
      </c>
      <c r="E423" t="s">
        <v>791</v>
      </c>
      <c r="F423" s="1">
        <v>27422</v>
      </c>
      <c r="G423">
        <f ca="1">DATEDIF(THrList[[#This Row],[Date_of_Birth]],NOW(),"Y")</f>
        <v>50</v>
      </c>
      <c r="H423" t="s">
        <v>843</v>
      </c>
      <c r="I423" t="s">
        <v>807</v>
      </c>
      <c r="J423" t="s">
        <v>819</v>
      </c>
    </row>
    <row r="424" spans="1:10" x14ac:dyDescent="0.3">
      <c r="A424" t="s">
        <v>736</v>
      </c>
      <c r="B424" t="s">
        <v>904</v>
      </c>
      <c r="C424" t="str">
        <f>UPPER(THrList[[#This Row],[Last_Name]])</f>
        <v>SINGH</v>
      </c>
      <c r="D424" t="s">
        <v>932</v>
      </c>
      <c r="E424" t="s">
        <v>791</v>
      </c>
      <c r="F424" s="1">
        <v>25921</v>
      </c>
      <c r="G424">
        <f ca="1">DATEDIF(THrList[[#This Row],[Date_of_Birth]],NOW(),"Y")</f>
        <v>54</v>
      </c>
      <c r="H424" t="s">
        <v>843</v>
      </c>
      <c r="I424" t="s">
        <v>793</v>
      </c>
      <c r="J424" t="s">
        <v>823</v>
      </c>
    </row>
    <row r="425" spans="1:10" x14ac:dyDescent="0.3">
      <c r="A425" t="s">
        <v>148</v>
      </c>
      <c r="B425" t="s">
        <v>847</v>
      </c>
      <c r="C425" t="str">
        <f>UPPER(THrList[[#This Row],[Last_Name]])</f>
        <v>ALI</v>
      </c>
      <c r="D425" t="s">
        <v>878</v>
      </c>
      <c r="E425" t="s">
        <v>797</v>
      </c>
      <c r="F425" s="1">
        <v>29542</v>
      </c>
      <c r="G425">
        <f ca="1">DATEDIF(THrList[[#This Row],[Date_of_Birth]],NOW(),"Y")</f>
        <v>45</v>
      </c>
      <c r="H425" t="s">
        <v>843</v>
      </c>
      <c r="I425" t="s">
        <v>798</v>
      </c>
      <c r="J425" t="s">
        <v>819</v>
      </c>
    </row>
    <row r="426" spans="1:10" x14ac:dyDescent="0.3">
      <c r="A426" t="s">
        <v>1002</v>
      </c>
      <c r="B426" t="s">
        <v>789</v>
      </c>
      <c r="C426" t="str">
        <f>UPPER(THrList[[#This Row],[Last_Name]])</f>
        <v>LEROY</v>
      </c>
      <c r="D426" t="s">
        <v>810</v>
      </c>
      <c r="E426" t="s">
        <v>797</v>
      </c>
      <c r="F426" s="1">
        <v>31869</v>
      </c>
      <c r="G426">
        <f ca="1">DATEDIF(THrList[[#This Row],[Date_of_Birth]],NOW(),"Y")</f>
        <v>38</v>
      </c>
      <c r="H426" t="s">
        <v>811</v>
      </c>
      <c r="I426" t="s">
        <v>793</v>
      </c>
      <c r="J426" t="s">
        <v>803</v>
      </c>
    </row>
    <row r="427" spans="1:10" x14ac:dyDescent="0.3">
      <c r="A427" t="s">
        <v>1003</v>
      </c>
      <c r="B427" t="s">
        <v>802</v>
      </c>
      <c r="C427" t="str">
        <f>UPPER(THrList[[#This Row],[Last_Name]])</f>
        <v>GARCIA</v>
      </c>
      <c r="D427" t="s">
        <v>918</v>
      </c>
      <c r="E427" t="s">
        <v>791</v>
      </c>
      <c r="F427" s="1">
        <v>34323</v>
      </c>
      <c r="G427">
        <f ca="1">DATEDIF(THrList[[#This Row],[Date_of_Birth]],NOW(),"Y")</f>
        <v>31</v>
      </c>
      <c r="H427" t="s">
        <v>806</v>
      </c>
      <c r="I427" t="s">
        <v>793</v>
      </c>
      <c r="J427" t="s">
        <v>794</v>
      </c>
    </row>
    <row r="428" spans="1:10" x14ac:dyDescent="0.3">
      <c r="A428" t="s">
        <v>625</v>
      </c>
      <c r="B428" t="s">
        <v>832</v>
      </c>
      <c r="C428" t="str">
        <f>UPPER(THrList[[#This Row],[Last_Name]])</f>
        <v>FOURNIER</v>
      </c>
      <c r="D428" t="s">
        <v>825</v>
      </c>
      <c r="E428" t="s">
        <v>797</v>
      </c>
      <c r="F428" s="1">
        <v>31520</v>
      </c>
      <c r="G428">
        <f ca="1">DATEDIF(THrList[[#This Row],[Date_of_Birth]],NOW(),"Y")</f>
        <v>39</v>
      </c>
      <c r="H428" t="s">
        <v>792</v>
      </c>
      <c r="I428" t="s">
        <v>798</v>
      </c>
      <c r="J428" t="s">
        <v>819</v>
      </c>
    </row>
    <row r="429" spans="1:10" x14ac:dyDescent="0.3">
      <c r="A429" t="s">
        <v>72</v>
      </c>
      <c r="B429" t="s">
        <v>833</v>
      </c>
      <c r="C429" t="str">
        <f>UPPER(THrList[[#This Row],[Last_Name]])</f>
        <v>JONES</v>
      </c>
      <c r="D429" t="s">
        <v>864</v>
      </c>
      <c r="E429" t="s">
        <v>791</v>
      </c>
      <c r="F429" s="1">
        <v>32475</v>
      </c>
      <c r="G429">
        <f ca="1">DATEDIF(THrList[[#This Row],[Date_of_Birth]],NOW(),"Y")</f>
        <v>37</v>
      </c>
      <c r="H429" t="s">
        <v>843</v>
      </c>
      <c r="I429" t="s">
        <v>807</v>
      </c>
      <c r="J429" t="s">
        <v>823</v>
      </c>
    </row>
    <row r="430" spans="1:10" x14ac:dyDescent="0.3">
      <c r="A430" t="s">
        <v>426</v>
      </c>
      <c r="B430" t="s">
        <v>872</v>
      </c>
      <c r="C430" t="str">
        <f>UPPER(THrList[[#This Row],[Last_Name]])</f>
        <v>DIALLO</v>
      </c>
      <c r="D430" t="s">
        <v>915</v>
      </c>
      <c r="E430" t="s">
        <v>797</v>
      </c>
      <c r="F430" s="1">
        <v>27413</v>
      </c>
      <c r="G430">
        <f ca="1">DATEDIF(THrList[[#This Row],[Date_of_Birth]],NOW(),"Y")</f>
        <v>50</v>
      </c>
      <c r="H430" t="s">
        <v>843</v>
      </c>
      <c r="I430" t="s">
        <v>807</v>
      </c>
      <c r="J430" t="s">
        <v>835</v>
      </c>
    </row>
    <row r="431" spans="1:10" x14ac:dyDescent="0.3">
      <c r="A431" t="s">
        <v>337</v>
      </c>
      <c r="B431" t="s">
        <v>866</v>
      </c>
      <c r="C431" t="str">
        <f>UPPER(THrList[[#This Row],[Last_Name]])</f>
        <v>ABDULLAH</v>
      </c>
      <c r="D431" t="s">
        <v>900</v>
      </c>
      <c r="E431" t="s">
        <v>791</v>
      </c>
      <c r="F431" s="1">
        <v>36691</v>
      </c>
      <c r="G431">
        <f ca="1">DATEDIF(THrList[[#This Row],[Date_of_Birth]],NOW(),"Y")</f>
        <v>25</v>
      </c>
      <c r="H431" t="s">
        <v>843</v>
      </c>
      <c r="I431" t="s">
        <v>798</v>
      </c>
      <c r="J431" t="s">
        <v>814</v>
      </c>
    </row>
    <row r="432" spans="1:10" x14ac:dyDescent="0.3">
      <c r="A432" t="s">
        <v>724</v>
      </c>
      <c r="B432" t="s">
        <v>869</v>
      </c>
      <c r="C432" t="str">
        <f>UPPER(THrList[[#This Row],[Last_Name]])</f>
        <v>MILLER</v>
      </c>
      <c r="D432" t="s">
        <v>873</v>
      </c>
      <c r="E432" t="s">
        <v>791</v>
      </c>
      <c r="F432" s="1">
        <v>33658</v>
      </c>
      <c r="G432">
        <f ca="1">DATEDIF(THrList[[#This Row],[Date_of_Birth]],NOW(),"Y")</f>
        <v>33</v>
      </c>
      <c r="H432" t="s">
        <v>843</v>
      </c>
      <c r="I432" t="s">
        <v>807</v>
      </c>
      <c r="J432" t="s">
        <v>838</v>
      </c>
    </row>
    <row r="433" spans="1:10" x14ac:dyDescent="0.3">
      <c r="A433" t="s">
        <v>321</v>
      </c>
      <c r="B433" t="s">
        <v>898</v>
      </c>
      <c r="C433" t="str">
        <f>UPPER(THrList[[#This Row],[Last_Name]])</f>
        <v>MOREAU</v>
      </c>
      <c r="D433" t="s">
        <v>801</v>
      </c>
      <c r="E433" t="s">
        <v>797</v>
      </c>
      <c r="F433" s="1">
        <v>25463</v>
      </c>
      <c r="G433">
        <f ca="1">DATEDIF(THrList[[#This Row],[Date_of_Birth]],NOW(),"Y")</f>
        <v>56</v>
      </c>
      <c r="H433" t="s">
        <v>843</v>
      </c>
      <c r="I433" t="s">
        <v>807</v>
      </c>
      <c r="J433" t="s">
        <v>835</v>
      </c>
    </row>
    <row r="434" spans="1:10" x14ac:dyDescent="0.3">
      <c r="A434" t="s">
        <v>739</v>
      </c>
      <c r="B434" t="s">
        <v>802</v>
      </c>
      <c r="C434" t="str">
        <f>UPPER(THrList[[#This Row],[Last_Name]])</f>
        <v>GARCIA</v>
      </c>
      <c r="D434" t="s">
        <v>885</v>
      </c>
      <c r="E434" t="s">
        <v>791</v>
      </c>
      <c r="F434" s="1">
        <v>26013</v>
      </c>
      <c r="G434">
        <f ca="1">DATEDIF(THrList[[#This Row],[Date_of_Birth]],NOW(),"Y")</f>
        <v>54</v>
      </c>
      <c r="H434" t="s">
        <v>843</v>
      </c>
      <c r="I434" t="s">
        <v>798</v>
      </c>
      <c r="J434" t="s">
        <v>808</v>
      </c>
    </row>
    <row r="435" spans="1:10" x14ac:dyDescent="0.3">
      <c r="A435" t="s">
        <v>499</v>
      </c>
      <c r="B435" t="s">
        <v>832</v>
      </c>
      <c r="C435" t="str">
        <f>UPPER(THrList[[#This Row],[Last_Name]])</f>
        <v>FOURNIER</v>
      </c>
      <c r="D435" t="s">
        <v>883</v>
      </c>
      <c r="E435" t="s">
        <v>791</v>
      </c>
      <c r="F435" s="1">
        <v>34515</v>
      </c>
      <c r="G435">
        <f ca="1">DATEDIF(THrList[[#This Row],[Date_of_Birth]],NOW(),"Y")</f>
        <v>31</v>
      </c>
      <c r="H435" t="s">
        <v>792</v>
      </c>
      <c r="I435" t="s">
        <v>793</v>
      </c>
      <c r="J435" t="s">
        <v>835</v>
      </c>
    </row>
    <row r="436" spans="1:10" x14ac:dyDescent="0.3">
      <c r="A436" t="s">
        <v>179</v>
      </c>
      <c r="B436" t="s">
        <v>855</v>
      </c>
      <c r="C436" t="str">
        <f>UPPER(THrList[[#This Row],[Last_Name]])</f>
        <v>TAYLOR</v>
      </c>
      <c r="D436" t="s">
        <v>870</v>
      </c>
      <c r="E436" t="s">
        <v>791</v>
      </c>
      <c r="F436" s="1">
        <v>30229</v>
      </c>
      <c r="G436">
        <f ca="1">DATEDIF(THrList[[#This Row],[Date_of_Birth]],NOW(),"Y")</f>
        <v>43</v>
      </c>
      <c r="H436" t="s">
        <v>811</v>
      </c>
      <c r="I436" t="s">
        <v>807</v>
      </c>
      <c r="J436" t="s">
        <v>803</v>
      </c>
    </row>
    <row r="437" spans="1:10" x14ac:dyDescent="0.3">
      <c r="A437" t="s">
        <v>232</v>
      </c>
      <c r="B437" t="s">
        <v>845</v>
      </c>
      <c r="C437" t="str">
        <f>UPPER(THrList[[#This Row],[Last_Name]])</f>
        <v>WILSON</v>
      </c>
      <c r="D437" t="s">
        <v>893</v>
      </c>
      <c r="E437" t="s">
        <v>797</v>
      </c>
      <c r="F437" s="1">
        <v>31136</v>
      </c>
      <c r="G437">
        <f ca="1">DATEDIF(THrList[[#This Row],[Date_of_Birth]],NOW(),"Y")</f>
        <v>40</v>
      </c>
      <c r="H437" t="s">
        <v>811</v>
      </c>
      <c r="I437" t="s">
        <v>798</v>
      </c>
      <c r="J437" t="s">
        <v>814</v>
      </c>
    </row>
    <row r="438" spans="1:10" x14ac:dyDescent="0.3">
      <c r="A438" t="s">
        <v>183</v>
      </c>
      <c r="B438" t="s">
        <v>909</v>
      </c>
      <c r="C438" t="str">
        <f>UPPER(THrList[[#This Row],[Last_Name]])</f>
        <v>DAVIS</v>
      </c>
      <c r="D438" t="s">
        <v>837</v>
      </c>
      <c r="E438" t="s">
        <v>797</v>
      </c>
      <c r="F438" s="1">
        <v>31069</v>
      </c>
      <c r="G438">
        <f ca="1">DATEDIF(THrList[[#This Row],[Date_of_Birth]],NOW(),"Y")</f>
        <v>40</v>
      </c>
      <c r="H438" t="s">
        <v>806</v>
      </c>
      <c r="I438" t="s">
        <v>798</v>
      </c>
      <c r="J438" t="s">
        <v>799</v>
      </c>
    </row>
    <row r="439" spans="1:10" x14ac:dyDescent="0.3">
      <c r="A439" t="s">
        <v>1004</v>
      </c>
      <c r="B439" t="s">
        <v>896</v>
      </c>
      <c r="C439" t="str">
        <f>UPPER(THrList[[#This Row],[Last_Name]])</f>
        <v>DIOP</v>
      </c>
      <c r="D439" t="s">
        <v>926</v>
      </c>
      <c r="E439" t="s">
        <v>791</v>
      </c>
      <c r="F439" s="1">
        <v>31084</v>
      </c>
      <c r="G439">
        <f ca="1">DATEDIF(THrList[[#This Row],[Date_of_Birth]],NOW(),"Y")</f>
        <v>40</v>
      </c>
      <c r="H439" t="s">
        <v>792</v>
      </c>
      <c r="I439" t="s">
        <v>793</v>
      </c>
      <c r="J439" t="s">
        <v>814</v>
      </c>
    </row>
    <row r="440" spans="1:10" x14ac:dyDescent="0.3">
      <c r="A440" t="s">
        <v>1005</v>
      </c>
      <c r="B440" t="s">
        <v>882</v>
      </c>
      <c r="C440" t="str">
        <f>UPPER(THrList[[#This Row],[Last_Name]])</f>
        <v>WILLIAMS</v>
      </c>
      <c r="D440" t="s">
        <v>878</v>
      </c>
      <c r="E440" t="s">
        <v>791</v>
      </c>
      <c r="F440" s="1">
        <v>30844</v>
      </c>
      <c r="G440">
        <f ca="1">DATEDIF(THrList[[#This Row],[Date_of_Birth]],NOW(),"Y")</f>
        <v>41</v>
      </c>
      <c r="H440" t="s">
        <v>806</v>
      </c>
      <c r="I440" t="s">
        <v>807</v>
      </c>
      <c r="J440" t="s">
        <v>799</v>
      </c>
    </row>
    <row r="441" spans="1:10" x14ac:dyDescent="0.3">
      <c r="A441" t="s">
        <v>1006</v>
      </c>
      <c r="B441" t="s">
        <v>892</v>
      </c>
      <c r="C441" t="str">
        <f>UPPER(THrList[[#This Row],[Last_Name]])</f>
        <v>BALDE</v>
      </c>
      <c r="D441" t="s">
        <v>825</v>
      </c>
      <c r="E441" t="s">
        <v>797</v>
      </c>
      <c r="F441" s="1">
        <v>27162</v>
      </c>
      <c r="G441">
        <f ca="1">DATEDIF(THrList[[#This Row],[Date_of_Birth]],NOW(),"Y")</f>
        <v>51</v>
      </c>
      <c r="H441" t="s">
        <v>792</v>
      </c>
      <c r="I441" t="s">
        <v>807</v>
      </c>
      <c r="J441" t="s">
        <v>838</v>
      </c>
    </row>
    <row r="442" spans="1:10" x14ac:dyDescent="0.3">
      <c r="A442" t="s">
        <v>221</v>
      </c>
      <c r="B442" t="s">
        <v>910</v>
      </c>
      <c r="C442" t="str">
        <f>UPPER(THrList[[#This Row],[Last_Name]])</f>
        <v>KHAN</v>
      </c>
      <c r="D442" t="s">
        <v>893</v>
      </c>
      <c r="E442" t="s">
        <v>797</v>
      </c>
      <c r="F442" s="1">
        <v>27348</v>
      </c>
      <c r="G442">
        <f ca="1">DATEDIF(THrList[[#This Row],[Date_of_Birth]],NOW(),"Y")</f>
        <v>51</v>
      </c>
      <c r="H442" t="s">
        <v>806</v>
      </c>
      <c r="I442" t="s">
        <v>798</v>
      </c>
      <c r="J442" t="s">
        <v>819</v>
      </c>
    </row>
    <row r="443" spans="1:10" x14ac:dyDescent="0.3">
      <c r="A443" t="s">
        <v>278</v>
      </c>
      <c r="B443" t="s">
        <v>868</v>
      </c>
      <c r="C443" t="str">
        <f>UPPER(THrList[[#This Row],[Last_Name]])</f>
        <v>LOPEZ</v>
      </c>
      <c r="D443" t="s">
        <v>813</v>
      </c>
      <c r="E443" t="s">
        <v>797</v>
      </c>
      <c r="F443" s="1">
        <v>33223</v>
      </c>
      <c r="G443">
        <f ca="1">DATEDIF(THrList[[#This Row],[Date_of_Birth]],NOW(),"Y")</f>
        <v>35</v>
      </c>
      <c r="H443" t="s">
        <v>811</v>
      </c>
      <c r="I443" t="s">
        <v>807</v>
      </c>
      <c r="J443" t="s">
        <v>835</v>
      </c>
    </row>
    <row r="444" spans="1:10" x14ac:dyDescent="0.3">
      <c r="A444" t="s">
        <v>709</v>
      </c>
      <c r="B444" t="s">
        <v>910</v>
      </c>
      <c r="C444" t="str">
        <f>UPPER(THrList[[#This Row],[Last_Name]])</f>
        <v>KHAN</v>
      </c>
      <c r="D444" t="s">
        <v>796</v>
      </c>
      <c r="E444" t="s">
        <v>797</v>
      </c>
      <c r="F444" s="1">
        <v>33566</v>
      </c>
      <c r="G444">
        <f ca="1">DATEDIF(THrList[[#This Row],[Date_of_Birth]],NOW(),"Y")</f>
        <v>34</v>
      </c>
      <c r="H444" t="s">
        <v>792</v>
      </c>
      <c r="I444" t="s">
        <v>798</v>
      </c>
      <c r="J444" t="s">
        <v>819</v>
      </c>
    </row>
    <row r="445" spans="1:10" x14ac:dyDescent="0.3">
      <c r="A445" t="s">
        <v>450</v>
      </c>
      <c r="B445" t="s">
        <v>911</v>
      </c>
      <c r="C445" t="str">
        <f>UPPER(THrList[[#This Row],[Last_Name]])</f>
        <v>BROWN</v>
      </c>
      <c r="D445" t="s">
        <v>805</v>
      </c>
      <c r="E445" t="s">
        <v>791</v>
      </c>
      <c r="F445" s="1">
        <v>36453</v>
      </c>
      <c r="G445">
        <f ca="1">DATEDIF(THrList[[#This Row],[Date_of_Birth]],NOW(),"Y")</f>
        <v>26</v>
      </c>
      <c r="H445" t="s">
        <v>792</v>
      </c>
      <c r="I445" t="s">
        <v>793</v>
      </c>
      <c r="J445" t="s">
        <v>835</v>
      </c>
    </row>
    <row r="446" spans="1:10" x14ac:dyDescent="0.3">
      <c r="A446" t="s">
        <v>167</v>
      </c>
      <c r="B446" t="s">
        <v>920</v>
      </c>
      <c r="C446" t="str">
        <f>UPPER(THrList[[#This Row],[Last_Name]])</f>
        <v>HERNANDEZ</v>
      </c>
      <c r="D446" t="s">
        <v>837</v>
      </c>
      <c r="E446" t="s">
        <v>797</v>
      </c>
      <c r="F446" s="1">
        <v>29402</v>
      </c>
      <c r="G446">
        <f ca="1">DATEDIF(THrList[[#This Row],[Date_of_Birth]],NOW(),"Y")</f>
        <v>45</v>
      </c>
      <c r="H446" t="s">
        <v>843</v>
      </c>
      <c r="I446" t="s">
        <v>793</v>
      </c>
      <c r="J446" t="s">
        <v>799</v>
      </c>
    </row>
    <row r="447" spans="1:10" x14ac:dyDescent="0.3">
      <c r="A447" t="s">
        <v>1007</v>
      </c>
      <c r="B447" t="s">
        <v>833</v>
      </c>
      <c r="C447" t="str">
        <f>UPPER(THrList[[#This Row],[Last_Name]])</f>
        <v>JONES</v>
      </c>
      <c r="D447" t="s">
        <v>926</v>
      </c>
      <c r="E447" t="s">
        <v>791</v>
      </c>
      <c r="F447" s="1">
        <v>30686</v>
      </c>
      <c r="G447">
        <f ca="1">DATEDIF(THrList[[#This Row],[Date_of_Birth]],NOW(),"Y")</f>
        <v>41</v>
      </c>
      <c r="H447" t="s">
        <v>811</v>
      </c>
      <c r="I447" t="s">
        <v>798</v>
      </c>
      <c r="J447" t="s">
        <v>838</v>
      </c>
    </row>
    <row r="448" spans="1:10" x14ac:dyDescent="0.3">
      <c r="A448" t="s">
        <v>23</v>
      </c>
      <c r="B448" t="s">
        <v>826</v>
      </c>
      <c r="C448" t="str">
        <f>UPPER(THrList[[#This Row],[Last_Name]])</f>
        <v>RODRIGUEZ</v>
      </c>
      <c r="D448" t="s">
        <v>829</v>
      </c>
      <c r="E448" t="s">
        <v>791</v>
      </c>
      <c r="F448" s="1">
        <v>26006</v>
      </c>
      <c r="G448">
        <f ca="1">DATEDIF(THrList[[#This Row],[Date_of_Birth]],NOW(),"Y")</f>
        <v>54</v>
      </c>
      <c r="H448" t="s">
        <v>811</v>
      </c>
      <c r="I448" t="s">
        <v>807</v>
      </c>
      <c r="J448" t="s">
        <v>799</v>
      </c>
    </row>
    <row r="449" spans="1:10" x14ac:dyDescent="0.3">
      <c r="A449" t="s">
        <v>326</v>
      </c>
      <c r="B449" t="s">
        <v>821</v>
      </c>
      <c r="C449" t="str">
        <f>UPPER(THrList[[#This Row],[Last_Name]])</f>
        <v>DUBOIS</v>
      </c>
      <c r="D449" t="s">
        <v>853</v>
      </c>
      <c r="E449" t="s">
        <v>797</v>
      </c>
      <c r="F449" s="1">
        <v>36394</v>
      </c>
      <c r="G449">
        <f ca="1">DATEDIF(THrList[[#This Row],[Date_of_Birth]],NOW(),"Y")</f>
        <v>26</v>
      </c>
      <c r="H449" t="s">
        <v>811</v>
      </c>
      <c r="I449" t="s">
        <v>793</v>
      </c>
      <c r="J449" t="s">
        <v>823</v>
      </c>
    </row>
    <row r="450" spans="1:10" x14ac:dyDescent="0.3">
      <c r="A450" t="s">
        <v>717</v>
      </c>
      <c r="B450" t="s">
        <v>920</v>
      </c>
      <c r="C450" t="str">
        <f>UPPER(THrList[[#This Row],[Last_Name]])</f>
        <v>HERNANDEZ</v>
      </c>
      <c r="D450" t="s">
        <v>883</v>
      </c>
      <c r="E450" t="s">
        <v>791</v>
      </c>
      <c r="F450" s="1">
        <v>31771</v>
      </c>
      <c r="G450">
        <f ca="1">DATEDIF(THrList[[#This Row],[Date_of_Birth]],NOW(),"Y")</f>
        <v>38</v>
      </c>
      <c r="H450" t="s">
        <v>811</v>
      </c>
      <c r="I450" t="s">
        <v>793</v>
      </c>
      <c r="J450" t="s">
        <v>814</v>
      </c>
    </row>
    <row r="451" spans="1:10" x14ac:dyDescent="0.3">
      <c r="A451" t="s">
        <v>1008</v>
      </c>
      <c r="B451" t="s">
        <v>868</v>
      </c>
      <c r="C451" t="str">
        <f>UPPER(THrList[[#This Row],[Last_Name]])</f>
        <v>LOPEZ</v>
      </c>
      <c r="D451" t="s">
        <v>818</v>
      </c>
      <c r="E451" t="s">
        <v>791</v>
      </c>
      <c r="F451" s="1">
        <v>38117</v>
      </c>
      <c r="G451">
        <f ca="1">DATEDIF(THrList[[#This Row],[Date_of_Birth]],NOW(),"Y")</f>
        <v>21</v>
      </c>
      <c r="H451" t="s">
        <v>811</v>
      </c>
      <c r="I451" t="s">
        <v>807</v>
      </c>
      <c r="J451" t="s">
        <v>814</v>
      </c>
    </row>
    <row r="452" spans="1:10" x14ac:dyDescent="0.3">
      <c r="A452" t="s">
        <v>402</v>
      </c>
      <c r="B452" t="s">
        <v>887</v>
      </c>
      <c r="C452" t="str">
        <f>UPPER(THrList[[#This Row],[Last_Name]])</f>
        <v>TOURE</v>
      </c>
      <c r="D452" t="s">
        <v>939</v>
      </c>
      <c r="E452" t="s">
        <v>797</v>
      </c>
      <c r="F452" s="1">
        <v>29527</v>
      </c>
      <c r="G452">
        <f ca="1">DATEDIF(THrList[[#This Row],[Date_of_Birth]],NOW(),"Y")</f>
        <v>45</v>
      </c>
      <c r="H452" t="s">
        <v>806</v>
      </c>
      <c r="I452" t="s">
        <v>807</v>
      </c>
      <c r="J452" t="s">
        <v>814</v>
      </c>
    </row>
    <row r="453" spans="1:10" x14ac:dyDescent="0.3">
      <c r="A453" t="s">
        <v>340</v>
      </c>
      <c r="B453" t="s">
        <v>855</v>
      </c>
      <c r="C453" t="str">
        <f>UPPER(THrList[[#This Row],[Last_Name]])</f>
        <v>TAYLOR</v>
      </c>
      <c r="D453" t="s">
        <v>885</v>
      </c>
      <c r="E453" t="s">
        <v>797</v>
      </c>
      <c r="F453" s="1">
        <v>25507</v>
      </c>
      <c r="G453">
        <f ca="1">DATEDIF(THrList[[#This Row],[Date_of_Birth]],NOW(),"Y")</f>
        <v>56</v>
      </c>
      <c r="H453" t="s">
        <v>806</v>
      </c>
      <c r="I453" t="s">
        <v>807</v>
      </c>
      <c r="J453" t="s">
        <v>799</v>
      </c>
    </row>
    <row r="454" spans="1:10" x14ac:dyDescent="0.3">
      <c r="A454" t="s">
        <v>37</v>
      </c>
      <c r="B454" t="s">
        <v>800</v>
      </c>
      <c r="C454" t="str">
        <f>UPPER(THrList[[#This Row],[Last_Name]])</f>
        <v>JOHNSON</v>
      </c>
      <c r="D454" t="s">
        <v>829</v>
      </c>
      <c r="E454" t="s">
        <v>797</v>
      </c>
      <c r="F454" s="1">
        <v>36895</v>
      </c>
      <c r="G454">
        <f ca="1">DATEDIF(THrList[[#This Row],[Date_of_Birth]],NOW(),"Y")</f>
        <v>24</v>
      </c>
      <c r="H454" t="s">
        <v>792</v>
      </c>
      <c r="I454" t="s">
        <v>807</v>
      </c>
      <c r="J454" t="s">
        <v>835</v>
      </c>
    </row>
    <row r="455" spans="1:10" x14ac:dyDescent="0.3">
      <c r="A455" t="s">
        <v>1009</v>
      </c>
      <c r="B455" t="s">
        <v>917</v>
      </c>
      <c r="C455" t="str">
        <f>UPPER(THrList[[#This Row],[Last_Name]])</f>
        <v>LAURENT</v>
      </c>
      <c r="D455" t="s">
        <v>853</v>
      </c>
      <c r="E455" t="s">
        <v>797</v>
      </c>
      <c r="F455" s="1">
        <v>31871</v>
      </c>
      <c r="G455">
        <f ca="1">DATEDIF(THrList[[#This Row],[Date_of_Birth]],NOW(),"Y")</f>
        <v>38</v>
      </c>
      <c r="H455" t="s">
        <v>811</v>
      </c>
      <c r="I455" t="s">
        <v>793</v>
      </c>
      <c r="J455" t="s">
        <v>803</v>
      </c>
    </row>
    <row r="456" spans="1:10" x14ac:dyDescent="0.3">
      <c r="A456" t="s">
        <v>344</v>
      </c>
      <c r="B456" t="s">
        <v>789</v>
      </c>
      <c r="C456" t="str">
        <f>UPPER(THrList[[#This Row],[Last_Name]])</f>
        <v>LEROY</v>
      </c>
      <c r="D456" t="s">
        <v>822</v>
      </c>
      <c r="E456" t="s">
        <v>791</v>
      </c>
      <c r="F456" s="1">
        <v>30563</v>
      </c>
      <c r="G456">
        <f ca="1">DATEDIF(THrList[[#This Row],[Date_of_Birth]],NOW(),"Y")</f>
        <v>42</v>
      </c>
      <c r="H456" t="s">
        <v>811</v>
      </c>
      <c r="I456" t="s">
        <v>798</v>
      </c>
      <c r="J456" t="s">
        <v>794</v>
      </c>
    </row>
    <row r="457" spans="1:10" x14ac:dyDescent="0.3">
      <c r="A457" t="s">
        <v>361</v>
      </c>
      <c r="B457" t="s">
        <v>869</v>
      </c>
      <c r="C457" t="str">
        <f>UPPER(THrList[[#This Row],[Last_Name]])</f>
        <v>MILLER</v>
      </c>
      <c r="D457" t="s">
        <v>873</v>
      </c>
      <c r="E457" t="s">
        <v>797</v>
      </c>
      <c r="F457" s="1">
        <v>28944</v>
      </c>
      <c r="G457">
        <f ca="1">DATEDIF(THrList[[#This Row],[Date_of_Birth]],NOW(),"Y")</f>
        <v>46</v>
      </c>
      <c r="H457" t="s">
        <v>806</v>
      </c>
      <c r="I457" t="s">
        <v>793</v>
      </c>
      <c r="J457" t="s">
        <v>814</v>
      </c>
    </row>
    <row r="458" spans="1:10" x14ac:dyDescent="0.3">
      <c r="A458" t="s">
        <v>327</v>
      </c>
      <c r="B458" t="s">
        <v>898</v>
      </c>
      <c r="C458" t="str">
        <f>UPPER(THrList[[#This Row],[Last_Name]])</f>
        <v>MOREAU</v>
      </c>
      <c r="D458" t="s">
        <v>881</v>
      </c>
      <c r="E458" t="s">
        <v>791</v>
      </c>
      <c r="F458" s="1">
        <v>28159</v>
      </c>
      <c r="G458">
        <f ca="1">DATEDIF(THrList[[#This Row],[Date_of_Birth]],NOW(),"Y")</f>
        <v>48</v>
      </c>
      <c r="H458" t="s">
        <v>792</v>
      </c>
      <c r="I458" t="s">
        <v>807</v>
      </c>
      <c r="J458" t="s">
        <v>799</v>
      </c>
    </row>
    <row r="459" spans="1:10" x14ac:dyDescent="0.3">
      <c r="A459" t="s">
        <v>1010</v>
      </c>
      <c r="B459" t="s">
        <v>862</v>
      </c>
      <c r="C459" t="str">
        <f>UPPER(THrList[[#This Row],[Last_Name]])</f>
        <v>CHEN</v>
      </c>
      <c r="D459" t="s">
        <v>926</v>
      </c>
      <c r="E459" t="s">
        <v>791</v>
      </c>
      <c r="F459" s="1">
        <v>28617</v>
      </c>
      <c r="G459">
        <f ca="1">DATEDIF(THrList[[#This Row],[Date_of_Birth]],NOW(),"Y")</f>
        <v>47</v>
      </c>
      <c r="H459" t="s">
        <v>843</v>
      </c>
      <c r="I459" t="s">
        <v>807</v>
      </c>
      <c r="J459" t="s">
        <v>808</v>
      </c>
    </row>
    <row r="460" spans="1:10" x14ac:dyDescent="0.3">
      <c r="A460" t="s">
        <v>241</v>
      </c>
      <c r="B460" t="s">
        <v>832</v>
      </c>
      <c r="C460" t="str">
        <f>UPPER(THrList[[#This Row],[Last_Name]])</f>
        <v>FOURNIER</v>
      </c>
      <c r="D460" t="s">
        <v>899</v>
      </c>
      <c r="E460" t="s">
        <v>791</v>
      </c>
      <c r="F460" s="1">
        <v>37164</v>
      </c>
      <c r="G460">
        <f ca="1">DATEDIF(THrList[[#This Row],[Date_of_Birth]],NOW(),"Y")</f>
        <v>24</v>
      </c>
      <c r="H460" t="s">
        <v>811</v>
      </c>
      <c r="I460" t="s">
        <v>798</v>
      </c>
      <c r="J460" t="s">
        <v>819</v>
      </c>
    </row>
    <row r="461" spans="1:10" x14ac:dyDescent="0.3">
      <c r="A461" t="s">
        <v>394</v>
      </c>
      <c r="B461" t="s">
        <v>817</v>
      </c>
      <c r="C461" t="str">
        <f>UPPER(THrList[[#This Row],[Last_Name]])</f>
        <v>JACKSON</v>
      </c>
      <c r="D461" t="s">
        <v>914</v>
      </c>
      <c r="E461" t="s">
        <v>797</v>
      </c>
      <c r="F461" s="1">
        <v>35099</v>
      </c>
      <c r="G461">
        <f ca="1">DATEDIF(THrList[[#This Row],[Date_of_Birth]],NOW(),"Y")</f>
        <v>29</v>
      </c>
      <c r="H461" t="s">
        <v>843</v>
      </c>
      <c r="I461" t="s">
        <v>798</v>
      </c>
      <c r="J461" t="s">
        <v>814</v>
      </c>
    </row>
    <row r="462" spans="1:10" x14ac:dyDescent="0.3">
      <c r="A462" t="s">
        <v>125</v>
      </c>
      <c r="B462" t="s">
        <v>812</v>
      </c>
      <c r="C462" t="str">
        <f>UPPER(THrList[[#This Row],[Last_Name]])</f>
        <v>CAMARA</v>
      </c>
      <c r="D462" t="s">
        <v>805</v>
      </c>
      <c r="E462" t="s">
        <v>797</v>
      </c>
      <c r="F462" s="1">
        <v>37776</v>
      </c>
      <c r="G462">
        <f ca="1">DATEDIF(THrList[[#This Row],[Date_of_Birth]],NOW(),"Y")</f>
        <v>22</v>
      </c>
      <c r="H462" t="s">
        <v>792</v>
      </c>
      <c r="I462" t="s">
        <v>807</v>
      </c>
      <c r="J462" t="s">
        <v>803</v>
      </c>
    </row>
    <row r="463" spans="1:10" x14ac:dyDescent="0.3">
      <c r="A463" t="s">
        <v>432</v>
      </c>
      <c r="B463" t="s">
        <v>821</v>
      </c>
      <c r="C463" t="str">
        <f>UPPER(THrList[[#This Row],[Last_Name]])</f>
        <v>DUBOIS</v>
      </c>
      <c r="D463" t="s">
        <v>829</v>
      </c>
      <c r="E463" t="s">
        <v>797</v>
      </c>
      <c r="F463" s="1">
        <v>33457</v>
      </c>
      <c r="G463">
        <f ca="1">DATEDIF(THrList[[#This Row],[Date_of_Birth]],NOW(),"Y")</f>
        <v>34</v>
      </c>
      <c r="H463" t="s">
        <v>843</v>
      </c>
      <c r="I463" t="s">
        <v>807</v>
      </c>
      <c r="J463" t="s">
        <v>799</v>
      </c>
    </row>
    <row r="464" spans="1:10" x14ac:dyDescent="0.3">
      <c r="A464" t="s">
        <v>606</v>
      </c>
      <c r="B464" t="s">
        <v>815</v>
      </c>
      <c r="C464" t="str">
        <f>UPPER(THrList[[#This Row],[Last_Name]])</f>
        <v>MARTIN</v>
      </c>
      <c r="D464" t="s">
        <v>895</v>
      </c>
      <c r="E464" t="s">
        <v>797</v>
      </c>
      <c r="F464" s="1">
        <v>31257</v>
      </c>
      <c r="G464">
        <f ca="1">DATEDIF(THrList[[#This Row],[Date_of_Birth]],NOW(),"Y")</f>
        <v>40</v>
      </c>
      <c r="H464" t="s">
        <v>792</v>
      </c>
      <c r="I464" t="s">
        <v>793</v>
      </c>
      <c r="J464" t="s">
        <v>799</v>
      </c>
    </row>
    <row r="465" spans="1:10" x14ac:dyDescent="0.3">
      <c r="A465" t="s">
        <v>631</v>
      </c>
      <c r="B465" t="s">
        <v>879</v>
      </c>
      <c r="C465" t="str">
        <f>UPPER(THrList[[#This Row],[Last_Name]])</f>
        <v>KONE</v>
      </c>
      <c r="D465" t="s">
        <v>860</v>
      </c>
      <c r="E465" t="s">
        <v>791</v>
      </c>
      <c r="F465" s="1">
        <v>33281</v>
      </c>
      <c r="G465">
        <f ca="1">DATEDIF(THrList[[#This Row],[Date_of_Birth]],NOW(),"Y")</f>
        <v>34</v>
      </c>
      <c r="H465" t="s">
        <v>792</v>
      </c>
      <c r="I465" t="s">
        <v>793</v>
      </c>
      <c r="J465" t="s">
        <v>803</v>
      </c>
    </row>
    <row r="466" spans="1:10" x14ac:dyDescent="0.3">
      <c r="A466" t="s">
        <v>660</v>
      </c>
      <c r="B466" t="s">
        <v>832</v>
      </c>
      <c r="C466" t="str">
        <f>UPPER(THrList[[#This Row],[Last_Name]])</f>
        <v>FOURNIER</v>
      </c>
      <c r="D466" t="s">
        <v>816</v>
      </c>
      <c r="E466" t="s">
        <v>791</v>
      </c>
      <c r="F466" s="1">
        <v>36964</v>
      </c>
      <c r="G466">
        <f ca="1">DATEDIF(THrList[[#This Row],[Date_of_Birth]],NOW(),"Y")</f>
        <v>24</v>
      </c>
      <c r="H466" t="s">
        <v>811</v>
      </c>
      <c r="I466" t="s">
        <v>793</v>
      </c>
      <c r="J466" t="s">
        <v>794</v>
      </c>
    </row>
    <row r="467" spans="1:10" x14ac:dyDescent="0.3">
      <c r="A467" t="s">
        <v>1011</v>
      </c>
      <c r="B467" t="s">
        <v>943</v>
      </c>
      <c r="C467" t="str">
        <f>UPPER(THrList[[#This Row],[Last_Name]])</f>
        <v>KIM</v>
      </c>
      <c r="D467" t="s">
        <v>827</v>
      </c>
      <c r="E467" t="s">
        <v>791</v>
      </c>
      <c r="F467" s="1">
        <v>33404</v>
      </c>
      <c r="G467">
        <f ca="1">DATEDIF(THrList[[#This Row],[Date_of_Birth]],NOW(),"Y")</f>
        <v>34</v>
      </c>
      <c r="H467" t="s">
        <v>792</v>
      </c>
      <c r="I467" t="s">
        <v>793</v>
      </c>
      <c r="J467" t="s">
        <v>819</v>
      </c>
    </row>
    <row r="468" spans="1:10" x14ac:dyDescent="0.3">
      <c r="A468" t="s">
        <v>1012</v>
      </c>
      <c r="B468" t="s">
        <v>863</v>
      </c>
      <c r="C468" t="str">
        <f>UPPER(THrList[[#This Row],[Last_Name]])</f>
        <v>THOMAS</v>
      </c>
      <c r="D468" t="s">
        <v>883</v>
      </c>
      <c r="E468" t="s">
        <v>791</v>
      </c>
      <c r="F468" s="1">
        <v>30508</v>
      </c>
      <c r="G468">
        <f ca="1">DATEDIF(THrList[[#This Row],[Date_of_Birth]],NOW(),"Y")</f>
        <v>42</v>
      </c>
      <c r="H468" t="s">
        <v>806</v>
      </c>
      <c r="I468" t="s">
        <v>807</v>
      </c>
      <c r="J468" t="s">
        <v>814</v>
      </c>
    </row>
    <row r="469" spans="1:10" x14ac:dyDescent="0.3">
      <c r="A469" t="s">
        <v>370</v>
      </c>
      <c r="B469" t="s">
        <v>887</v>
      </c>
      <c r="C469" t="str">
        <f>UPPER(THrList[[#This Row],[Last_Name]])</f>
        <v>TOURE</v>
      </c>
      <c r="D469" t="s">
        <v>813</v>
      </c>
      <c r="E469" t="s">
        <v>797</v>
      </c>
      <c r="F469" s="1">
        <v>30455</v>
      </c>
      <c r="G469">
        <f ca="1">DATEDIF(THrList[[#This Row],[Date_of_Birth]],NOW(),"Y")</f>
        <v>42</v>
      </c>
      <c r="H469" t="s">
        <v>843</v>
      </c>
      <c r="I469" t="s">
        <v>793</v>
      </c>
      <c r="J469" t="s">
        <v>808</v>
      </c>
    </row>
    <row r="470" spans="1:10" x14ac:dyDescent="0.3">
      <c r="A470" t="s">
        <v>176</v>
      </c>
      <c r="B470" t="s">
        <v>804</v>
      </c>
      <c r="C470" t="str">
        <f>UPPER(THrList[[#This Row],[Last_Name]])</f>
        <v>SMITH</v>
      </c>
      <c r="D470" t="s">
        <v>852</v>
      </c>
      <c r="E470" t="s">
        <v>791</v>
      </c>
      <c r="F470" s="1">
        <v>31191</v>
      </c>
      <c r="G470">
        <f ca="1">DATEDIF(THrList[[#This Row],[Date_of_Birth]],NOW(),"Y")</f>
        <v>40</v>
      </c>
      <c r="H470" t="s">
        <v>792</v>
      </c>
      <c r="I470" t="s">
        <v>798</v>
      </c>
      <c r="J470" t="s">
        <v>799</v>
      </c>
    </row>
    <row r="471" spans="1:10" x14ac:dyDescent="0.3">
      <c r="A471" t="s">
        <v>594</v>
      </c>
      <c r="B471" t="s">
        <v>833</v>
      </c>
      <c r="C471" t="str">
        <f>UPPER(THrList[[#This Row],[Last_Name]])</f>
        <v>JONES</v>
      </c>
      <c r="D471" t="s">
        <v>874</v>
      </c>
      <c r="E471" t="s">
        <v>791</v>
      </c>
      <c r="F471" s="1">
        <v>37774</v>
      </c>
      <c r="G471">
        <f ca="1">DATEDIF(THrList[[#This Row],[Date_of_Birth]],NOW(),"Y")</f>
        <v>22</v>
      </c>
      <c r="H471" t="s">
        <v>811</v>
      </c>
      <c r="I471" t="s">
        <v>807</v>
      </c>
      <c r="J471" t="s">
        <v>835</v>
      </c>
    </row>
    <row r="472" spans="1:10" x14ac:dyDescent="0.3">
      <c r="A472" t="s">
        <v>552</v>
      </c>
      <c r="B472" t="s">
        <v>851</v>
      </c>
      <c r="C472" t="str">
        <f>UPPER(THrList[[#This Row],[Last_Name]])</f>
        <v>NGUYEN</v>
      </c>
      <c r="D472" t="s">
        <v>895</v>
      </c>
      <c r="E472" t="s">
        <v>791</v>
      </c>
      <c r="F472" s="1">
        <v>27231</v>
      </c>
      <c r="G472">
        <f ca="1">DATEDIF(THrList[[#This Row],[Date_of_Birth]],NOW(),"Y")</f>
        <v>51</v>
      </c>
      <c r="H472" t="s">
        <v>792</v>
      </c>
      <c r="I472" t="s">
        <v>798</v>
      </c>
      <c r="J472" t="s">
        <v>803</v>
      </c>
    </row>
    <row r="473" spans="1:10" x14ac:dyDescent="0.3">
      <c r="A473" t="s">
        <v>576</v>
      </c>
      <c r="B473" t="s">
        <v>845</v>
      </c>
      <c r="C473" t="str">
        <f>UPPER(THrList[[#This Row],[Last_Name]])</f>
        <v>WILSON</v>
      </c>
      <c r="D473" t="s">
        <v>801</v>
      </c>
      <c r="E473" t="s">
        <v>791</v>
      </c>
      <c r="F473" s="1">
        <v>30730</v>
      </c>
      <c r="G473">
        <f ca="1">DATEDIF(THrList[[#This Row],[Date_of_Birth]],NOW(),"Y")</f>
        <v>41</v>
      </c>
      <c r="H473" t="s">
        <v>811</v>
      </c>
      <c r="I473" t="s">
        <v>793</v>
      </c>
      <c r="J473" t="s">
        <v>814</v>
      </c>
    </row>
    <row r="474" spans="1:10" x14ac:dyDescent="0.3">
      <c r="A474" t="s">
        <v>276</v>
      </c>
      <c r="B474" t="s">
        <v>815</v>
      </c>
      <c r="C474" t="str">
        <f>UPPER(THrList[[#This Row],[Last_Name]])</f>
        <v>MARTIN</v>
      </c>
      <c r="D474" t="s">
        <v>853</v>
      </c>
      <c r="E474" t="s">
        <v>797</v>
      </c>
      <c r="F474" s="1">
        <v>38116</v>
      </c>
      <c r="G474">
        <f ca="1">DATEDIF(THrList[[#This Row],[Date_of_Birth]],NOW(),"Y")</f>
        <v>21</v>
      </c>
      <c r="H474" t="s">
        <v>792</v>
      </c>
      <c r="I474" t="s">
        <v>807</v>
      </c>
      <c r="J474" t="s">
        <v>838</v>
      </c>
    </row>
    <row r="475" spans="1:10" x14ac:dyDescent="0.3">
      <c r="A475" t="s">
        <v>609</v>
      </c>
      <c r="B475" t="s">
        <v>851</v>
      </c>
      <c r="C475" t="str">
        <f>UPPER(THrList[[#This Row],[Last_Name]])</f>
        <v>NGUYEN</v>
      </c>
      <c r="D475" t="s">
        <v>818</v>
      </c>
      <c r="E475" t="s">
        <v>791</v>
      </c>
      <c r="F475" s="1">
        <v>29582</v>
      </c>
      <c r="G475">
        <f ca="1">DATEDIF(THrList[[#This Row],[Date_of_Birth]],NOW(),"Y")</f>
        <v>44</v>
      </c>
      <c r="H475" t="s">
        <v>843</v>
      </c>
      <c r="I475" t="s">
        <v>793</v>
      </c>
      <c r="J475" t="s">
        <v>808</v>
      </c>
    </row>
    <row r="476" spans="1:10" x14ac:dyDescent="0.3">
      <c r="A476" t="s">
        <v>1013</v>
      </c>
      <c r="B476" t="s">
        <v>855</v>
      </c>
      <c r="C476" t="str">
        <f>UPPER(THrList[[#This Row],[Last_Name]])</f>
        <v>TAYLOR</v>
      </c>
      <c r="D476" t="s">
        <v>829</v>
      </c>
      <c r="E476" t="s">
        <v>791</v>
      </c>
      <c r="F476" s="1">
        <v>36926</v>
      </c>
      <c r="G476">
        <f ca="1">DATEDIF(THrList[[#This Row],[Date_of_Birth]],NOW(),"Y")</f>
        <v>24</v>
      </c>
      <c r="H476" t="s">
        <v>843</v>
      </c>
      <c r="I476" t="s">
        <v>793</v>
      </c>
      <c r="J476" t="s">
        <v>838</v>
      </c>
    </row>
    <row r="477" spans="1:10" x14ac:dyDescent="0.3">
      <c r="A477" t="s">
        <v>293</v>
      </c>
      <c r="B477" t="s">
        <v>817</v>
      </c>
      <c r="C477" t="str">
        <f>UPPER(THrList[[#This Row],[Last_Name]])</f>
        <v>JACKSON</v>
      </c>
      <c r="D477" t="s">
        <v>1014</v>
      </c>
      <c r="E477" t="s">
        <v>797</v>
      </c>
      <c r="F477" s="1">
        <v>28494</v>
      </c>
      <c r="G477">
        <f ca="1">DATEDIF(THrList[[#This Row],[Date_of_Birth]],NOW(),"Y")</f>
        <v>47</v>
      </c>
      <c r="H477" t="s">
        <v>843</v>
      </c>
      <c r="I477" t="s">
        <v>807</v>
      </c>
      <c r="J477" t="s">
        <v>799</v>
      </c>
    </row>
    <row r="478" spans="1:10" x14ac:dyDescent="0.3">
      <c r="A478" t="s">
        <v>1015</v>
      </c>
      <c r="B478" t="s">
        <v>904</v>
      </c>
      <c r="C478" t="str">
        <f>UPPER(THrList[[#This Row],[Last_Name]])</f>
        <v>SINGH</v>
      </c>
      <c r="D478" t="s">
        <v>830</v>
      </c>
      <c r="E478" t="s">
        <v>797</v>
      </c>
      <c r="F478" s="1">
        <v>27731</v>
      </c>
      <c r="G478">
        <f ca="1">DATEDIF(THrList[[#This Row],[Date_of_Birth]],NOW(),"Y")</f>
        <v>50</v>
      </c>
      <c r="H478" t="s">
        <v>811</v>
      </c>
      <c r="I478" t="s">
        <v>807</v>
      </c>
      <c r="J478" t="s">
        <v>835</v>
      </c>
    </row>
    <row r="479" spans="1:10" x14ac:dyDescent="0.3">
      <c r="A479" t="s">
        <v>720</v>
      </c>
      <c r="B479" t="s">
        <v>869</v>
      </c>
      <c r="C479" t="str">
        <f>UPPER(THrList[[#This Row],[Last_Name]])</f>
        <v>MILLER</v>
      </c>
      <c r="D479" t="s">
        <v>828</v>
      </c>
      <c r="E479" t="s">
        <v>791</v>
      </c>
      <c r="F479" s="1">
        <v>36985</v>
      </c>
      <c r="G479">
        <f ca="1">DATEDIF(THrList[[#This Row],[Date_of_Birth]],NOW(),"Y")</f>
        <v>24</v>
      </c>
      <c r="H479" t="s">
        <v>843</v>
      </c>
      <c r="I479" t="s">
        <v>798</v>
      </c>
      <c r="J479" t="s">
        <v>819</v>
      </c>
    </row>
    <row r="480" spans="1:10" x14ac:dyDescent="0.3">
      <c r="A480" t="s">
        <v>1016</v>
      </c>
      <c r="B480" t="s">
        <v>868</v>
      </c>
      <c r="C480" t="str">
        <f>UPPER(THrList[[#This Row],[Last_Name]])</f>
        <v>LOPEZ</v>
      </c>
      <c r="D480" t="s">
        <v>900</v>
      </c>
      <c r="E480" t="s">
        <v>791</v>
      </c>
      <c r="F480" s="1">
        <v>37319</v>
      </c>
      <c r="G480">
        <f ca="1">DATEDIF(THrList[[#This Row],[Date_of_Birth]],NOW(),"Y")</f>
        <v>23</v>
      </c>
      <c r="H480" t="s">
        <v>806</v>
      </c>
      <c r="I480" t="s">
        <v>807</v>
      </c>
      <c r="J480" t="s">
        <v>838</v>
      </c>
    </row>
    <row r="481" spans="1:10" x14ac:dyDescent="0.3">
      <c r="A481" t="s">
        <v>190</v>
      </c>
      <c r="B481" t="s">
        <v>898</v>
      </c>
      <c r="C481" t="str">
        <f>UPPER(THrList[[#This Row],[Last_Name]])</f>
        <v>MOREAU</v>
      </c>
      <c r="D481" t="s">
        <v>852</v>
      </c>
      <c r="E481" t="s">
        <v>791</v>
      </c>
      <c r="F481" s="1">
        <v>35590</v>
      </c>
      <c r="G481">
        <f ca="1">DATEDIF(THrList[[#This Row],[Date_of_Birth]],NOW(),"Y")</f>
        <v>28</v>
      </c>
      <c r="H481" t="s">
        <v>811</v>
      </c>
      <c r="I481" t="s">
        <v>798</v>
      </c>
      <c r="J481" t="s">
        <v>1068</v>
      </c>
    </row>
    <row r="482" spans="1:10" x14ac:dyDescent="0.3">
      <c r="A482" t="s">
        <v>1017</v>
      </c>
      <c r="B482" t="s">
        <v>890</v>
      </c>
      <c r="C482" t="str">
        <f>UPPER(THrList[[#This Row],[Last_Name]])</f>
        <v>ROUSSEAU</v>
      </c>
      <c r="D482" t="s">
        <v>849</v>
      </c>
      <c r="E482" t="s">
        <v>797</v>
      </c>
      <c r="F482" s="1">
        <v>27793</v>
      </c>
      <c r="G482">
        <f ca="1">DATEDIF(THrList[[#This Row],[Date_of_Birth]],NOW(),"Y")</f>
        <v>49</v>
      </c>
      <c r="H482" t="s">
        <v>792</v>
      </c>
      <c r="I482" t="s">
        <v>807</v>
      </c>
      <c r="J482" t="s">
        <v>1068</v>
      </c>
    </row>
    <row r="483" spans="1:10" x14ac:dyDescent="0.3">
      <c r="A483" t="s">
        <v>323</v>
      </c>
      <c r="B483" t="s">
        <v>879</v>
      </c>
      <c r="C483" t="str">
        <f>UPPER(THrList[[#This Row],[Last_Name]])</f>
        <v>KONE</v>
      </c>
      <c r="D483" t="s">
        <v>860</v>
      </c>
      <c r="E483" t="s">
        <v>791</v>
      </c>
      <c r="F483" s="1">
        <v>32615</v>
      </c>
      <c r="G483">
        <f ca="1">DATEDIF(THrList[[#This Row],[Date_of_Birth]],NOW(),"Y")</f>
        <v>36</v>
      </c>
      <c r="H483" t="s">
        <v>843</v>
      </c>
      <c r="I483" t="s">
        <v>793</v>
      </c>
      <c r="J483" t="s">
        <v>835</v>
      </c>
    </row>
    <row r="484" spans="1:10" x14ac:dyDescent="0.3">
      <c r="A484" t="s">
        <v>185</v>
      </c>
      <c r="B484" t="s">
        <v>812</v>
      </c>
      <c r="C484" t="str">
        <f>UPPER(THrList[[#This Row],[Last_Name]])</f>
        <v>CAMARA</v>
      </c>
      <c r="D484" t="s">
        <v>880</v>
      </c>
      <c r="E484" t="s">
        <v>797</v>
      </c>
      <c r="F484" s="1">
        <v>34896</v>
      </c>
      <c r="G484">
        <f ca="1">DATEDIF(THrList[[#This Row],[Date_of_Birth]],NOW(),"Y")</f>
        <v>30</v>
      </c>
      <c r="H484" t="s">
        <v>806</v>
      </c>
      <c r="I484" t="s">
        <v>793</v>
      </c>
      <c r="J484" t="s">
        <v>838</v>
      </c>
    </row>
    <row r="485" spans="1:10" x14ac:dyDescent="0.3">
      <c r="A485" t="s">
        <v>201</v>
      </c>
      <c r="B485" t="s">
        <v>851</v>
      </c>
      <c r="C485" t="str">
        <f>UPPER(THrList[[#This Row],[Last_Name]])</f>
        <v>NGUYEN</v>
      </c>
      <c r="D485" t="s">
        <v>853</v>
      </c>
      <c r="E485" t="s">
        <v>791</v>
      </c>
      <c r="F485" s="1">
        <v>25685</v>
      </c>
      <c r="G485">
        <f ca="1">DATEDIF(THrList[[#This Row],[Date_of_Birth]],NOW(),"Y")</f>
        <v>55</v>
      </c>
      <c r="H485" t="s">
        <v>811</v>
      </c>
      <c r="I485" t="s">
        <v>807</v>
      </c>
      <c r="J485" t="s">
        <v>794</v>
      </c>
    </row>
    <row r="486" spans="1:10" x14ac:dyDescent="0.3">
      <c r="A486" t="s">
        <v>388</v>
      </c>
      <c r="B486" t="s">
        <v>862</v>
      </c>
      <c r="C486" t="str">
        <f>UPPER(THrList[[#This Row],[Last_Name]])</f>
        <v>CHEN</v>
      </c>
      <c r="D486" t="s">
        <v>926</v>
      </c>
      <c r="E486" t="s">
        <v>791</v>
      </c>
      <c r="F486" s="1">
        <v>29421</v>
      </c>
      <c r="G486">
        <f ca="1">DATEDIF(THrList[[#This Row],[Date_of_Birth]],NOW(),"Y")</f>
        <v>45</v>
      </c>
      <c r="H486" t="s">
        <v>806</v>
      </c>
      <c r="I486" t="s">
        <v>793</v>
      </c>
      <c r="J486" t="s">
        <v>819</v>
      </c>
    </row>
    <row r="487" spans="1:10" x14ac:dyDescent="0.3">
      <c r="A487" t="s">
        <v>40</v>
      </c>
      <c r="B487" t="s">
        <v>911</v>
      </c>
      <c r="C487" t="str">
        <f>UPPER(THrList[[#This Row],[Last_Name]])</f>
        <v>BROWN</v>
      </c>
      <c r="D487" t="s">
        <v>870</v>
      </c>
      <c r="E487" t="s">
        <v>797</v>
      </c>
      <c r="F487" s="1">
        <v>29300</v>
      </c>
      <c r="G487">
        <f ca="1">DATEDIF(THrList[[#This Row],[Date_of_Birth]],NOW(),"Y")</f>
        <v>45</v>
      </c>
      <c r="H487" t="s">
        <v>843</v>
      </c>
      <c r="I487" t="s">
        <v>793</v>
      </c>
      <c r="J487" t="s">
        <v>799</v>
      </c>
    </row>
    <row r="488" spans="1:10" x14ac:dyDescent="0.3">
      <c r="A488" t="s">
        <v>209</v>
      </c>
      <c r="B488" t="s">
        <v>917</v>
      </c>
      <c r="C488" t="str">
        <f>UPPER(THrList[[#This Row],[Last_Name]])</f>
        <v>LAURENT</v>
      </c>
      <c r="D488" t="s">
        <v>939</v>
      </c>
      <c r="E488" t="s">
        <v>791</v>
      </c>
      <c r="F488" s="1">
        <v>26187</v>
      </c>
      <c r="G488">
        <f ca="1">DATEDIF(THrList[[#This Row],[Date_of_Birth]],NOW(),"Y")</f>
        <v>54</v>
      </c>
      <c r="H488" t="s">
        <v>843</v>
      </c>
      <c r="I488" t="s">
        <v>793</v>
      </c>
      <c r="J488" t="s">
        <v>814</v>
      </c>
    </row>
    <row r="489" spans="1:10" x14ac:dyDescent="0.3">
      <c r="A489" t="s">
        <v>415</v>
      </c>
      <c r="B489" t="s">
        <v>892</v>
      </c>
      <c r="C489" t="str">
        <f>UPPER(THrList[[#This Row],[Last_Name]])</f>
        <v>BALDE</v>
      </c>
      <c r="D489" t="s">
        <v>813</v>
      </c>
      <c r="E489" t="s">
        <v>791</v>
      </c>
      <c r="F489" s="1">
        <v>29316</v>
      </c>
      <c r="G489">
        <f ca="1">DATEDIF(THrList[[#This Row],[Date_of_Birth]],NOW(),"Y")</f>
        <v>45</v>
      </c>
      <c r="H489" t="s">
        <v>811</v>
      </c>
      <c r="I489" t="s">
        <v>798</v>
      </c>
      <c r="J489" t="s">
        <v>1018</v>
      </c>
    </row>
    <row r="490" spans="1:10" x14ac:dyDescent="0.3">
      <c r="A490" t="s">
        <v>464</v>
      </c>
      <c r="B490" t="s">
        <v>890</v>
      </c>
      <c r="C490" t="str">
        <f>UPPER(THrList[[#This Row],[Last_Name]])</f>
        <v>ROUSSEAU</v>
      </c>
      <c r="D490" t="s">
        <v>900</v>
      </c>
      <c r="E490" t="s">
        <v>791</v>
      </c>
      <c r="F490" s="1">
        <v>32939</v>
      </c>
      <c r="G490">
        <f ca="1">DATEDIF(THrList[[#This Row],[Date_of_Birth]],NOW(),"Y")</f>
        <v>35</v>
      </c>
      <c r="H490" t="s">
        <v>806</v>
      </c>
      <c r="I490" t="s">
        <v>807</v>
      </c>
      <c r="J490" t="s">
        <v>803</v>
      </c>
    </row>
    <row r="491" spans="1:10" x14ac:dyDescent="0.3">
      <c r="A491" t="s">
        <v>318</v>
      </c>
      <c r="B491" t="s">
        <v>872</v>
      </c>
      <c r="C491" t="str">
        <f>UPPER(THrList[[#This Row],[Last_Name]])</f>
        <v>DIALLO</v>
      </c>
      <c r="D491" t="s">
        <v>834</v>
      </c>
      <c r="E491" t="s">
        <v>791</v>
      </c>
      <c r="F491" s="1">
        <v>34199</v>
      </c>
      <c r="G491">
        <f ca="1">DATEDIF(THrList[[#This Row],[Date_of_Birth]],NOW(),"Y")</f>
        <v>32</v>
      </c>
      <c r="H491" t="s">
        <v>843</v>
      </c>
      <c r="I491" t="s">
        <v>807</v>
      </c>
      <c r="J491" t="s">
        <v>1068</v>
      </c>
    </row>
    <row r="492" spans="1:10" x14ac:dyDescent="0.3">
      <c r="A492" t="s">
        <v>763</v>
      </c>
      <c r="B492" t="s">
        <v>795</v>
      </c>
      <c r="C492" t="str">
        <f>UPPER(THrList[[#This Row],[Last_Name]])</f>
        <v>GIRARD</v>
      </c>
      <c r="D492" t="s">
        <v>878</v>
      </c>
      <c r="E492" t="s">
        <v>797</v>
      </c>
      <c r="F492" s="1">
        <v>25474</v>
      </c>
      <c r="G492">
        <f ca="1">DATEDIF(THrList[[#This Row],[Date_of_Birth]],NOW(),"Y")</f>
        <v>56</v>
      </c>
      <c r="H492" t="s">
        <v>806</v>
      </c>
      <c r="I492" t="s">
        <v>793</v>
      </c>
      <c r="J492" t="s">
        <v>803</v>
      </c>
    </row>
    <row r="493" spans="1:10" x14ac:dyDescent="0.3">
      <c r="A493" t="s">
        <v>612</v>
      </c>
      <c r="B493" t="s">
        <v>800</v>
      </c>
      <c r="C493" t="str">
        <f>UPPER(THrList[[#This Row],[Last_Name]])</f>
        <v>JOHNSON</v>
      </c>
      <c r="D493" t="s">
        <v>947</v>
      </c>
      <c r="E493" t="s">
        <v>797</v>
      </c>
      <c r="F493" s="1">
        <v>27563</v>
      </c>
      <c r="G493">
        <f ca="1">DATEDIF(THrList[[#This Row],[Date_of_Birth]],NOW(),"Y")</f>
        <v>50</v>
      </c>
      <c r="H493" t="s">
        <v>811</v>
      </c>
      <c r="I493" t="s">
        <v>798</v>
      </c>
      <c r="J493" t="s">
        <v>814</v>
      </c>
    </row>
    <row r="494" spans="1:10" x14ac:dyDescent="0.3">
      <c r="A494" t="s">
        <v>292</v>
      </c>
      <c r="B494" t="s">
        <v>871</v>
      </c>
      <c r="C494" t="str">
        <f>UPPER(THrList[[#This Row],[Last_Name]])</f>
        <v>MENSAH</v>
      </c>
      <c r="D494" t="s">
        <v>837</v>
      </c>
      <c r="E494" t="s">
        <v>797</v>
      </c>
      <c r="F494" s="1">
        <v>27913</v>
      </c>
      <c r="G494">
        <f ca="1">DATEDIF(THrList[[#This Row],[Date_of_Birth]],NOW(),"Y")</f>
        <v>49</v>
      </c>
      <c r="H494" t="s">
        <v>806</v>
      </c>
      <c r="I494" t="s">
        <v>793</v>
      </c>
      <c r="J494" t="s">
        <v>794</v>
      </c>
    </row>
    <row r="495" spans="1:10" x14ac:dyDescent="0.3">
      <c r="A495" t="s">
        <v>216</v>
      </c>
      <c r="B495" t="s">
        <v>832</v>
      </c>
      <c r="C495" t="str">
        <f>UPPER(THrList[[#This Row],[Last_Name]])</f>
        <v>FOURNIER</v>
      </c>
      <c r="D495" t="s">
        <v>837</v>
      </c>
      <c r="E495" t="s">
        <v>791</v>
      </c>
      <c r="F495" s="1">
        <v>27538</v>
      </c>
      <c r="G495">
        <f ca="1">DATEDIF(THrList[[#This Row],[Date_of_Birth]],NOW(),"Y")</f>
        <v>50</v>
      </c>
      <c r="H495" t="s">
        <v>843</v>
      </c>
      <c r="I495" t="s">
        <v>798</v>
      </c>
      <c r="J495" t="s">
        <v>808</v>
      </c>
    </row>
    <row r="496" spans="1:10" x14ac:dyDescent="0.3">
      <c r="A496" t="s">
        <v>641</v>
      </c>
      <c r="B496" t="s">
        <v>925</v>
      </c>
      <c r="C496" t="str">
        <f>UPPER(THrList[[#This Row],[Last_Name]])</f>
        <v>LEFEVRE</v>
      </c>
      <c r="D496" t="s">
        <v>919</v>
      </c>
      <c r="E496" t="s">
        <v>797</v>
      </c>
      <c r="F496" s="1">
        <v>30557</v>
      </c>
      <c r="G496">
        <f ca="1">DATEDIF(THrList[[#This Row],[Date_of_Birth]],NOW(),"Y")</f>
        <v>42</v>
      </c>
      <c r="H496" t="s">
        <v>792</v>
      </c>
      <c r="I496" t="s">
        <v>798</v>
      </c>
      <c r="J496" t="s">
        <v>819</v>
      </c>
    </row>
    <row r="497" spans="1:10" x14ac:dyDescent="0.3">
      <c r="A497" t="s">
        <v>1019</v>
      </c>
      <c r="B497" t="s">
        <v>872</v>
      </c>
      <c r="C497" t="str">
        <f>UPPER(THrList[[#This Row],[Last_Name]])</f>
        <v>DIALLO</v>
      </c>
      <c r="D497" t="s">
        <v>914</v>
      </c>
      <c r="E497" t="s">
        <v>797</v>
      </c>
      <c r="F497" s="1">
        <v>25539</v>
      </c>
      <c r="G497">
        <f ca="1">DATEDIF(THrList[[#This Row],[Date_of_Birth]],NOW(),"Y")</f>
        <v>56</v>
      </c>
      <c r="H497" t="s">
        <v>811</v>
      </c>
      <c r="I497" t="s">
        <v>798</v>
      </c>
      <c r="J497" t="s">
        <v>808</v>
      </c>
    </row>
    <row r="498" spans="1:10" x14ac:dyDescent="0.3">
      <c r="A498" t="s">
        <v>589</v>
      </c>
      <c r="B498" t="s">
        <v>855</v>
      </c>
      <c r="C498" t="str">
        <f>UPPER(THrList[[#This Row],[Last_Name]])</f>
        <v>TAYLOR</v>
      </c>
      <c r="D498" t="s">
        <v>801</v>
      </c>
      <c r="E498" t="s">
        <v>791</v>
      </c>
      <c r="F498" s="1">
        <v>30828</v>
      </c>
      <c r="G498">
        <f ca="1">DATEDIF(THrList[[#This Row],[Date_of_Birth]],NOW(),"Y")</f>
        <v>41</v>
      </c>
      <c r="H498" t="s">
        <v>792</v>
      </c>
      <c r="I498" t="s">
        <v>793</v>
      </c>
      <c r="J498" t="s">
        <v>835</v>
      </c>
    </row>
    <row r="499" spans="1:10" x14ac:dyDescent="0.3">
      <c r="A499" t="s">
        <v>743</v>
      </c>
      <c r="B499" t="s">
        <v>881</v>
      </c>
      <c r="C499" t="str">
        <f>UPPER(THrList[[#This Row],[Last_Name]])</f>
        <v>IBRAHIM</v>
      </c>
      <c r="D499" t="s">
        <v>829</v>
      </c>
      <c r="E499" t="s">
        <v>791</v>
      </c>
      <c r="F499" s="1">
        <v>26725</v>
      </c>
      <c r="G499">
        <f ca="1">DATEDIF(THrList[[#This Row],[Date_of_Birth]],NOW(),"Y")</f>
        <v>52</v>
      </c>
      <c r="H499" t="s">
        <v>806</v>
      </c>
      <c r="I499" t="s">
        <v>807</v>
      </c>
      <c r="J499" t="s">
        <v>835</v>
      </c>
    </row>
    <row r="500" spans="1:10" x14ac:dyDescent="0.3">
      <c r="A500" t="s">
        <v>1020</v>
      </c>
      <c r="B500" t="s">
        <v>909</v>
      </c>
      <c r="C500" t="str">
        <f>UPPER(THrList[[#This Row],[Last_Name]])</f>
        <v>DAVIS</v>
      </c>
      <c r="D500" t="s">
        <v>893</v>
      </c>
      <c r="E500" t="s">
        <v>797</v>
      </c>
      <c r="F500" s="1">
        <v>29137</v>
      </c>
      <c r="G500">
        <f ca="1">DATEDIF(THrList[[#This Row],[Date_of_Birth]],NOW(),"Y")</f>
        <v>46</v>
      </c>
      <c r="H500" t="s">
        <v>811</v>
      </c>
      <c r="I500" t="s">
        <v>793</v>
      </c>
      <c r="J500" t="s">
        <v>838</v>
      </c>
    </row>
    <row r="501" spans="1:10" x14ac:dyDescent="0.3">
      <c r="A501" t="s">
        <v>188</v>
      </c>
      <c r="B501" t="s">
        <v>917</v>
      </c>
      <c r="C501" t="str">
        <f>UPPER(THrList[[#This Row],[Last_Name]])</f>
        <v>LAURENT</v>
      </c>
      <c r="D501" t="s">
        <v>880</v>
      </c>
      <c r="E501" t="s">
        <v>791</v>
      </c>
      <c r="F501" s="1">
        <v>25358</v>
      </c>
      <c r="G501">
        <f ca="1">DATEDIF(THrList[[#This Row],[Date_of_Birth]],NOW(),"Y")</f>
        <v>56</v>
      </c>
      <c r="H501" t="s">
        <v>806</v>
      </c>
      <c r="I501" t="s">
        <v>798</v>
      </c>
      <c r="J501" t="s">
        <v>814</v>
      </c>
    </row>
    <row r="502" spans="1:10" x14ac:dyDescent="0.3">
      <c r="A502" t="s">
        <v>1021</v>
      </c>
      <c r="B502" t="s">
        <v>904</v>
      </c>
      <c r="C502" t="str">
        <f>UPPER(THrList[[#This Row],[Last_Name]])</f>
        <v>SINGH</v>
      </c>
      <c r="D502" t="s">
        <v>841</v>
      </c>
      <c r="E502" t="s">
        <v>797</v>
      </c>
      <c r="F502" s="1">
        <v>28640</v>
      </c>
      <c r="G502">
        <f ca="1">DATEDIF(THrList[[#This Row],[Date_of_Birth]],NOW(),"Y")</f>
        <v>47</v>
      </c>
      <c r="H502" t="s">
        <v>792</v>
      </c>
      <c r="I502" t="s">
        <v>807</v>
      </c>
      <c r="J502" t="s">
        <v>799</v>
      </c>
    </row>
    <row r="503" spans="1:10" x14ac:dyDescent="0.3">
      <c r="A503" t="s">
        <v>45</v>
      </c>
      <c r="B503" t="s">
        <v>911</v>
      </c>
      <c r="C503" t="str">
        <f>UPPER(THrList[[#This Row],[Last_Name]])</f>
        <v>BROWN</v>
      </c>
      <c r="D503" t="s">
        <v>906</v>
      </c>
      <c r="E503" t="s">
        <v>797</v>
      </c>
      <c r="F503" s="1">
        <v>37726</v>
      </c>
      <c r="G503">
        <f ca="1">DATEDIF(THrList[[#This Row],[Date_of_Birth]],NOW(),"Y")</f>
        <v>22</v>
      </c>
      <c r="H503" t="s">
        <v>843</v>
      </c>
      <c r="I503" t="s">
        <v>807</v>
      </c>
      <c r="J503" t="s">
        <v>819</v>
      </c>
    </row>
    <row r="504" spans="1:10" x14ac:dyDescent="0.3">
      <c r="A504" t="s">
        <v>584</v>
      </c>
      <c r="B504" t="s">
        <v>802</v>
      </c>
      <c r="C504" t="str">
        <f>UPPER(THrList[[#This Row],[Last_Name]])</f>
        <v>GARCIA</v>
      </c>
      <c r="D504" t="s">
        <v>827</v>
      </c>
      <c r="E504" t="s">
        <v>797</v>
      </c>
      <c r="F504" s="1">
        <v>33656</v>
      </c>
      <c r="G504">
        <f ca="1">DATEDIF(THrList[[#This Row],[Date_of_Birth]],NOW(),"Y")</f>
        <v>33</v>
      </c>
      <c r="H504" t="s">
        <v>843</v>
      </c>
      <c r="I504" t="s">
        <v>793</v>
      </c>
      <c r="J504" t="s">
        <v>823</v>
      </c>
    </row>
    <row r="505" spans="1:10" x14ac:dyDescent="0.3">
      <c r="A505" t="s">
        <v>207</v>
      </c>
      <c r="B505" t="s">
        <v>866</v>
      </c>
      <c r="C505" t="str">
        <f>UPPER(THrList[[#This Row],[Last_Name]])</f>
        <v>ABDULLAH</v>
      </c>
      <c r="D505" t="s">
        <v>822</v>
      </c>
      <c r="E505" t="s">
        <v>791</v>
      </c>
      <c r="F505" s="1">
        <v>37539</v>
      </c>
      <c r="G505">
        <f ca="1">DATEDIF(THrList[[#This Row],[Date_of_Birth]],NOW(),"Y")</f>
        <v>23</v>
      </c>
      <c r="H505" t="s">
        <v>811</v>
      </c>
      <c r="I505" t="s">
        <v>807</v>
      </c>
      <c r="J505" t="s">
        <v>814</v>
      </c>
    </row>
    <row r="506" spans="1:10" x14ac:dyDescent="0.3">
      <c r="A506" t="s">
        <v>485</v>
      </c>
      <c r="B506" t="s">
        <v>821</v>
      </c>
      <c r="C506" t="str">
        <f>UPPER(THrList[[#This Row],[Last_Name]])</f>
        <v>DUBOIS</v>
      </c>
      <c r="D506" t="s">
        <v>893</v>
      </c>
      <c r="E506" t="s">
        <v>797</v>
      </c>
      <c r="F506" s="1">
        <v>32846</v>
      </c>
      <c r="G506">
        <f ca="1">DATEDIF(THrList[[#This Row],[Date_of_Birth]],NOW(),"Y")</f>
        <v>36</v>
      </c>
      <c r="H506" t="s">
        <v>792</v>
      </c>
      <c r="I506" t="s">
        <v>807</v>
      </c>
      <c r="J506" t="s">
        <v>814</v>
      </c>
    </row>
    <row r="507" spans="1:10" x14ac:dyDescent="0.3">
      <c r="A507" t="s">
        <v>673</v>
      </c>
      <c r="B507" t="s">
        <v>821</v>
      </c>
      <c r="C507" t="str">
        <f>UPPER(THrList[[#This Row],[Last_Name]])</f>
        <v>DUBOIS</v>
      </c>
      <c r="D507" t="s">
        <v>846</v>
      </c>
      <c r="E507" t="s">
        <v>791</v>
      </c>
      <c r="F507" s="1">
        <v>36935</v>
      </c>
      <c r="G507">
        <f ca="1">DATEDIF(THrList[[#This Row],[Date_of_Birth]],NOW(),"Y")</f>
        <v>24</v>
      </c>
      <c r="H507" t="s">
        <v>811</v>
      </c>
      <c r="I507" t="s">
        <v>807</v>
      </c>
      <c r="J507" t="s">
        <v>808</v>
      </c>
    </row>
    <row r="508" spans="1:10" x14ac:dyDescent="0.3">
      <c r="A508" t="s">
        <v>640</v>
      </c>
      <c r="B508" t="s">
        <v>871</v>
      </c>
      <c r="C508" t="str">
        <f>UPPER(THrList[[#This Row],[Last_Name]])</f>
        <v>MENSAH</v>
      </c>
      <c r="D508" t="s">
        <v>901</v>
      </c>
      <c r="E508" t="s">
        <v>791</v>
      </c>
      <c r="F508" s="1">
        <v>30876</v>
      </c>
      <c r="G508">
        <f ca="1">DATEDIF(THrList[[#This Row],[Date_of_Birth]],NOW(),"Y")</f>
        <v>41</v>
      </c>
      <c r="H508" t="s">
        <v>843</v>
      </c>
      <c r="I508" t="s">
        <v>798</v>
      </c>
      <c r="J508" t="s">
        <v>823</v>
      </c>
    </row>
    <row r="509" spans="1:10" x14ac:dyDescent="0.3">
      <c r="A509" t="s">
        <v>734</v>
      </c>
      <c r="B509" t="s">
        <v>882</v>
      </c>
      <c r="C509" t="str">
        <f>UPPER(THrList[[#This Row],[Last_Name]])</f>
        <v>WILLIAMS</v>
      </c>
      <c r="D509" t="s">
        <v>914</v>
      </c>
      <c r="E509" t="s">
        <v>797</v>
      </c>
      <c r="F509" s="1">
        <v>26972</v>
      </c>
      <c r="G509">
        <f ca="1">DATEDIF(THrList[[#This Row],[Date_of_Birth]],NOW(),"Y")</f>
        <v>52</v>
      </c>
      <c r="H509" t="s">
        <v>843</v>
      </c>
      <c r="I509" t="s">
        <v>807</v>
      </c>
      <c r="J509" t="s">
        <v>803</v>
      </c>
    </row>
    <row r="510" spans="1:10" x14ac:dyDescent="0.3">
      <c r="A510" t="s">
        <v>1022</v>
      </c>
      <c r="B510" t="s">
        <v>910</v>
      </c>
      <c r="C510" t="str">
        <f>UPPER(THrList[[#This Row],[Last_Name]])</f>
        <v>KHAN</v>
      </c>
      <c r="D510" t="s">
        <v>870</v>
      </c>
      <c r="E510" t="s">
        <v>791</v>
      </c>
      <c r="F510" s="1">
        <v>29028</v>
      </c>
      <c r="G510">
        <f ca="1">DATEDIF(THrList[[#This Row],[Date_of_Birth]],NOW(),"Y")</f>
        <v>46</v>
      </c>
      <c r="H510" t="s">
        <v>792</v>
      </c>
      <c r="I510" t="s">
        <v>793</v>
      </c>
      <c r="J510" t="s">
        <v>823</v>
      </c>
    </row>
    <row r="511" spans="1:10" x14ac:dyDescent="0.3">
      <c r="A511" t="s">
        <v>78</v>
      </c>
      <c r="B511" t="s">
        <v>907</v>
      </c>
      <c r="C511" t="str">
        <f>UPPER(THrList[[#This Row],[Last_Name]])</f>
        <v>GONZALEZ</v>
      </c>
      <c r="D511" t="s">
        <v>796</v>
      </c>
      <c r="E511" t="s">
        <v>797</v>
      </c>
      <c r="F511" s="1">
        <v>34558</v>
      </c>
      <c r="G511">
        <f ca="1">DATEDIF(THrList[[#This Row],[Date_of_Birth]],NOW(),"Y")</f>
        <v>31</v>
      </c>
      <c r="H511" t="s">
        <v>792</v>
      </c>
      <c r="I511" t="s">
        <v>798</v>
      </c>
      <c r="J511" t="s">
        <v>799</v>
      </c>
    </row>
    <row r="512" spans="1:10" x14ac:dyDescent="0.3">
      <c r="A512" t="s">
        <v>1023</v>
      </c>
      <c r="B512" t="s">
        <v>869</v>
      </c>
      <c r="C512" t="str">
        <f>UPPER(THrList[[#This Row],[Last_Name]])</f>
        <v>MILLER</v>
      </c>
      <c r="D512" t="s">
        <v>939</v>
      </c>
      <c r="E512" t="s">
        <v>797</v>
      </c>
      <c r="F512" s="1">
        <v>33492</v>
      </c>
      <c r="G512">
        <f ca="1">DATEDIF(THrList[[#This Row],[Date_of_Birth]],NOW(),"Y")</f>
        <v>34</v>
      </c>
      <c r="H512" t="s">
        <v>843</v>
      </c>
      <c r="I512" t="s">
        <v>793</v>
      </c>
      <c r="J512" t="s">
        <v>1068</v>
      </c>
    </row>
    <row r="513" spans="1:10" x14ac:dyDescent="0.3">
      <c r="A513" t="s">
        <v>80</v>
      </c>
      <c r="B513" t="s">
        <v>869</v>
      </c>
      <c r="C513" t="str">
        <f>UPPER(THrList[[#This Row],[Last_Name]])</f>
        <v>MILLER</v>
      </c>
      <c r="D513" t="s">
        <v>813</v>
      </c>
      <c r="E513" t="s">
        <v>797</v>
      </c>
      <c r="F513" s="1">
        <v>34251</v>
      </c>
      <c r="G513">
        <f ca="1">DATEDIF(THrList[[#This Row],[Date_of_Birth]],NOW(),"Y")</f>
        <v>32</v>
      </c>
      <c r="H513" t="s">
        <v>811</v>
      </c>
      <c r="I513" t="s">
        <v>798</v>
      </c>
      <c r="J513" t="s">
        <v>838</v>
      </c>
    </row>
    <row r="514" spans="1:10" x14ac:dyDescent="0.3">
      <c r="A514" t="s">
        <v>259</v>
      </c>
      <c r="B514" t="s">
        <v>937</v>
      </c>
      <c r="C514" t="str">
        <f>UPPER(THrList[[#This Row],[Last_Name]])</f>
        <v>KOUASSI</v>
      </c>
      <c r="D514" t="s">
        <v>853</v>
      </c>
      <c r="E514" t="s">
        <v>791</v>
      </c>
      <c r="F514" s="1">
        <v>34438</v>
      </c>
      <c r="G514">
        <f ca="1">DATEDIF(THrList[[#This Row],[Date_of_Birth]],NOW(),"Y")</f>
        <v>31</v>
      </c>
      <c r="H514" t="s">
        <v>811</v>
      </c>
      <c r="I514" t="s">
        <v>798</v>
      </c>
      <c r="J514" t="s">
        <v>838</v>
      </c>
    </row>
    <row r="515" spans="1:10" x14ac:dyDescent="0.3">
      <c r="A515" t="s">
        <v>239</v>
      </c>
      <c r="B515" t="s">
        <v>871</v>
      </c>
      <c r="C515" t="str">
        <f>UPPER(THrList[[#This Row],[Last_Name]])</f>
        <v>MENSAH</v>
      </c>
      <c r="D515" t="s">
        <v>841</v>
      </c>
      <c r="E515" t="s">
        <v>791</v>
      </c>
      <c r="F515" s="1">
        <v>28390</v>
      </c>
      <c r="G515">
        <f ca="1">DATEDIF(THrList[[#This Row],[Date_of_Birth]],NOW(),"Y")</f>
        <v>48</v>
      </c>
      <c r="H515" t="s">
        <v>811</v>
      </c>
      <c r="I515" t="s">
        <v>807</v>
      </c>
      <c r="J515" t="s">
        <v>803</v>
      </c>
    </row>
    <row r="516" spans="1:10" x14ac:dyDescent="0.3">
      <c r="A516" t="s">
        <v>1024</v>
      </c>
      <c r="B516" t="s">
        <v>863</v>
      </c>
      <c r="C516" t="str">
        <f>UPPER(THrList[[#This Row],[Last_Name]])</f>
        <v>THOMAS</v>
      </c>
      <c r="D516" t="s">
        <v>893</v>
      </c>
      <c r="E516" t="s">
        <v>791</v>
      </c>
      <c r="F516" s="1">
        <v>36210</v>
      </c>
      <c r="G516">
        <f ca="1">DATEDIF(THrList[[#This Row],[Date_of_Birth]],NOW(),"Y")</f>
        <v>26</v>
      </c>
      <c r="H516" t="s">
        <v>811</v>
      </c>
      <c r="I516" t="s">
        <v>798</v>
      </c>
      <c r="J516" t="s">
        <v>823</v>
      </c>
    </row>
    <row r="517" spans="1:10" x14ac:dyDescent="0.3">
      <c r="A517" t="s">
        <v>754</v>
      </c>
      <c r="B517" t="s">
        <v>826</v>
      </c>
      <c r="C517" t="str">
        <f>UPPER(THrList[[#This Row],[Last_Name]])</f>
        <v>RODRIGUEZ</v>
      </c>
      <c r="D517" t="s">
        <v>805</v>
      </c>
      <c r="E517" t="s">
        <v>797</v>
      </c>
      <c r="F517" s="1">
        <v>26784</v>
      </c>
      <c r="G517">
        <f ca="1">DATEDIF(THrList[[#This Row],[Date_of_Birth]],NOW(),"Y")</f>
        <v>52</v>
      </c>
      <c r="H517" t="s">
        <v>792</v>
      </c>
      <c r="I517" t="s">
        <v>807</v>
      </c>
      <c r="J517" t="s">
        <v>838</v>
      </c>
    </row>
    <row r="518" spans="1:10" x14ac:dyDescent="0.3">
      <c r="A518" t="s">
        <v>116</v>
      </c>
      <c r="B518" t="s">
        <v>845</v>
      </c>
      <c r="C518" t="str">
        <f>UPPER(THrList[[#This Row],[Last_Name]])</f>
        <v>WILSON</v>
      </c>
      <c r="D518" t="s">
        <v>906</v>
      </c>
      <c r="E518" t="s">
        <v>797</v>
      </c>
      <c r="F518" s="1">
        <v>25220</v>
      </c>
      <c r="G518">
        <f ca="1">DATEDIF(THrList[[#This Row],[Date_of_Birth]],NOW(),"Y")</f>
        <v>56</v>
      </c>
      <c r="H518" t="s">
        <v>792</v>
      </c>
      <c r="I518" t="s">
        <v>807</v>
      </c>
      <c r="J518" t="s">
        <v>823</v>
      </c>
    </row>
    <row r="519" spans="1:10" x14ac:dyDescent="0.3">
      <c r="A519" t="s">
        <v>1025</v>
      </c>
      <c r="B519" t="s">
        <v>892</v>
      </c>
      <c r="C519" t="str">
        <f>UPPER(THrList[[#This Row],[Last_Name]])</f>
        <v>BALDE</v>
      </c>
      <c r="D519" t="s">
        <v>876</v>
      </c>
      <c r="E519" t="s">
        <v>791</v>
      </c>
      <c r="F519" s="1">
        <v>32876</v>
      </c>
      <c r="G519">
        <f ca="1">DATEDIF(THrList[[#This Row],[Date_of_Birth]],NOW(),"Y")</f>
        <v>35</v>
      </c>
      <c r="H519" t="s">
        <v>806</v>
      </c>
      <c r="I519" t="s">
        <v>793</v>
      </c>
      <c r="J519" t="s">
        <v>799</v>
      </c>
    </row>
    <row r="520" spans="1:10" x14ac:dyDescent="0.3">
      <c r="A520" t="s">
        <v>262</v>
      </c>
      <c r="B520" t="s">
        <v>847</v>
      </c>
      <c r="C520" t="str">
        <f>UPPER(THrList[[#This Row],[Last_Name]])</f>
        <v>ALI</v>
      </c>
      <c r="D520" t="s">
        <v>853</v>
      </c>
      <c r="E520" t="s">
        <v>797</v>
      </c>
      <c r="F520" s="1">
        <v>30402</v>
      </c>
      <c r="G520">
        <f ca="1">DATEDIF(THrList[[#This Row],[Date_of_Birth]],NOW(),"Y")</f>
        <v>42</v>
      </c>
      <c r="H520" t="s">
        <v>843</v>
      </c>
      <c r="I520" t="s">
        <v>798</v>
      </c>
      <c r="J520" t="s">
        <v>838</v>
      </c>
    </row>
    <row r="521" spans="1:10" x14ac:dyDescent="0.3">
      <c r="A521" t="s">
        <v>575</v>
      </c>
      <c r="B521" t="s">
        <v>872</v>
      </c>
      <c r="C521" t="str">
        <f>UPPER(THrList[[#This Row],[Last_Name]])</f>
        <v>DIALLO</v>
      </c>
      <c r="D521" t="s">
        <v>829</v>
      </c>
      <c r="E521" t="s">
        <v>797</v>
      </c>
      <c r="F521" s="1">
        <v>29031</v>
      </c>
      <c r="G521">
        <f ca="1">DATEDIF(THrList[[#This Row],[Date_of_Birth]],NOW(),"Y")</f>
        <v>46</v>
      </c>
      <c r="H521" t="s">
        <v>843</v>
      </c>
      <c r="I521" t="s">
        <v>793</v>
      </c>
      <c r="J521" t="s">
        <v>794</v>
      </c>
    </row>
    <row r="522" spans="1:10" x14ac:dyDescent="0.3">
      <c r="A522" t="s">
        <v>1026</v>
      </c>
      <c r="B522" t="s">
        <v>863</v>
      </c>
      <c r="C522" t="str">
        <f>UPPER(THrList[[#This Row],[Last_Name]])</f>
        <v>THOMAS</v>
      </c>
      <c r="D522" t="s">
        <v>790</v>
      </c>
      <c r="E522" t="s">
        <v>791</v>
      </c>
      <c r="F522" s="1">
        <v>34375</v>
      </c>
      <c r="G522">
        <f ca="1">DATEDIF(THrList[[#This Row],[Date_of_Birth]],NOW(),"Y")</f>
        <v>31</v>
      </c>
      <c r="H522" t="s">
        <v>806</v>
      </c>
      <c r="I522" t="s">
        <v>807</v>
      </c>
      <c r="J522" t="s">
        <v>838</v>
      </c>
    </row>
    <row r="523" spans="1:10" x14ac:dyDescent="0.3">
      <c r="A523" t="s">
        <v>568</v>
      </c>
      <c r="B523" t="s">
        <v>812</v>
      </c>
      <c r="C523" t="str">
        <f>UPPER(THrList[[#This Row],[Last_Name]])</f>
        <v>CAMARA</v>
      </c>
      <c r="D523" t="s">
        <v>846</v>
      </c>
      <c r="E523" t="s">
        <v>797</v>
      </c>
      <c r="F523" s="1">
        <v>26746</v>
      </c>
      <c r="G523">
        <f ca="1">DATEDIF(THrList[[#This Row],[Date_of_Birth]],NOW(),"Y")</f>
        <v>52</v>
      </c>
      <c r="H523" t="s">
        <v>843</v>
      </c>
      <c r="I523" t="s">
        <v>798</v>
      </c>
      <c r="J523" t="s">
        <v>799</v>
      </c>
    </row>
    <row r="524" spans="1:10" x14ac:dyDescent="0.3">
      <c r="A524" t="s">
        <v>154</v>
      </c>
      <c r="B524" t="s">
        <v>881</v>
      </c>
      <c r="C524" t="str">
        <f>UPPER(THrList[[#This Row],[Last_Name]])</f>
        <v>IBRAHIM</v>
      </c>
      <c r="D524" t="s">
        <v>856</v>
      </c>
      <c r="E524" t="s">
        <v>797</v>
      </c>
      <c r="F524" s="1">
        <v>24874</v>
      </c>
      <c r="G524">
        <f ca="1">DATEDIF(THrList[[#This Row],[Date_of_Birth]],NOW(),"Y")</f>
        <v>57</v>
      </c>
      <c r="H524" t="s">
        <v>811</v>
      </c>
      <c r="I524" t="s">
        <v>807</v>
      </c>
      <c r="J524" t="s">
        <v>835</v>
      </c>
    </row>
    <row r="525" spans="1:10" x14ac:dyDescent="0.3">
      <c r="A525" t="s">
        <v>1027</v>
      </c>
      <c r="B525" t="s">
        <v>920</v>
      </c>
      <c r="C525" t="str">
        <f>UPPER(THrList[[#This Row],[Last_Name]])</f>
        <v>HERNANDEZ</v>
      </c>
      <c r="D525" t="s">
        <v>885</v>
      </c>
      <c r="E525" t="s">
        <v>797</v>
      </c>
      <c r="F525" s="1">
        <v>27725</v>
      </c>
      <c r="G525">
        <f ca="1">DATEDIF(THrList[[#This Row],[Date_of_Birth]],NOW(),"Y")</f>
        <v>50</v>
      </c>
      <c r="H525" t="s">
        <v>806</v>
      </c>
      <c r="I525" t="s">
        <v>793</v>
      </c>
      <c r="J525" t="s">
        <v>835</v>
      </c>
    </row>
    <row r="526" spans="1:10" x14ac:dyDescent="0.3">
      <c r="A526" t="s">
        <v>131</v>
      </c>
      <c r="B526" t="s">
        <v>833</v>
      </c>
      <c r="C526" t="str">
        <f>UPPER(THrList[[#This Row],[Last_Name]])</f>
        <v>JONES</v>
      </c>
      <c r="D526" t="s">
        <v>841</v>
      </c>
      <c r="E526" t="s">
        <v>797</v>
      </c>
      <c r="F526" s="1">
        <v>26990</v>
      </c>
      <c r="G526">
        <f ca="1">DATEDIF(THrList[[#This Row],[Date_of_Birth]],NOW(),"Y")</f>
        <v>52</v>
      </c>
      <c r="H526" t="s">
        <v>792</v>
      </c>
      <c r="I526" t="s">
        <v>793</v>
      </c>
      <c r="J526" t="s">
        <v>835</v>
      </c>
    </row>
    <row r="527" spans="1:10" x14ac:dyDescent="0.3">
      <c r="A527" t="s">
        <v>196</v>
      </c>
      <c r="B527" t="s">
        <v>882</v>
      </c>
      <c r="C527" t="str">
        <f>UPPER(THrList[[#This Row],[Last_Name]])</f>
        <v>WILLIAMS</v>
      </c>
      <c r="D527" t="s">
        <v>856</v>
      </c>
      <c r="E527" t="s">
        <v>791</v>
      </c>
      <c r="F527" s="1">
        <v>29364</v>
      </c>
      <c r="G527">
        <f ca="1">DATEDIF(THrList[[#This Row],[Date_of_Birth]],NOW(),"Y")</f>
        <v>45</v>
      </c>
      <c r="H527" t="s">
        <v>806</v>
      </c>
      <c r="I527" t="s">
        <v>793</v>
      </c>
      <c r="J527" t="s">
        <v>835</v>
      </c>
    </row>
    <row r="528" spans="1:10" x14ac:dyDescent="0.3">
      <c r="A528" t="s">
        <v>257</v>
      </c>
      <c r="B528" t="s">
        <v>879</v>
      </c>
      <c r="C528" t="str">
        <f>UPPER(THrList[[#This Row],[Last_Name]])</f>
        <v>KONE</v>
      </c>
      <c r="D528" t="s">
        <v>818</v>
      </c>
      <c r="E528" t="s">
        <v>791</v>
      </c>
      <c r="F528" s="1">
        <v>37658</v>
      </c>
      <c r="G528">
        <f ca="1">DATEDIF(THrList[[#This Row],[Date_of_Birth]],NOW(),"Y")</f>
        <v>22</v>
      </c>
      <c r="H528" t="s">
        <v>811</v>
      </c>
      <c r="I528" t="s">
        <v>807</v>
      </c>
      <c r="J528" t="s">
        <v>823</v>
      </c>
    </row>
    <row r="529" spans="1:10" x14ac:dyDescent="0.3">
      <c r="A529" t="s">
        <v>187</v>
      </c>
      <c r="B529" t="s">
        <v>829</v>
      </c>
      <c r="C529" t="str">
        <f>UPPER(THrList[[#This Row],[Last_Name]])</f>
        <v>HASSAN</v>
      </c>
      <c r="D529" t="s">
        <v>900</v>
      </c>
      <c r="E529" t="s">
        <v>797</v>
      </c>
      <c r="F529" s="1">
        <v>28520</v>
      </c>
      <c r="G529">
        <f ca="1">DATEDIF(THrList[[#This Row],[Date_of_Birth]],NOW(),"Y")</f>
        <v>47</v>
      </c>
      <c r="H529" t="s">
        <v>843</v>
      </c>
      <c r="I529" t="s">
        <v>798</v>
      </c>
      <c r="J529" t="s">
        <v>823</v>
      </c>
    </row>
    <row r="530" spans="1:10" x14ac:dyDescent="0.3">
      <c r="A530" t="s">
        <v>1028</v>
      </c>
      <c r="B530" t="s">
        <v>829</v>
      </c>
      <c r="C530" t="str">
        <f>UPPER(THrList[[#This Row],[Last_Name]])</f>
        <v>HASSAN</v>
      </c>
      <c r="D530" t="s">
        <v>926</v>
      </c>
      <c r="E530" t="s">
        <v>797</v>
      </c>
      <c r="F530" s="1">
        <v>37562</v>
      </c>
      <c r="G530">
        <f ca="1">DATEDIF(THrList[[#This Row],[Date_of_Birth]],NOW(),"Y")</f>
        <v>23</v>
      </c>
      <c r="H530" t="s">
        <v>811</v>
      </c>
      <c r="I530" t="s">
        <v>807</v>
      </c>
      <c r="J530" t="s">
        <v>794</v>
      </c>
    </row>
    <row r="531" spans="1:10" x14ac:dyDescent="0.3">
      <c r="A531" t="s">
        <v>86</v>
      </c>
      <c r="B531" t="s">
        <v>868</v>
      </c>
      <c r="C531" t="str">
        <f>UPPER(THrList[[#This Row],[Last_Name]])</f>
        <v>LOPEZ</v>
      </c>
      <c r="D531" t="s">
        <v>842</v>
      </c>
      <c r="E531" t="s">
        <v>791</v>
      </c>
      <c r="F531" s="1">
        <v>27346</v>
      </c>
      <c r="G531">
        <f ca="1">DATEDIF(THrList[[#This Row],[Date_of_Birth]],NOW(),"Y")</f>
        <v>51</v>
      </c>
      <c r="H531" t="s">
        <v>811</v>
      </c>
      <c r="I531" t="s">
        <v>807</v>
      </c>
      <c r="J531" t="s">
        <v>835</v>
      </c>
    </row>
    <row r="532" spans="1:10" x14ac:dyDescent="0.3">
      <c r="A532" t="s">
        <v>107</v>
      </c>
      <c r="B532" t="s">
        <v>809</v>
      </c>
      <c r="C532" t="str">
        <f>UPPER(THrList[[#This Row],[Last_Name]])</f>
        <v>TRAORE</v>
      </c>
      <c r="D532" t="s">
        <v>822</v>
      </c>
      <c r="E532" t="s">
        <v>791</v>
      </c>
      <c r="F532" s="1">
        <v>32518</v>
      </c>
      <c r="G532">
        <f ca="1">DATEDIF(THrList[[#This Row],[Date_of_Birth]],NOW(),"Y")</f>
        <v>36</v>
      </c>
      <c r="H532" t="s">
        <v>806</v>
      </c>
      <c r="I532" t="s">
        <v>793</v>
      </c>
      <c r="J532" t="s">
        <v>794</v>
      </c>
    </row>
    <row r="533" spans="1:10" x14ac:dyDescent="0.3">
      <c r="A533" t="s">
        <v>476</v>
      </c>
      <c r="B533" t="s">
        <v>910</v>
      </c>
      <c r="C533" t="str">
        <f>UPPER(THrList[[#This Row],[Last_Name]])</f>
        <v>KHAN</v>
      </c>
      <c r="D533" t="s">
        <v>885</v>
      </c>
      <c r="E533" t="s">
        <v>797</v>
      </c>
      <c r="F533" s="1">
        <v>35312</v>
      </c>
      <c r="G533">
        <f ca="1">DATEDIF(THrList[[#This Row],[Date_of_Birth]],NOW(),"Y")</f>
        <v>29</v>
      </c>
      <c r="H533" t="s">
        <v>811</v>
      </c>
      <c r="I533" t="s">
        <v>793</v>
      </c>
      <c r="J533" t="s">
        <v>794</v>
      </c>
    </row>
    <row r="534" spans="1:10" x14ac:dyDescent="0.3">
      <c r="A534" t="s">
        <v>1029</v>
      </c>
      <c r="B534" t="s">
        <v>910</v>
      </c>
      <c r="C534" t="str">
        <f>UPPER(THrList[[#This Row],[Last_Name]])</f>
        <v>KHAN</v>
      </c>
      <c r="D534" t="s">
        <v>883</v>
      </c>
      <c r="E534" t="s">
        <v>797</v>
      </c>
      <c r="F534" s="1">
        <v>30407</v>
      </c>
      <c r="G534">
        <f ca="1">DATEDIF(THrList[[#This Row],[Date_of_Birth]],NOW(),"Y")</f>
        <v>42</v>
      </c>
      <c r="H534" t="s">
        <v>792</v>
      </c>
      <c r="I534" t="s">
        <v>793</v>
      </c>
      <c r="J534" t="s">
        <v>823</v>
      </c>
    </row>
    <row r="535" spans="1:10" x14ac:dyDescent="0.3">
      <c r="A535" t="s">
        <v>1030</v>
      </c>
      <c r="B535" t="s">
        <v>892</v>
      </c>
      <c r="C535" t="str">
        <f>UPPER(THrList[[#This Row],[Last_Name]])</f>
        <v>BALDE</v>
      </c>
      <c r="D535" t="s">
        <v>939</v>
      </c>
      <c r="E535" t="s">
        <v>791</v>
      </c>
      <c r="F535" s="1">
        <v>36994</v>
      </c>
      <c r="G535">
        <f ca="1">DATEDIF(THrList[[#This Row],[Date_of_Birth]],NOW(),"Y")</f>
        <v>24</v>
      </c>
      <c r="H535" t="s">
        <v>843</v>
      </c>
      <c r="I535" t="s">
        <v>807</v>
      </c>
      <c r="J535" t="s">
        <v>799</v>
      </c>
    </row>
    <row r="536" spans="1:10" x14ac:dyDescent="0.3">
      <c r="A536" t="s">
        <v>319</v>
      </c>
      <c r="B536" t="s">
        <v>858</v>
      </c>
      <c r="C536" t="str">
        <f>UPPER(THrList[[#This Row],[Last_Name]])</f>
        <v>MOORE</v>
      </c>
      <c r="D536" t="s">
        <v>822</v>
      </c>
      <c r="E536" t="s">
        <v>797</v>
      </c>
      <c r="F536" s="1">
        <v>32772</v>
      </c>
      <c r="G536">
        <f ca="1">DATEDIF(THrList[[#This Row],[Date_of_Birth]],NOW(),"Y")</f>
        <v>36</v>
      </c>
      <c r="H536" t="s">
        <v>811</v>
      </c>
      <c r="I536" t="s">
        <v>807</v>
      </c>
      <c r="J536" t="s">
        <v>794</v>
      </c>
    </row>
    <row r="537" spans="1:10" x14ac:dyDescent="0.3">
      <c r="A537" t="s">
        <v>748</v>
      </c>
      <c r="B537" t="s">
        <v>866</v>
      </c>
      <c r="C537" t="str">
        <f>UPPER(THrList[[#This Row],[Last_Name]])</f>
        <v>ABDULLAH</v>
      </c>
      <c r="D537" t="s">
        <v>900</v>
      </c>
      <c r="E537" t="s">
        <v>791</v>
      </c>
      <c r="F537" s="1">
        <v>25787</v>
      </c>
      <c r="G537">
        <f ca="1">DATEDIF(THrList[[#This Row],[Date_of_Birth]],NOW(),"Y")</f>
        <v>55</v>
      </c>
      <c r="H537" t="s">
        <v>806</v>
      </c>
      <c r="I537" t="s">
        <v>807</v>
      </c>
      <c r="J537" t="s">
        <v>794</v>
      </c>
    </row>
    <row r="538" spans="1:10" x14ac:dyDescent="0.3">
      <c r="A538" t="s">
        <v>665</v>
      </c>
      <c r="B538" t="s">
        <v>859</v>
      </c>
      <c r="C538" t="str">
        <f>UPPER(THrList[[#This Row],[Last_Name]])</f>
        <v>PATEL</v>
      </c>
      <c r="D538" t="s">
        <v>827</v>
      </c>
      <c r="E538" t="s">
        <v>791</v>
      </c>
      <c r="F538" s="1">
        <v>36632</v>
      </c>
      <c r="G538">
        <f ca="1">DATEDIF(THrList[[#This Row],[Date_of_Birth]],NOW(),"Y")</f>
        <v>25</v>
      </c>
      <c r="H538" t="s">
        <v>811</v>
      </c>
      <c r="I538" t="s">
        <v>798</v>
      </c>
      <c r="J538" t="s">
        <v>808</v>
      </c>
    </row>
    <row r="539" spans="1:10" x14ac:dyDescent="0.3">
      <c r="A539" t="s">
        <v>610</v>
      </c>
      <c r="B539" t="s">
        <v>862</v>
      </c>
      <c r="C539" t="str">
        <f>UPPER(THrList[[#This Row],[Last_Name]])</f>
        <v>CHEN</v>
      </c>
      <c r="D539" t="s">
        <v>881</v>
      </c>
      <c r="E539" t="s">
        <v>791</v>
      </c>
      <c r="F539" s="1">
        <v>31524</v>
      </c>
      <c r="G539">
        <f ca="1">DATEDIF(THrList[[#This Row],[Date_of_Birth]],NOW(),"Y")</f>
        <v>39</v>
      </c>
      <c r="H539" t="s">
        <v>792</v>
      </c>
      <c r="I539" t="s">
        <v>798</v>
      </c>
      <c r="J539" t="s">
        <v>838</v>
      </c>
    </row>
    <row r="540" spans="1:10" x14ac:dyDescent="0.3">
      <c r="A540" t="s">
        <v>580</v>
      </c>
      <c r="B540" t="s">
        <v>869</v>
      </c>
      <c r="C540" t="str">
        <f>UPPER(THrList[[#This Row],[Last_Name]])</f>
        <v>MILLER</v>
      </c>
      <c r="D540" t="s">
        <v>874</v>
      </c>
      <c r="E540" t="s">
        <v>797</v>
      </c>
      <c r="F540" s="1">
        <v>31844</v>
      </c>
      <c r="G540">
        <f ca="1">DATEDIF(THrList[[#This Row],[Date_of_Birth]],NOW(),"Y")</f>
        <v>38</v>
      </c>
      <c r="H540" t="s">
        <v>811</v>
      </c>
      <c r="I540" t="s">
        <v>798</v>
      </c>
      <c r="J540" t="s">
        <v>838</v>
      </c>
    </row>
    <row r="541" spans="1:10" x14ac:dyDescent="0.3">
      <c r="A541" t="s">
        <v>315</v>
      </c>
      <c r="B541" t="s">
        <v>904</v>
      </c>
      <c r="C541" t="str">
        <f>UPPER(THrList[[#This Row],[Last_Name]])</f>
        <v>SINGH</v>
      </c>
      <c r="D541" t="s">
        <v>841</v>
      </c>
      <c r="E541" t="s">
        <v>797</v>
      </c>
      <c r="F541" s="1">
        <v>25193</v>
      </c>
      <c r="G541">
        <f ca="1">DATEDIF(THrList[[#This Row],[Date_of_Birth]],NOW(),"Y")</f>
        <v>56</v>
      </c>
      <c r="H541" t="s">
        <v>792</v>
      </c>
      <c r="I541" t="s">
        <v>807</v>
      </c>
      <c r="J541" t="s">
        <v>819</v>
      </c>
    </row>
    <row r="542" spans="1:10" x14ac:dyDescent="0.3">
      <c r="A542" t="s">
        <v>645</v>
      </c>
      <c r="B542" t="s">
        <v>851</v>
      </c>
      <c r="C542" t="str">
        <f>UPPER(THrList[[#This Row],[Last_Name]])</f>
        <v>NGUYEN</v>
      </c>
      <c r="D542" t="s">
        <v>830</v>
      </c>
      <c r="E542" t="s">
        <v>791</v>
      </c>
      <c r="F542" s="1">
        <v>27630</v>
      </c>
      <c r="G542">
        <f ca="1">DATEDIF(THrList[[#This Row],[Date_of_Birth]],NOW(),"Y")</f>
        <v>50</v>
      </c>
      <c r="H542" t="s">
        <v>792</v>
      </c>
      <c r="I542" t="s">
        <v>798</v>
      </c>
      <c r="J542" t="s">
        <v>799</v>
      </c>
    </row>
    <row r="543" spans="1:10" x14ac:dyDescent="0.3">
      <c r="A543" t="s">
        <v>268</v>
      </c>
      <c r="B543" t="s">
        <v>872</v>
      </c>
      <c r="C543" t="str">
        <f>UPPER(THrList[[#This Row],[Last_Name]])</f>
        <v>DIALLO</v>
      </c>
      <c r="D543" t="s">
        <v>895</v>
      </c>
      <c r="E543" t="s">
        <v>791</v>
      </c>
      <c r="F543" s="1">
        <v>31478</v>
      </c>
      <c r="G543">
        <f ca="1">DATEDIF(THrList[[#This Row],[Date_of_Birth]],NOW(),"Y")</f>
        <v>39</v>
      </c>
      <c r="H543" t="s">
        <v>792</v>
      </c>
      <c r="I543" t="s">
        <v>793</v>
      </c>
      <c r="J543" t="s">
        <v>814</v>
      </c>
    </row>
    <row r="544" spans="1:10" x14ac:dyDescent="0.3">
      <c r="A544" t="s">
        <v>629</v>
      </c>
      <c r="B544" t="s">
        <v>824</v>
      </c>
      <c r="C544" t="str">
        <f>UPPER(THrList[[#This Row],[Last_Name]])</f>
        <v>SOW</v>
      </c>
      <c r="D544" t="s">
        <v>857</v>
      </c>
      <c r="E544" t="s">
        <v>791</v>
      </c>
      <c r="F544" s="1">
        <v>25971</v>
      </c>
      <c r="G544">
        <f ca="1">DATEDIF(THrList[[#This Row],[Date_of_Birth]],NOW(),"Y")</f>
        <v>54</v>
      </c>
      <c r="H544" t="s">
        <v>792</v>
      </c>
      <c r="I544" t="s">
        <v>798</v>
      </c>
      <c r="J544" t="s">
        <v>803</v>
      </c>
    </row>
    <row r="545" spans="1:10" x14ac:dyDescent="0.3">
      <c r="A545" t="s">
        <v>519</v>
      </c>
      <c r="B545" t="s">
        <v>868</v>
      </c>
      <c r="C545" t="str">
        <f>UPPER(THrList[[#This Row],[Last_Name]])</f>
        <v>LOPEZ</v>
      </c>
      <c r="D545" t="s">
        <v>827</v>
      </c>
      <c r="E545" t="s">
        <v>791</v>
      </c>
      <c r="F545" s="1">
        <v>31941</v>
      </c>
      <c r="G545">
        <f ca="1">DATEDIF(THrList[[#This Row],[Date_of_Birth]],NOW(),"Y")</f>
        <v>38</v>
      </c>
      <c r="H545" t="s">
        <v>806</v>
      </c>
      <c r="I545" t="s">
        <v>793</v>
      </c>
      <c r="J545" t="s">
        <v>819</v>
      </c>
    </row>
    <row r="546" spans="1:10" x14ac:dyDescent="0.3">
      <c r="A546" t="s">
        <v>1031</v>
      </c>
      <c r="B546" t="s">
        <v>824</v>
      </c>
      <c r="C546" t="str">
        <f>UPPER(THrList[[#This Row],[Last_Name]])</f>
        <v>SOW</v>
      </c>
      <c r="D546" t="s">
        <v>816</v>
      </c>
      <c r="E546" t="s">
        <v>797</v>
      </c>
      <c r="F546" s="1">
        <v>36758</v>
      </c>
      <c r="G546">
        <f ca="1">DATEDIF(THrList[[#This Row],[Date_of_Birth]],NOW(),"Y")</f>
        <v>25</v>
      </c>
      <c r="H546" t="s">
        <v>792</v>
      </c>
      <c r="I546" t="s">
        <v>798</v>
      </c>
      <c r="J546" t="s">
        <v>803</v>
      </c>
    </row>
    <row r="547" spans="1:10" x14ac:dyDescent="0.3">
      <c r="A547" t="s">
        <v>618</v>
      </c>
      <c r="B547" t="s">
        <v>804</v>
      </c>
      <c r="C547" t="str">
        <f>UPPER(THrList[[#This Row],[Last_Name]])</f>
        <v>SMITH</v>
      </c>
      <c r="D547" t="s">
        <v>883</v>
      </c>
      <c r="E547" t="s">
        <v>791</v>
      </c>
      <c r="F547" s="1">
        <v>31418</v>
      </c>
      <c r="G547">
        <f ca="1">DATEDIF(THrList[[#This Row],[Date_of_Birth]],NOW(),"Y")</f>
        <v>39</v>
      </c>
      <c r="H547" t="s">
        <v>792</v>
      </c>
      <c r="I547" t="s">
        <v>807</v>
      </c>
      <c r="J547" t="s">
        <v>808</v>
      </c>
    </row>
    <row r="548" spans="1:10" x14ac:dyDescent="0.3">
      <c r="A548" t="s">
        <v>1032</v>
      </c>
      <c r="B548" t="s">
        <v>826</v>
      </c>
      <c r="C548" t="str">
        <f>UPPER(THrList[[#This Row],[Last_Name]])</f>
        <v>RODRIGUEZ</v>
      </c>
      <c r="D548" t="s">
        <v>790</v>
      </c>
      <c r="E548" t="s">
        <v>797</v>
      </c>
      <c r="F548" s="1">
        <v>30395</v>
      </c>
      <c r="G548">
        <f ca="1">DATEDIF(THrList[[#This Row],[Date_of_Birth]],NOW(),"Y")</f>
        <v>42</v>
      </c>
      <c r="H548" t="s">
        <v>792</v>
      </c>
      <c r="I548" t="s">
        <v>807</v>
      </c>
      <c r="J548" t="s">
        <v>835</v>
      </c>
    </row>
    <row r="549" spans="1:10" x14ac:dyDescent="0.3">
      <c r="A549" t="s">
        <v>75</v>
      </c>
      <c r="B549" t="s">
        <v>907</v>
      </c>
      <c r="C549" t="str">
        <f>UPPER(THrList[[#This Row],[Last_Name]])</f>
        <v>GONZALEZ</v>
      </c>
      <c r="D549" t="s">
        <v>856</v>
      </c>
      <c r="E549" t="s">
        <v>791</v>
      </c>
      <c r="F549" s="1">
        <v>32266</v>
      </c>
      <c r="G549">
        <f ca="1">DATEDIF(THrList[[#This Row],[Date_of_Birth]],NOW(),"Y")</f>
        <v>37</v>
      </c>
      <c r="H549" t="s">
        <v>811</v>
      </c>
      <c r="I549" t="s">
        <v>793</v>
      </c>
      <c r="J549" t="s">
        <v>835</v>
      </c>
    </row>
    <row r="550" spans="1:10" x14ac:dyDescent="0.3">
      <c r="A550" t="s">
        <v>538</v>
      </c>
      <c r="B550" t="s">
        <v>851</v>
      </c>
      <c r="C550" t="str">
        <f>UPPER(THrList[[#This Row],[Last_Name]])</f>
        <v>NGUYEN</v>
      </c>
      <c r="D550" t="s">
        <v>919</v>
      </c>
      <c r="E550" t="s">
        <v>791</v>
      </c>
      <c r="F550" s="1">
        <v>35498</v>
      </c>
      <c r="G550">
        <f ca="1">DATEDIF(THrList[[#This Row],[Date_of_Birth]],NOW(),"Y")</f>
        <v>28</v>
      </c>
      <c r="H550" t="s">
        <v>811</v>
      </c>
      <c r="I550" t="s">
        <v>798</v>
      </c>
      <c r="J550" t="s">
        <v>799</v>
      </c>
    </row>
    <row r="551" spans="1:10" x14ac:dyDescent="0.3">
      <c r="A551" t="s">
        <v>1033</v>
      </c>
      <c r="B551" t="s">
        <v>826</v>
      </c>
      <c r="C551" t="str">
        <f>UPPER(THrList[[#This Row],[Last_Name]])</f>
        <v>RODRIGUEZ</v>
      </c>
      <c r="D551" t="s">
        <v>818</v>
      </c>
      <c r="E551" t="s">
        <v>791</v>
      </c>
      <c r="F551" s="1">
        <v>33120</v>
      </c>
      <c r="G551">
        <f ca="1">DATEDIF(THrList[[#This Row],[Date_of_Birth]],NOW(),"Y")</f>
        <v>35</v>
      </c>
      <c r="H551" t="s">
        <v>843</v>
      </c>
      <c r="I551" t="s">
        <v>793</v>
      </c>
      <c r="J551" t="s">
        <v>814</v>
      </c>
    </row>
    <row r="552" spans="1:10" x14ac:dyDescent="0.3">
      <c r="A552" t="s">
        <v>1034</v>
      </c>
      <c r="B552" t="s">
        <v>833</v>
      </c>
      <c r="C552" t="str">
        <f>UPPER(THrList[[#This Row],[Last_Name]])</f>
        <v>JONES</v>
      </c>
      <c r="D552" t="s">
        <v>828</v>
      </c>
      <c r="E552" t="s">
        <v>797</v>
      </c>
      <c r="F552" s="1">
        <v>31294</v>
      </c>
      <c r="G552">
        <f ca="1">DATEDIF(THrList[[#This Row],[Date_of_Birth]],NOW(),"Y")</f>
        <v>40</v>
      </c>
      <c r="H552" t="s">
        <v>811</v>
      </c>
      <c r="I552" t="s">
        <v>798</v>
      </c>
      <c r="J552" t="s">
        <v>838</v>
      </c>
    </row>
    <row r="553" spans="1:10" x14ac:dyDescent="0.3">
      <c r="A553" t="s">
        <v>628</v>
      </c>
      <c r="B553" t="s">
        <v>920</v>
      </c>
      <c r="C553" t="str">
        <f>UPPER(THrList[[#This Row],[Last_Name]])</f>
        <v>HERNANDEZ</v>
      </c>
      <c r="D553" t="s">
        <v>801</v>
      </c>
      <c r="E553" t="s">
        <v>791</v>
      </c>
      <c r="F553" s="1">
        <v>36390</v>
      </c>
      <c r="G553">
        <f ca="1">DATEDIF(THrList[[#This Row],[Date_of_Birth]],NOW(),"Y")</f>
        <v>26</v>
      </c>
      <c r="H553" t="s">
        <v>811</v>
      </c>
      <c r="I553" t="s">
        <v>807</v>
      </c>
      <c r="J553" t="s">
        <v>799</v>
      </c>
    </row>
    <row r="554" spans="1:10" x14ac:dyDescent="0.3">
      <c r="A554" t="s">
        <v>325</v>
      </c>
      <c r="B554" t="s">
        <v>886</v>
      </c>
      <c r="C554" t="str">
        <f>UPPER(THrList[[#This Row],[Last_Name]])</f>
        <v>MARTINEZ</v>
      </c>
      <c r="D554" t="s">
        <v>796</v>
      </c>
      <c r="E554" t="s">
        <v>797</v>
      </c>
      <c r="F554" s="1">
        <v>36343</v>
      </c>
      <c r="G554">
        <f ca="1">DATEDIF(THrList[[#This Row],[Date_of_Birth]],NOW(),"Y")</f>
        <v>26</v>
      </c>
      <c r="H554" t="s">
        <v>811</v>
      </c>
      <c r="I554" t="s">
        <v>807</v>
      </c>
      <c r="J554" t="s">
        <v>799</v>
      </c>
    </row>
    <row r="555" spans="1:10" x14ac:dyDescent="0.3">
      <c r="A555" t="s">
        <v>64</v>
      </c>
      <c r="B555" t="s">
        <v>886</v>
      </c>
      <c r="C555" t="str">
        <f>UPPER(THrList[[#This Row],[Last_Name]])</f>
        <v>MARTINEZ</v>
      </c>
      <c r="D555" t="s">
        <v>829</v>
      </c>
      <c r="E555" t="s">
        <v>791</v>
      </c>
      <c r="F555" s="1">
        <v>25054</v>
      </c>
      <c r="G555">
        <f ca="1">DATEDIF(THrList[[#This Row],[Date_of_Birth]],NOW(),"Y")</f>
        <v>57</v>
      </c>
      <c r="H555" t="s">
        <v>792</v>
      </c>
      <c r="I555" t="s">
        <v>807</v>
      </c>
      <c r="J555" t="s">
        <v>799</v>
      </c>
    </row>
    <row r="556" spans="1:10" x14ac:dyDescent="0.3">
      <c r="A556" t="s">
        <v>767</v>
      </c>
      <c r="B556" t="s">
        <v>804</v>
      </c>
      <c r="C556" t="str">
        <f>UPPER(THrList[[#This Row],[Last_Name]])</f>
        <v>SMITH</v>
      </c>
      <c r="D556" t="s">
        <v>906</v>
      </c>
      <c r="E556" t="s">
        <v>797</v>
      </c>
      <c r="F556" s="1">
        <v>37004</v>
      </c>
      <c r="G556">
        <f ca="1">DATEDIF(THrList[[#This Row],[Date_of_Birth]],NOW(),"Y")</f>
        <v>24</v>
      </c>
      <c r="H556" t="s">
        <v>843</v>
      </c>
      <c r="I556" t="s">
        <v>793</v>
      </c>
      <c r="J556" t="s">
        <v>799</v>
      </c>
    </row>
    <row r="557" spans="1:10" x14ac:dyDescent="0.3">
      <c r="A557" t="s">
        <v>34</v>
      </c>
      <c r="B557" t="s">
        <v>862</v>
      </c>
      <c r="C557" t="str">
        <f>UPPER(THrList[[#This Row],[Last_Name]])</f>
        <v>CHEN</v>
      </c>
      <c r="D557" t="s">
        <v>939</v>
      </c>
      <c r="E557" t="s">
        <v>797</v>
      </c>
      <c r="F557" s="1">
        <v>28097</v>
      </c>
      <c r="G557">
        <f ca="1">DATEDIF(THrList[[#This Row],[Date_of_Birth]],NOW(),"Y")</f>
        <v>49</v>
      </c>
      <c r="H557" t="s">
        <v>792</v>
      </c>
      <c r="I557" t="s">
        <v>793</v>
      </c>
      <c r="J557" t="s">
        <v>838</v>
      </c>
    </row>
    <row r="558" spans="1:10" x14ac:dyDescent="0.3">
      <c r="A558" t="s">
        <v>1035</v>
      </c>
      <c r="B558" t="s">
        <v>920</v>
      </c>
      <c r="C558" t="str">
        <f>UPPER(THrList[[#This Row],[Last_Name]])</f>
        <v>HERNANDEZ</v>
      </c>
      <c r="D558" t="s">
        <v>900</v>
      </c>
      <c r="E558" t="s">
        <v>797</v>
      </c>
      <c r="F558" s="1">
        <v>31826</v>
      </c>
      <c r="G558">
        <f ca="1">DATEDIF(THrList[[#This Row],[Date_of_Birth]],NOW(),"Y")</f>
        <v>38</v>
      </c>
      <c r="H558" t="s">
        <v>811</v>
      </c>
      <c r="I558" t="s">
        <v>793</v>
      </c>
      <c r="J558" t="s">
        <v>799</v>
      </c>
    </row>
    <row r="559" spans="1:10" x14ac:dyDescent="0.3">
      <c r="A559" t="s">
        <v>733</v>
      </c>
      <c r="B559" t="s">
        <v>851</v>
      </c>
      <c r="C559" t="str">
        <f>UPPER(THrList[[#This Row],[Last_Name]])</f>
        <v>NGUYEN</v>
      </c>
      <c r="D559" t="s">
        <v>818</v>
      </c>
      <c r="E559" t="s">
        <v>791</v>
      </c>
      <c r="F559" s="1">
        <v>27967</v>
      </c>
      <c r="G559">
        <f ca="1">DATEDIF(THrList[[#This Row],[Date_of_Birth]],NOW(),"Y")</f>
        <v>49</v>
      </c>
      <c r="H559" t="s">
        <v>806</v>
      </c>
      <c r="I559" t="s">
        <v>807</v>
      </c>
      <c r="J559" t="s">
        <v>823</v>
      </c>
    </row>
    <row r="560" spans="1:10" x14ac:dyDescent="0.3">
      <c r="A560" t="s">
        <v>90</v>
      </c>
      <c r="B560" t="s">
        <v>898</v>
      </c>
      <c r="C560" t="str">
        <f>UPPER(THrList[[#This Row],[Last_Name]])</f>
        <v>MOREAU</v>
      </c>
      <c r="D560" t="s">
        <v>878</v>
      </c>
      <c r="E560" t="s">
        <v>797</v>
      </c>
      <c r="F560" s="1">
        <v>27177</v>
      </c>
      <c r="G560">
        <f ca="1">DATEDIF(THrList[[#This Row],[Date_of_Birth]],NOW(),"Y")</f>
        <v>51</v>
      </c>
      <c r="H560" t="s">
        <v>811</v>
      </c>
      <c r="I560" t="s">
        <v>807</v>
      </c>
      <c r="J560" t="s">
        <v>808</v>
      </c>
    </row>
    <row r="561" spans="1:10" x14ac:dyDescent="0.3">
      <c r="A561" t="s">
        <v>356</v>
      </c>
      <c r="B561" t="s">
        <v>862</v>
      </c>
      <c r="C561" t="str">
        <f>UPPER(THrList[[#This Row],[Last_Name]])</f>
        <v>CHEN</v>
      </c>
      <c r="D561" t="s">
        <v>919</v>
      </c>
      <c r="E561" t="s">
        <v>797</v>
      </c>
      <c r="F561" s="1">
        <v>28767</v>
      </c>
      <c r="G561">
        <f ca="1">DATEDIF(THrList[[#This Row],[Date_of_Birth]],NOW(),"Y")</f>
        <v>47</v>
      </c>
      <c r="H561" t="s">
        <v>792</v>
      </c>
      <c r="I561" t="s">
        <v>798</v>
      </c>
      <c r="J561" t="s">
        <v>808</v>
      </c>
    </row>
    <row r="562" spans="1:10" x14ac:dyDescent="0.3">
      <c r="A562" t="s">
        <v>536</v>
      </c>
      <c r="B562" t="s">
        <v>863</v>
      </c>
      <c r="C562" t="str">
        <f>UPPER(THrList[[#This Row],[Last_Name]])</f>
        <v>THOMAS</v>
      </c>
      <c r="D562" t="s">
        <v>918</v>
      </c>
      <c r="E562" t="s">
        <v>791</v>
      </c>
      <c r="F562" s="1">
        <v>32478</v>
      </c>
      <c r="G562">
        <f ca="1">DATEDIF(THrList[[#This Row],[Date_of_Birth]],NOW(),"Y")</f>
        <v>37</v>
      </c>
      <c r="H562" t="s">
        <v>792</v>
      </c>
      <c r="I562" t="s">
        <v>798</v>
      </c>
      <c r="J562" t="s">
        <v>819</v>
      </c>
    </row>
    <row r="563" spans="1:10" x14ac:dyDescent="0.3">
      <c r="A563" t="s">
        <v>192</v>
      </c>
      <c r="B563" t="s">
        <v>847</v>
      </c>
      <c r="C563" t="str">
        <f>UPPER(THrList[[#This Row],[Last_Name]])</f>
        <v>ALI</v>
      </c>
      <c r="D563" t="s">
        <v>932</v>
      </c>
      <c r="E563" t="s">
        <v>791</v>
      </c>
      <c r="F563" s="1">
        <v>36187</v>
      </c>
      <c r="G563">
        <f ca="1">DATEDIF(THrList[[#This Row],[Date_of_Birth]],NOW(),"Y")</f>
        <v>26</v>
      </c>
      <c r="H563" t="s">
        <v>792</v>
      </c>
      <c r="I563" t="s">
        <v>793</v>
      </c>
      <c r="J563" t="s">
        <v>794</v>
      </c>
    </row>
    <row r="564" spans="1:10" x14ac:dyDescent="0.3">
      <c r="A564" t="s">
        <v>169</v>
      </c>
      <c r="B564" t="s">
        <v>886</v>
      </c>
      <c r="C564" t="str">
        <f>UPPER(THrList[[#This Row],[Last_Name]])</f>
        <v>MARTINEZ</v>
      </c>
      <c r="D564" t="s">
        <v>857</v>
      </c>
      <c r="E564" t="s">
        <v>797</v>
      </c>
      <c r="F564" s="1">
        <v>30377</v>
      </c>
      <c r="G564">
        <f ca="1">DATEDIF(THrList[[#This Row],[Date_of_Birth]],NOW(),"Y")</f>
        <v>42</v>
      </c>
      <c r="H564" t="s">
        <v>843</v>
      </c>
      <c r="I564" t="s">
        <v>807</v>
      </c>
      <c r="J564" t="s">
        <v>823</v>
      </c>
    </row>
    <row r="565" spans="1:10" x14ac:dyDescent="0.3">
      <c r="A565" t="s">
        <v>430</v>
      </c>
      <c r="B565" t="s">
        <v>881</v>
      </c>
      <c r="C565" t="str">
        <f>UPPER(THrList[[#This Row],[Last_Name]])</f>
        <v>IBRAHIM</v>
      </c>
      <c r="D565" t="s">
        <v>790</v>
      </c>
      <c r="E565" t="s">
        <v>797</v>
      </c>
      <c r="F565" s="1">
        <v>30236</v>
      </c>
      <c r="G565">
        <f ca="1">DATEDIF(THrList[[#This Row],[Date_of_Birth]],NOW(),"Y")</f>
        <v>43</v>
      </c>
      <c r="H565" t="s">
        <v>792</v>
      </c>
      <c r="I565" t="s">
        <v>798</v>
      </c>
      <c r="J565" t="s">
        <v>803</v>
      </c>
    </row>
    <row r="566" spans="1:10" x14ac:dyDescent="0.3">
      <c r="A566" t="s">
        <v>1036</v>
      </c>
      <c r="B566" t="s">
        <v>851</v>
      </c>
      <c r="C566" t="str">
        <f>UPPER(THrList[[#This Row],[Last_Name]])</f>
        <v>NGUYEN</v>
      </c>
      <c r="D566" t="s">
        <v>853</v>
      </c>
      <c r="E566" t="s">
        <v>791</v>
      </c>
      <c r="F566" s="1">
        <v>26611</v>
      </c>
      <c r="G566">
        <f ca="1">DATEDIF(THrList[[#This Row],[Date_of_Birth]],NOW(),"Y")</f>
        <v>53</v>
      </c>
      <c r="H566" t="s">
        <v>811</v>
      </c>
      <c r="I566" t="s">
        <v>798</v>
      </c>
      <c r="J566" t="s">
        <v>819</v>
      </c>
    </row>
    <row r="567" spans="1:10" x14ac:dyDescent="0.3">
      <c r="A567" t="s">
        <v>330</v>
      </c>
      <c r="B567" t="s">
        <v>909</v>
      </c>
      <c r="C567" t="str">
        <f>UPPER(THrList[[#This Row],[Last_Name]])</f>
        <v>DAVIS</v>
      </c>
      <c r="D567" t="s">
        <v>790</v>
      </c>
      <c r="E567" t="s">
        <v>797</v>
      </c>
      <c r="F567" s="1">
        <v>31774</v>
      </c>
      <c r="G567">
        <f ca="1">DATEDIF(THrList[[#This Row],[Date_of_Birth]],NOW(),"Y")</f>
        <v>38</v>
      </c>
      <c r="H567" t="s">
        <v>843</v>
      </c>
      <c r="I567" t="s">
        <v>793</v>
      </c>
      <c r="J567" t="s">
        <v>808</v>
      </c>
    </row>
    <row r="568" spans="1:10" x14ac:dyDescent="0.3">
      <c r="A568" t="s">
        <v>76</v>
      </c>
      <c r="B568" t="s">
        <v>913</v>
      </c>
      <c r="C568" t="str">
        <f>UPPER(THrList[[#This Row],[Last_Name]])</f>
        <v>MERCIER</v>
      </c>
      <c r="D568" t="s">
        <v>796</v>
      </c>
      <c r="E568" t="s">
        <v>797</v>
      </c>
      <c r="F568" s="1">
        <v>26112</v>
      </c>
      <c r="G568">
        <f ca="1">DATEDIF(THrList[[#This Row],[Date_of_Birth]],NOW(),"Y")</f>
        <v>54</v>
      </c>
      <c r="H568" t="s">
        <v>843</v>
      </c>
      <c r="I568" t="s">
        <v>807</v>
      </c>
      <c r="J568" t="s">
        <v>1068</v>
      </c>
    </row>
    <row r="569" spans="1:10" x14ac:dyDescent="0.3">
      <c r="A569" t="s">
        <v>191</v>
      </c>
      <c r="B569" t="s">
        <v>800</v>
      </c>
      <c r="C569" t="str">
        <f>UPPER(THrList[[#This Row],[Last_Name]])</f>
        <v>JOHNSON</v>
      </c>
      <c r="D569" t="s">
        <v>846</v>
      </c>
      <c r="E569" t="s">
        <v>797</v>
      </c>
      <c r="F569" s="1">
        <v>33701</v>
      </c>
      <c r="G569">
        <f ca="1">DATEDIF(THrList[[#This Row],[Date_of_Birth]],NOW(),"Y")</f>
        <v>33</v>
      </c>
      <c r="H569" t="s">
        <v>806</v>
      </c>
      <c r="I569" t="s">
        <v>798</v>
      </c>
      <c r="J569" t="s">
        <v>799</v>
      </c>
    </row>
    <row r="570" spans="1:10" x14ac:dyDescent="0.3">
      <c r="A570" t="s">
        <v>1037</v>
      </c>
      <c r="B570" t="s">
        <v>896</v>
      </c>
      <c r="C570" t="str">
        <f>UPPER(THrList[[#This Row],[Last_Name]])</f>
        <v>DIOP</v>
      </c>
      <c r="D570" t="s">
        <v>827</v>
      </c>
      <c r="E570" t="s">
        <v>797</v>
      </c>
      <c r="F570" s="1">
        <v>36373</v>
      </c>
      <c r="G570">
        <f ca="1">DATEDIF(THrList[[#This Row],[Date_of_Birth]],NOW(),"Y")</f>
        <v>26</v>
      </c>
      <c r="H570" t="s">
        <v>806</v>
      </c>
      <c r="I570" t="s">
        <v>798</v>
      </c>
      <c r="J570" t="s">
        <v>835</v>
      </c>
    </row>
    <row r="571" spans="1:10" x14ac:dyDescent="0.3">
      <c r="A571" t="s">
        <v>1038</v>
      </c>
      <c r="B571" t="s">
        <v>847</v>
      </c>
      <c r="C571" t="str">
        <f>UPPER(THrList[[#This Row],[Last_Name]])</f>
        <v>ALI</v>
      </c>
      <c r="D571" t="s">
        <v>842</v>
      </c>
      <c r="E571" t="s">
        <v>791</v>
      </c>
      <c r="F571" s="1">
        <v>26781</v>
      </c>
      <c r="G571">
        <f ca="1">DATEDIF(THrList[[#This Row],[Date_of_Birth]],NOW(),"Y")</f>
        <v>52</v>
      </c>
      <c r="H571" t="s">
        <v>806</v>
      </c>
      <c r="I571" t="s">
        <v>793</v>
      </c>
      <c r="J571" t="s">
        <v>814</v>
      </c>
    </row>
    <row r="572" spans="1:10" x14ac:dyDescent="0.3">
      <c r="A572" t="s">
        <v>1039</v>
      </c>
      <c r="B572" t="s">
        <v>910</v>
      </c>
      <c r="C572" t="str">
        <f>UPPER(THrList[[#This Row],[Last_Name]])</f>
        <v>KHAN</v>
      </c>
      <c r="D572" t="s">
        <v>914</v>
      </c>
      <c r="E572" t="s">
        <v>791</v>
      </c>
      <c r="F572" s="1">
        <v>31835</v>
      </c>
      <c r="G572">
        <f ca="1">DATEDIF(THrList[[#This Row],[Date_of_Birth]],NOW(),"Y")</f>
        <v>38</v>
      </c>
      <c r="H572" t="s">
        <v>843</v>
      </c>
      <c r="I572" t="s">
        <v>807</v>
      </c>
      <c r="J572" t="s">
        <v>838</v>
      </c>
    </row>
    <row r="573" spans="1:10" x14ac:dyDescent="0.3">
      <c r="A573" t="s">
        <v>328</v>
      </c>
      <c r="B573" t="s">
        <v>832</v>
      </c>
      <c r="C573" t="str">
        <f>UPPER(THrList[[#This Row],[Last_Name]])</f>
        <v>FOURNIER</v>
      </c>
      <c r="D573" t="s">
        <v>895</v>
      </c>
      <c r="E573" t="s">
        <v>791</v>
      </c>
      <c r="F573" s="1">
        <v>31121</v>
      </c>
      <c r="G573">
        <f ca="1">DATEDIF(THrList[[#This Row],[Date_of_Birth]],NOW(),"Y")</f>
        <v>40</v>
      </c>
      <c r="H573" t="s">
        <v>792</v>
      </c>
      <c r="I573" t="s">
        <v>793</v>
      </c>
      <c r="J573" t="s">
        <v>808</v>
      </c>
    </row>
    <row r="574" spans="1:10" x14ac:dyDescent="0.3">
      <c r="A574" t="s">
        <v>214</v>
      </c>
      <c r="B574" t="s">
        <v>904</v>
      </c>
      <c r="C574" t="str">
        <f>UPPER(THrList[[#This Row],[Last_Name]])</f>
        <v>SINGH</v>
      </c>
      <c r="D574" t="s">
        <v>939</v>
      </c>
      <c r="E574" t="s">
        <v>797</v>
      </c>
      <c r="F574" s="1">
        <v>25216</v>
      </c>
      <c r="G574">
        <f ca="1">DATEDIF(THrList[[#This Row],[Date_of_Birth]],NOW(),"Y")</f>
        <v>56</v>
      </c>
      <c r="H574" t="s">
        <v>811</v>
      </c>
      <c r="I574" t="s">
        <v>807</v>
      </c>
      <c r="J574" t="s">
        <v>799</v>
      </c>
    </row>
    <row r="575" spans="1:10" x14ac:dyDescent="0.3">
      <c r="A575" t="s">
        <v>1040</v>
      </c>
      <c r="B575" t="s">
        <v>821</v>
      </c>
      <c r="C575" t="str">
        <f>UPPER(THrList[[#This Row],[Last_Name]])</f>
        <v>DUBOIS</v>
      </c>
      <c r="D575" t="s">
        <v>852</v>
      </c>
      <c r="E575" t="s">
        <v>791</v>
      </c>
      <c r="F575" s="1">
        <v>37098</v>
      </c>
      <c r="G575">
        <f ca="1">DATEDIF(THrList[[#This Row],[Date_of_Birth]],NOW(),"Y")</f>
        <v>24</v>
      </c>
      <c r="H575" t="s">
        <v>792</v>
      </c>
      <c r="I575" t="s">
        <v>807</v>
      </c>
      <c r="J575" t="s">
        <v>814</v>
      </c>
    </row>
    <row r="576" spans="1:10" x14ac:dyDescent="0.3">
      <c r="A576" t="s">
        <v>539</v>
      </c>
      <c r="B576" t="s">
        <v>909</v>
      </c>
      <c r="C576" t="str">
        <f>UPPER(THrList[[#This Row],[Last_Name]])</f>
        <v>DAVIS</v>
      </c>
      <c r="D576" t="s">
        <v>860</v>
      </c>
      <c r="E576" t="s">
        <v>797</v>
      </c>
      <c r="F576" s="1">
        <v>26756</v>
      </c>
      <c r="G576">
        <f ca="1">DATEDIF(THrList[[#This Row],[Date_of_Birth]],NOW(),"Y")</f>
        <v>52</v>
      </c>
      <c r="H576" t="s">
        <v>806</v>
      </c>
      <c r="I576" t="s">
        <v>793</v>
      </c>
      <c r="J576" t="s">
        <v>814</v>
      </c>
    </row>
    <row r="577" spans="1:10" x14ac:dyDescent="0.3">
      <c r="A577" t="s">
        <v>586</v>
      </c>
      <c r="B577" t="s">
        <v>879</v>
      </c>
      <c r="C577" t="str">
        <f>UPPER(THrList[[#This Row],[Last_Name]])</f>
        <v>KONE</v>
      </c>
      <c r="D577" t="s">
        <v>846</v>
      </c>
      <c r="E577" t="s">
        <v>791</v>
      </c>
      <c r="F577" s="1">
        <v>26076</v>
      </c>
      <c r="G577">
        <f ca="1">DATEDIF(THrList[[#This Row],[Date_of_Birth]],NOW(),"Y")</f>
        <v>54</v>
      </c>
      <c r="H577" t="s">
        <v>811</v>
      </c>
      <c r="I577" t="s">
        <v>807</v>
      </c>
      <c r="J577" t="s">
        <v>823</v>
      </c>
    </row>
    <row r="578" spans="1:10" x14ac:dyDescent="0.3">
      <c r="A578" t="s">
        <v>250</v>
      </c>
      <c r="B578" t="s">
        <v>800</v>
      </c>
      <c r="C578" t="str">
        <f>UPPER(THrList[[#This Row],[Last_Name]])</f>
        <v>JOHNSON</v>
      </c>
      <c r="D578" t="s">
        <v>864</v>
      </c>
      <c r="E578" t="s">
        <v>791</v>
      </c>
      <c r="F578" s="1">
        <v>32357</v>
      </c>
      <c r="G578">
        <f ca="1">DATEDIF(THrList[[#This Row],[Date_of_Birth]],NOW(),"Y")</f>
        <v>37</v>
      </c>
      <c r="H578" t="s">
        <v>843</v>
      </c>
      <c r="I578" t="s">
        <v>798</v>
      </c>
      <c r="J578" t="s">
        <v>838</v>
      </c>
    </row>
    <row r="579" spans="1:10" x14ac:dyDescent="0.3">
      <c r="A579" t="s">
        <v>1041</v>
      </c>
      <c r="B579" t="s">
        <v>886</v>
      </c>
      <c r="C579" t="str">
        <f>UPPER(THrList[[#This Row],[Last_Name]])</f>
        <v>MARTINEZ</v>
      </c>
      <c r="D579" t="s">
        <v>870</v>
      </c>
      <c r="E579" t="s">
        <v>791</v>
      </c>
      <c r="F579" s="1">
        <v>30592</v>
      </c>
      <c r="G579">
        <f ca="1">DATEDIF(THrList[[#This Row],[Date_of_Birth]],NOW(),"Y")</f>
        <v>42</v>
      </c>
      <c r="H579" t="s">
        <v>806</v>
      </c>
      <c r="I579" t="s">
        <v>798</v>
      </c>
      <c r="J579" t="s">
        <v>803</v>
      </c>
    </row>
    <row r="580" spans="1:10" x14ac:dyDescent="0.3">
      <c r="A580" t="s">
        <v>56</v>
      </c>
      <c r="B580" t="s">
        <v>866</v>
      </c>
      <c r="C580" t="str">
        <f>UPPER(THrList[[#This Row],[Last_Name]])</f>
        <v>ABDULLAH</v>
      </c>
      <c r="D580" t="s">
        <v>825</v>
      </c>
      <c r="E580" t="s">
        <v>797</v>
      </c>
      <c r="F580" s="1">
        <v>31930</v>
      </c>
      <c r="G580">
        <f ca="1">DATEDIF(THrList[[#This Row],[Date_of_Birth]],NOW(),"Y")</f>
        <v>38</v>
      </c>
      <c r="H580" t="s">
        <v>792</v>
      </c>
      <c r="I580" t="s">
        <v>807</v>
      </c>
      <c r="J580" t="s">
        <v>835</v>
      </c>
    </row>
    <row r="581" spans="1:10" x14ac:dyDescent="0.3">
      <c r="A581" t="s">
        <v>280</v>
      </c>
      <c r="B581" t="s">
        <v>868</v>
      </c>
      <c r="C581" t="str">
        <f>UPPER(THrList[[#This Row],[Last_Name]])</f>
        <v>LOPEZ</v>
      </c>
      <c r="D581" t="s">
        <v>853</v>
      </c>
      <c r="E581" t="s">
        <v>797</v>
      </c>
      <c r="F581" s="1">
        <v>36630</v>
      </c>
      <c r="G581">
        <f ca="1">DATEDIF(THrList[[#This Row],[Date_of_Birth]],NOW(),"Y")</f>
        <v>25</v>
      </c>
      <c r="H581" t="s">
        <v>811</v>
      </c>
      <c r="I581" t="s">
        <v>793</v>
      </c>
      <c r="J581" t="s">
        <v>819</v>
      </c>
    </row>
    <row r="582" spans="1:10" x14ac:dyDescent="0.3">
      <c r="A582" t="s">
        <v>1042</v>
      </c>
      <c r="B582" t="s">
        <v>881</v>
      </c>
      <c r="C582" t="str">
        <f>UPPER(THrList[[#This Row],[Last_Name]])</f>
        <v>IBRAHIM</v>
      </c>
      <c r="D582" t="s">
        <v>870</v>
      </c>
      <c r="E582" t="s">
        <v>797</v>
      </c>
      <c r="F582" s="1">
        <v>32148</v>
      </c>
      <c r="G582">
        <f ca="1">DATEDIF(THrList[[#This Row],[Date_of_Birth]],NOW(),"Y")</f>
        <v>37</v>
      </c>
      <c r="H582" t="s">
        <v>843</v>
      </c>
      <c r="I582" t="s">
        <v>793</v>
      </c>
      <c r="J582" t="s">
        <v>823</v>
      </c>
    </row>
    <row r="583" spans="1:10" x14ac:dyDescent="0.3">
      <c r="A583" t="s">
        <v>527</v>
      </c>
      <c r="B583" t="s">
        <v>824</v>
      </c>
      <c r="C583" t="str">
        <f>UPPER(THrList[[#This Row],[Last_Name]])</f>
        <v>SOW</v>
      </c>
      <c r="D583" t="s">
        <v>873</v>
      </c>
      <c r="E583" t="s">
        <v>791</v>
      </c>
      <c r="F583" s="1">
        <v>33070</v>
      </c>
      <c r="G583">
        <f ca="1">DATEDIF(THrList[[#This Row],[Date_of_Birth]],NOW(),"Y")</f>
        <v>35</v>
      </c>
      <c r="H583" t="s">
        <v>806</v>
      </c>
      <c r="I583" t="s">
        <v>798</v>
      </c>
      <c r="J583" t="s">
        <v>803</v>
      </c>
    </row>
    <row r="584" spans="1:10" x14ac:dyDescent="0.3">
      <c r="A584" t="s">
        <v>77</v>
      </c>
      <c r="B584" t="s">
        <v>909</v>
      </c>
      <c r="C584" t="str">
        <f>UPPER(THrList[[#This Row],[Last_Name]])</f>
        <v>DAVIS</v>
      </c>
      <c r="D584" t="s">
        <v>810</v>
      </c>
      <c r="E584" t="s">
        <v>791</v>
      </c>
      <c r="F584" s="1">
        <v>25509</v>
      </c>
      <c r="G584">
        <f ca="1">DATEDIF(THrList[[#This Row],[Date_of_Birth]],NOW(),"Y")</f>
        <v>56</v>
      </c>
      <c r="H584" t="s">
        <v>792</v>
      </c>
      <c r="I584" t="s">
        <v>798</v>
      </c>
      <c r="J584" t="s">
        <v>794</v>
      </c>
    </row>
    <row r="585" spans="1:10" x14ac:dyDescent="0.3">
      <c r="A585" t="s">
        <v>386</v>
      </c>
      <c r="B585" t="s">
        <v>847</v>
      </c>
      <c r="C585" t="str">
        <f>UPPER(THrList[[#This Row],[Last_Name]])</f>
        <v>ALI</v>
      </c>
      <c r="D585" t="s">
        <v>857</v>
      </c>
      <c r="E585" t="s">
        <v>797</v>
      </c>
      <c r="F585" s="1">
        <v>33436</v>
      </c>
      <c r="G585">
        <f ca="1">DATEDIF(THrList[[#This Row],[Date_of_Birth]],NOW(),"Y")</f>
        <v>34</v>
      </c>
      <c r="H585" t="s">
        <v>811</v>
      </c>
      <c r="I585" t="s">
        <v>798</v>
      </c>
      <c r="J585" t="s">
        <v>803</v>
      </c>
    </row>
    <row r="586" spans="1:10" x14ac:dyDescent="0.3">
      <c r="A586" t="s">
        <v>574</v>
      </c>
      <c r="B586" t="s">
        <v>855</v>
      </c>
      <c r="C586" t="str">
        <f>UPPER(THrList[[#This Row],[Last_Name]])</f>
        <v>TAYLOR</v>
      </c>
      <c r="D586" t="s">
        <v>899</v>
      </c>
      <c r="E586" t="s">
        <v>791</v>
      </c>
      <c r="F586" s="1">
        <v>37031</v>
      </c>
      <c r="G586">
        <f ca="1">DATEDIF(THrList[[#This Row],[Date_of_Birth]],NOW(),"Y")</f>
        <v>24</v>
      </c>
      <c r="H586" t="s">
        <v>843</v>
      </c>
      <c r="I586" t="s">
        <v>793</v>
      </c>
      <c r="J586" t="s">
        <v>794</v>
      </c>
    </row>
    <row r="587" spans="1:10" x14ac:dyDescent="0.3">
      <c r="A587" t="s">
        <v>99</v>
      </c>
      <c r="B587" t="s">
        <v>871</v>
      </c>
      <c r="C587" t="str">
        <f>UPPER(THrList[[#This Row],[Last_Name]])</f>
        <v>MENSAH</v>
      </c>
      <c r="D587" t="s">
        <v>849</v>
      </c>
      <c r="E587" t="s">
        <v>791</v>
      </c>
      <c r="F587" s="1">
        <v>27589</v>
      </c>
      <c r="G587">
        <f ca="1">DATEDIF(THrList[[#This Row],[Date_of_Birth]],NOW(),"Y")</f>
        <v>50</v>
      </c>
      <c r="H587" t="s">
        <v>843</v>
      </c>
      <c r="I587" t="s">
        <v>807</v>
      </c>
      <c r="J587" t="s">
        <v>814</v>
      </c>
    </row>
    <row r="588" spans="1:10" x14ac:dyDescent="0.3">
      <c r="A588" t="s">
        <v>133</v>
      </c>
      <c r="B588" t="s">
        <v>907</v>
      </c>
      <c r="C588" t="str">
        <f>UPPER(THrList[[#This Row],[Last_Name]])</f>
        <v>GONZALEZ</v>
      </c>
      <c r="D588" t="s">
        <v>893</v>
      </c>
      <c r="E588" t="s">
        <v>791</v>
      </c>
      <c r="F588" s="1">
        <v>27954</v>
      </c>
      <c r="G588">
        <f ca="1">DATEDIF(THrList[[#This Row],[Date_of_Birth]],NOW(),"Y")</f>
        <v>49</v>
      </c>
      <c r="H588" t="s">
        <v>806</v>
      </c>
      <c r="I588" t="s">
        <v>807</v>
      </c>
      <c r="J588" t="s">
        <v>799</v>
      </c>
    </row>
    <row r="589" spans="1:10" x14ac:dyDescent="0.3">
      <c r="A589" t="s">
        <v>336</v>
      </c>
      <c r="B589" t="s">
        <v>890</v>
      </c>
      <c r="C589" t="str">
        <f>UPPER(THrList[[#This Row],[Last_Name]])</f>
        <v>ROUSSEAU</v>
      </c>
      <c r="D589" t="s">
        <v>885</v>
      </c>
      <c r="E589" t="s">
        <v>797</v>
      </c>
      <c r="F589" s="1">
        <v>26309</v>
      </c>
      <c r="G589">
        <f ca="1">DATEDIF(THrList[[#This Row],[Date_of_Birth]],NOW(),"Y")</f>
        <v>53</v>
      </c>
      <c r="H589" t="s">
        <v>843</v>
      </c>
      <c r="I589" t="s">
        <v>807</v>
      </c>
      <c r="J589" t="s">
        <v>814</v>
      </c>
    </row>
    <row r="590" spans="1:10" x14ac:dyDescent="0.3">
      <c r="A590" t="s">
        <v>524</v>
      </c>
      <c r="B590" t="s">
        <v>855</v>
      </c>
      <c r="C590" t="str">
        <f>UPPER(THrList[[#This Row],[Last_Name]])</f>
        <v>TAYLOR</v>
      </c>
      <c r="D590" t="s">
        <v>813</v>
      </c>
      <c r="E590" t="s">
        <v>797</v>
      </c>
      <c r="F590" s="1">
        <v>28747</v>
      </c>
      <c r="G590">
        <f ca="1">DATEDIF(THrList[[#This Row],[Date_of_Birth]],NOW(),"Y")</f>
        <v>47</v>
      </c>
      <c r="H590" t="s">
        <v>843</v>
      </c>
      <c r="I590" t="s">
        <v>793</v>
      </c>
      <c r="J590" t="s">
        <v>794</v>
      </c>
    </row>
    <row r="591" spans="1:10" x14ac:dyDescent="0.3">
      <c r="A591" t="s">
        <v>204</v>
      </c>
      <c r="B591" t="s">
        <v>815</v>
      </c>
      <c r="C591" t="str">
        <f>UPPER(THrList[[#This Row],[Last_Name]])</f>
        <v>MARTIN</v>
      </c>
      <c r="D591" t="s">
        <v>818</v>
      </c>
      <c r="E591" t="s">
        <v>791</v>
      </c>
      <c r="F591" s="1">
        <v>38288</v>
      </c>
      <c r="G591">
        <f ca="1">DATEDIF(THrList[[#This Row],[Date_of_Birth]],NOW(),"Y")</f>
        <v>21</v>
      </c>
      <c r="H591" t="s">
        <v>806</v>
      </c>
      <c r="I591" t="s">
        <v>798</v>
      </c>
      <c r="J591" t="s">
        <v>808</v>
      </c>
    </row>
    <row r="592" spans="1:10" x14ac:dyDescent="0.3">
      <c r="A592" t="s">
        <v>1043</v>
      </c>
      <c r="B592" t="s">
        <v>800</v>
      </c>
      <c r="C592" t="str">
        <f>UPPER(THrList[[#This Row],[Last_Name]])</f>
        <v>JOHNSON</v>
      </c>
      <c r="D592" t="s">
        <v>874</v>
      </c>
      <c r="E592" t="s">
        <v>797</v>
      </c>
      <c r="F592" s="1">
        <v>31886</v>
      </c>
      <c r="G592">
        <f ca="1">DATEDIF(THrList[[#This Row],[Date_of_Birth]],NOW(),"Y")</f>
        <v>38</v>
      </c>
      <c r="H592" t="s">
        <v>806</v>
      </c>
      <c r="I592" t="s">
        <v>807</v>
      </c>
      <c r="J592" t="s">
        <v>808</v>
      </c>
    </row>
    <row r="593" spans="1:10" x14ac:dyDescent="0.3">
      <c r="A593" t="s">
        <v>1044</v>
      </c>
      <c r="B593" t="s">
        <v>836</v>
      </c>
      <c r="C593" t="str">
        <f>UPPER(THrList[[#This Row],[Last_Name]])</f>
        <v>ANDERSON</v>
      </c>
      <c r="D593" t="s">
        <v>837</v>
      </c>
      <c r="E593" t="s">
        <v>797</v>
      </c>
      <c r="F593" s="1">
        <v>37811</v>
      </c>
      <c r="G593">
        <f ca="1">DATEDIF(THrList[[#This Row],[Date_of_Birth]],NOW(),"Y")</f>
        <v>22</v>
      </c>
      <c r="H593" t="s">
        <v>806</v>
      </c>
      <c r="I593" t="s">
        <v>807</v>
      </c>
      <c r="J593" t="s">
        <v>838</v>
      </c>
    </row>
    <row r="594" spans="1:10" x14ac:dyDescent="0.3">
      <c r="A594" t="s">
        <v>298</v>
      </c>
      <c r="B594" t="s">
        <v>887</v>
      </c>
      <c r="C594" t="str">
        <f>UPPER(THrList[[#This Row],[Last_Name]])</f>
        <v>TOURE</v>
      </c>
      <c r="D594" t="s">
        <v>888</v>
      </c>
      <c r="E594" t="s">
        <v>797</v>
      </c>
      <c r="F594" s="1">
        <v>36493</v>
      </c>
      <c r="G594">
        <f ca="1">DATEDIF(THrList[[#This Row],[Date_of_Birth]],NOW(),"Y")</f>
        <v>26</v>
      </c>
      <c r="H594" t="s">
        <v>843</v>
      </c>
      <c r="I594" t="s">
        <v>798</v>
      </c>
      <c r="J594" t="s">
        <v>794</v>
      </c>
    </row>
    <row r="595" spans="1:10" x14ac:dyDescent="0.3">
      <c r="A595" t="s">
        <v>242</v>
      </c>
      <c r="B595" t="s">
        <v>802</v>
      </c>
      <c r="C595" t="str">
        <f>UPPER(THrList[[#This Row],[Last_Name]])</f>
        <v>GARCIA</v>
      </c>
      <c r="D595" t="s">
        <v>853</v>
      </c>
      <c r="E595" t="s">
        <v>791</v>
      </c>
      <c r="F595" s="1">
        <v>32521</v>
      </c>
      <c r="G595">
        <f ca="1">DATEDIF(THrList[[#This Row],[Date_of_Birth]],NOW(),"Y")</f>
        <v>36</v>
      </c>
      <c r="H595" t="s">
        <v>811</v>
      </c>
      <c r="I595" t="s">
        <v>793</v>
      </c>
      <c r="J595" t="s">
        <v>794</v>
      </c>
    </row>
    <row r="596" spans="1:10" x14ac:dyDescent="0.3">
      <c r="A596" t="s">
        <v>1045</v>
      </c>
      <c r="B596" t="s">
        <v>802</v>
      </c>
      <c r="C596" t="str">
        <f>UPPER(THrList[[#This Row],[Last_Name]])</f>
        <v>GARCIA</v>
      </c>
      <c r="D596" t="s">
        <v>915</v>
      </c>
      <c r="E596" t="s">
        <v>797</v>
      </c>
      <c r="F596" s="1">
        <v>31023</v>
      </c>
      <c r="G596">
        <f ca="1">DATEDIF(THrList[[#This Row],[Date_of_Birth]],NOW(),"Y")</f>
        <v>41</v>
      </c>
      <c r="H596" t="s">
        <v>843</v>
      </c>
      <c r="I596" t="s">
        <v>793</v>
      </c>
      <c r="J596" t="s">
        <v>799</v>
      </c>
    </row>
    <row r="597" spans="1:10" x14ac:dyDescent="0.3">
      <c r="A597" t="s">
        <v>273</v>
      </c>
      <c r="B597" t="s">
        <v>913</v>
      </c>
      <c r="C597" t="str">
        <f>UPPER(THrList[[#This Row],[Last_Name]])</f>
        <v>MERCIER</v>
      </c>
      <c r="D597" t="s">
        <v>874</v>
      </c>
      <c r="E597" t="s">
        <v>791</v>
      </c>
      <c r="F597" s="1">
        <v>31808</v>
      </c>
      <c r="G597">
        <f ca="1">DATEDIF(THrList[[#This Row],[Date_of_Birth]],NOW(),"Y")</f>
        <v>38</v>
      </c>
      <c r="H597" t="s">
        <v>811</v>
      </c>
      <c r="I597" t="s">
        <v>807</v>
      </c>
      <c r="J597" t="s">
        <v>808</v>
      </c>
    </row>
    <row r="598" spans="1:10" x14ac:dyDescent="0.3">
      <c r="A598" t="s">
        <v>571</v>
      </c>
      <c r="B598" t="s">
        <v>809</v>
      </c>
      <c r="C598" t="str">
        <f>UPPER(THrList[[#This Row],[Last_Name]])</f>
        <v>TRAORE</v>
      </c>
      <c r="D598" t="s">
        <v>805</v>
      </c>
      <c r="E598" t="s">
        <v>797</v>
      </c>
      <c r="F598" s="1">
        <v>28805</v>
      </c>
      <c r="G598">
        <f ca="1">DATEDIF(THrList[[#This Row],[Date_of_Birth]],NOW(),"Y")</f>
        <v>47</v>
      </c>
      <c r="H598" t="s">
        <v>806</v>
      </c>
      <c r="I598" t="s">
        <v>793</v>
      </c>
      <c r="J598" t="s">
        <v>794</v>
      </c>
    </row>
    <row r="599" spans="1:10" x14ac:dyDescent="0.3">
      <c r="A599" t="s">
        <v>644</v>
      </c>
      <c r="B599" t="s">
        <v>817</v>
      </c>
      <c r="C599" t="str">
        <f>UPPER(THrList[[#This Row],[Last_Name]])</f>
        <v>JACKSON</v>
      </c>
      <c r="D599" t="s">
        <v>830</v>
      </c>
      <c r="E599" t="s">
        <v>797</v>
      </c>
      <c r="F599" s="1">
        <v>37760</v>
      </c>
      <c r="G599">
        <f ca="1">DATEDIF(THrList[[#This Row],[Date_of_Birth]],NOW(),"Y")</f>
        <v>22</v>
      </c>
      <c r="H599" t="s">
        <v>811</v>
      </c>
      <c r="I599" t="s">
        <v>807</v>
      </c>
      <c r="J599" t="s">
        <v>794</v>
      </c>
    </row>
    <row r="600" spans="1:10" x14ac:dyDescent="0.3">
      <c r="A600" t="s">
        <v>161</v>
      </c>
      <c r="B600" t="s">
        <v>804</v>
      </c>
      <c r="C600" t="str">
        <f>UPPER(THrList[[#This Row],[Last_Name]])</f>
        <v>SMITH</v>
      </c>
      <c r="D600" t="s">
        <v>860</v>
      </c>
      <c r="E600" t="s">
        <v>797</v>
      </c>
      <c r="F600" s="1">
        <v>25651</v>
      </c>
      <c r="G600">
        <f ca="1">DATEDIF(THrList[[#This Row],[Date_of_Birth]],NOW(),"Y")</f>
        <v>55</v>
      </c>
      <c r="H600" t="s">
        <v>806</v>
      </c>
      <c r="I600" t="s">
        <v>807</v>
      </c>
      <c r="J600" t="s">
        <v>803</v>
      </c>
    </row>
    <row r="601" spans="1:10" x14ac:dyDescent="0.3">
      <c r="A601" t="s">
        <v>676</v>
      </c>
      <c r="B601" t="s">
        <v>904</v>
      </c>
      <c r="C601" t="str">
        <f>UPPER(THrList[[#This Row],[Last_Name]])</f>
        <v>SINGH</v>
      </c>
      <c r="D601" t="s">
        <v>818</v>
      </c>
      <c r="E601" t="s">
        <v>797</v>
      </c>
      <c r="F601" s="1">
        <v>30420</v>
      </c>
      <c r="G601">
        <f ca="1">DATEDIF(THrList[[#This Row],[Date_of_Birth]],NOW(),"Y")</f>
        <v>42</v>
      </c>
      <c r="H601" t="s">
        <v>806</v>
      </c>
      <c r="I601" t="s">
        <v>793</v>
      </c>
      <c r="J601" t="s">
        <v>803</v>
      </c>
    </row>
    <row r="602" spans="1:10" x14ac:dyDescent="0.3">
      <c r="A602" t="s">
        <v>333</v>
      </c>
      <c r="B602" t="s">
        <v>904</v>
      </c>
      <c r="C602" t="str">
        <f>UPPER(THrList[[#This Row],[Last_Name]])</f>
        <v>SINGH</v>
      </c>
      <c r="D602" t="s">
        <v>842</v>
      </c>
      <c r="E602" t="s">
        <v>791</v>
      </c>
      <c r="F602" s="1">
        <v>25800</v>
      </c>
      <c r="G602">
        <f ca="1">DATEDIF(THrList[[#This Row],[Date_of_Birth]],NOW(),"Y")</f>
        <v>55</v>
      </c>
      <c r="H602" t="s">
        <v>811</v>
      </c>
      <c r="I602" t="s">
        <v>807</v>
      </c>
      <c r="J602" t="s">
        <v>819</v>
      </c>
    </row>
    <row r="603" spans="1:10" x14ac:dyDescent="0.3">
      <c r="A603" t="s">
        <v>172</v>
      </c>
      <c r="B603" t="s">
        <v>879</v>
      </c>
      <c r="C603" t="str">
        <f>UPPER(THrList[[#This Row],[Last_Name]])</f>
        <v>KONE</v>
      </c>
      <c r="D603" t="s">
        <v>852</v>
      </c>
      <c r="E603" t="s">
        <v>791</v>
      </c>
      <c r="F603" s="1">
        <v>36012</v>
      </c>
      <c r="G603">
        <f ca="1">DATEDIF(THrList[[#This Row],[Date_of_Birth]],NOW(),"Y")</f>
        <v>27</v>
      </c>
      <c r="H603" t="s">
        <v>843</v>
      </c>
      <c r="I603" t="s">
        <v>798</v>
      </c>
      <c r="J603" t="s">
        <v>835</v>
      </c>
    </row>
    <row r="604" spans="1:10" x14ac:dyDescent="0.3">
      <c r="A604" t="s">
        <v>550</v>
      </c>
      <c r="B604" t="s">
        <v>821</v>
      </c>
      <c r="C604" t="str">
        <f>UPPER(THrList[[#This Row],[Last_Name]])</f>
        <v>DUBOIS</v>
      </c>
      <c r="D604" t="s">
        <v>914</v>
      </c>
      <c r="E604" t="s">
        <v>791</v>
      </c>
      <c r="F604" s="1">
        <v>37537</v>
      </c>
      <c r="G604">
        <f ca="1">DATEDIF(THrList[[#This Row],[Date_of_Birth]],NOW(),"Y")</f>
        <v>23</v>
      </c>
      <c r="H604" t="s">
        <v>843</v>
      </c>
      <c r="I604" t="s">
        <v>798</v>
      </c>
      <c r="J604" t="s">
        <v>814</v>
      </c>
    </row>
    <row r="605" spans="1:10" x14ac:dyDescent="0.3">
      <c r="A605" t="s">
        <v>505</v>
      </c>
      <c r="B605" t="s">
        <v>833</v>
      </c>
      <c r="C605" t="str">
        <f>UPPER(THrList[[#This Row],[Last_Name]])</f>
        <v>JONES</v>
      </c>
      <c r="D605" t="s">
        <v>790</v>
      </c>
      <c r="E605" t="s">
        <v>797</v>
      </c>
      <c r="F605" s="1">
        <v>34097</v>
      </c>
      <c r="G605">
        <f ca="1">DATEDIF(THrList[[#This Row],[Date_of_Birth]],NOW(),"Y")</f>
        <v>32</v>
      </c>
      <c r="H605" t="s">
        <v>806</v>
      </c>
      <c r="I605" t="s">
        <v>793</v>
      </c>
      <c r="J605" t="s">
        <v>814</v>
      </c>
    </row>
    <row r="606" spans="1:10" x14ac:dyDescent="0.3">
      <c r="A606" t="s">
        <v>562</v>
      </c>
      <c r="B606" t="s">
        <v>886</v>
      </c>
      <c r="C606" t="str">
        <f>UPPER(THrList[[#This Row],[Last_Name]])</f>
        <v>MARTINEZ</v>
      </c>
      <c r="D606" t="s">
        <v>834</v>
      </c>
      <c r="E606" t="s">
        <v>791</v>
      </c>
      <c r="F606" s="1">
        <v>32947</v>
      </c>
      <c r="G606">
        <f ca="1">DATEDIF(THrList[[#This Row],[Date_of_Birth]],NOW(),"Y")</f>
        <v>35</v>
      </c>
      <c r="H606" t="s">
        <v>843</v>
      </c>
      <c r="I606" t="s">
        <v>807</v>
      </c>
      <c r="J606" t="s">
        <v>803</v>
      </c>
    </row>
    <row r="607" spans="1:10" x14ac:dyDescent="0.3">
      <c r="A607" t="s">
        <v>459</v>
      </c>
      <c r="B607" t="s">
        <v>882</v>
      </c>
      <c r="C607" t="str">
        <f>UPPER(THrList[[#This Row],[Last_Name]])</f>
        <v>WILLIAMS</v>
      </c>
      <c r="D607" t="s">
        <v>857</v>
      </c>
      <c r="E607" t="s">
        <v>791</v>
      </c>
      <c r="F607" s="1">
        <v>34165</v>
      </c>
      <c r="G607">
        <f ca="1">DATEDIF(THrList[[#This Row],[Date_of_Birth]],NOW(),"Y")</f>
        <v>32</v>
      </c>
      <c r="H607" t="s">
        <v>792</v>
      </c>
      <c r="I607" t="s">
        <v>793</v>
      </c>
      <c r="J607" t="s">
        <v>819</v>
      </c>
    </row>
    <row r="608" spans="1:10" x14ac:dyDescent="0.3">
      <c r="A608" t="s">
        <v>1046</v>
      </c>
      <c r="B608" t="s">
        <v>907</v>
      </c>
      <c r="C608" t="str">
        <f>UPPER(THrList[[#This Row],[Last_Name]])</f>
        <v>GONZALEZ</v>
      </c>
      <c r="D608" t="s">
        <v>893</v>
      </c>
      <c r="E608" t="s">
        <v>797</v>
      </c>
      <c r="F608" s="1">
        <v>28213</v>
      </c>
      <c r="G608">
        <f ca="1">DATEDIF(THrList[[#This Row],[Date_of_Birth]],NOW(),"Y")</f>
        <v>48</v>
      </c>
      <c r="H608" t="s">
        <v>792</v>
      </c>
      <c r="I608" t="s">
        <v>807</v>
      </c>
      <c r="J608" t="s">
        <v>803</v>
      </c>
    </row>
    <row r="609" spans="1:10" x14ac:dyDescent="0.3">
      <c r="A609" t="s">
        <v>1047</v>
      </c>
      <c r="B609" t="s">
        <v>904</v>
      </c>
      <c r="C609" t="str">
        <f>UPPER(THrList[[#This Row],[Last_Name]])</f>
        <v>SINGH</v>
      </c>
      <c r="D609" t="s">
        <v>901</v>
      </c>
      <c r="E609" t="s">
        <v>797</v>
      </c>
      <c r="F609" s="1">
        <v>29426</v>
      </c>
      <c r="G609">
        <f ca="1">DATEDIF(THrList[[#This Row],[Date_of_Birth]],NOW(),"Y")</f>
        <v>45</v>
      </c>
      <c r="H609" t="s">
        <v>811</v>
      </c>
      <c r="I609" t="s">
        <v>807</v>
      </c>
      <c r="J609" t="s">
        <v>814</v>
      </c>
    </row>
    <row r="610" spans="1:10" x14ac:dyDescent="0.3">
      <c r="A610" t="s">
        <v>1048</v>
      </c>
      <c r="B610" t="s">
        <v>898</v>
      </c>
      <c r="C610" t="str">
        <f>UPPER(THrList[[#This Row],[Last_Name]])</f>
        <v>MOREAU</v>
      </c>
      <c r="D610" t="s">
        <v>883</v>
      </c>
      <c r="E610" t="s">
        <v>791</v>
      </c>
      <c r="F610" s="1">
        <v>30989</v>
      </c>
      <c r="G610">
        <f ca="1">DATEDIF(THrList[[#This Row],[Date_of_Birth]],NOW(),"Y")</f>
        <v>41</v>
      </c>
      <c r="H610" t="s">
        <v>806</v>
      </c>
      <c r="I610" t="s">
        <v>793</v>
      </c>
      <c r="J610" t="s">
        <v>823</v>
      </c>
    </row>
    <row r="611" spans="1:10" x14ac:dyDescent="0.3">
      <c r="A611" t="s">
        <v>249</v>
      </c>
      <c r="B611" t="s">
        <v>937</v>
      </c>
      <c r="C611" t="str">
        <f>UPPER(THrList[[#This Row],[Last_Name]])</f>
        <v>KOUASSI</v>
      </c>
      <c r="D611" t="s">
        <v>939</v>
      </c>
      <c r="E611" t="s">
        <v>791</v>
      </c>
      <c r="F611" s="1">
        <v>35171</v>
      </c>
      <c r="G611">
        <f ca="1">DATEDIF(THrList[[#This Row],[Date_of_Birth]],NOW(),"Y")</f>
        <v>29</v>
      </c>
      <c r="H611" t="s">
        <v>843</v>
      </c>
      <c r="I611" t="s">
        <v>793</v>
      </c>
      <c r="J611" t="s">
        <v>819</v>
      </c>
    </row>
    <row r="612" spans="1:10" x14ac:dyDescent="0.3">
      <c r="A612" t="s">
        <v>1049</v>
      </c>
      <c r="B612" t="s">
        <v>840</v>
      </c>
      <c r="C612" t="str">
        <f>UPPER(THrList[[#This Row],[Last_Name]])</f>
        <v>PETIT</v>
      </c>
      <c r="D612" t="s">
        <v>813</v>
      </c>
      <c r="E612" t="s">
        <v>797</v>
      </c>
      <c r="F612" s="1">
        <v>30284</v>
      </c>
      <c r="G612">
        <f ca="1">DATEDIF(THrList[[#This Row],[Date_of_Birth]],NOW(),"Y")</f>
        <v>43</v>
      </c>
      <c r="H612" t="s">
        <v>811</v>
      </c>
      <c r="I612" t="s">
        <v>793</v>
      </c>
      <c r="J612" t="s">
        <v>835</v>
      </c>
    </row>
    <row r="613" spans="1:10" x14ac:dyDescent="0.3">
      <c r="A613" t="s">
        <v>1050</v>
      </c>
      <c r="B613" t="s">
        <v>920</v>
      </c>
      <c r="C613" t="str">
        <f>UPPER(THrList[[#This Row],[Last_Name]])</f>
        <v>HERNANDEZ</v>
      </c>
      <c r="D613" t="s">
        <v>932</v>
      </c>
      <c r="E613" t="s">
        <v>791</v>
      </c>
      <c r="F613" s="1">
        <v>34713</v>
      </c>
      <c r="G613">
        <f ca="1">DATEDIF(THrList[[#This Row],[Date_of_Birth]],NOW(),"Y")</f>
        <v>30</v>
      </c>
      <c r="H613" t="s">
        <v>806</v>
      </c>
      <c r="I613" t="s">
        <v>793</v>
      </c>
      <c r="J613" t="s">
        <v>838</v>
      </c>
    </row>
    <row r="614" spans="1:10" x14ac:dyDescent="0.3">
      <c r="A614" t="s">
        <v>659</v>
      </c>
      <c r="B614" t="s">
        <v>887</v>
      </c>
      <c r="C614" t="str">
        <f>UPPER(THrList[[#This Row],[Last_Name]])</f>
        <v>TOURE</v>
      </c>
      <c r="D614" t="s">
        <v>899</v>
      </c>
      <c r="E614" t="s">
        <v>797</v>
      </c>
      <c r="F614" s="1">
        <v>25140</v>
      </c>
      <c r="G614">
        <f ca="1">DATEDIF(THrList[[#This Row],[Date_of_Birth]],NOW(),"Y")</f>
        <v>57</v>
      </c>
      <c r="H614" t="s">
        <v>792</v>
      </c>
      <c r="I614" t="s">
        <v>807</v>
      </c>
      <c r="J614" t="s">
        <v>808</v>
      </c>
    </row>
    <row r="615" spans="1:10" x14ac:dyDescent="0.3">
      <c r="A615" t="s">
        <v>237</v>
      </c>
      <c r="B615" t="s">
        <v>858</v>
      </c>
      <c r="C615" t="str">
        <f>UPPER(THrList[[#This Row],[Last_Name]])</f>
        <v>MOORE</v>
      </c>
      <c r="D615" t="s">
        <v>818</v>
      </c>
      <c r="E615" t="s">
        <v>797</v>
      </c>
      <c r="F615" s="1">
        <v>34987</v>
      </c>
      <c r="G615">
        <f ca="1">DATEDIF(THrList[[#This Row],[Date_of_Birth]],NOW(),"Y")</f>
        <v>30</v>
      </c>
      <c r="H615" t="s">
        <v>792</v>
      </c>
      <c r="I615" t="s">
        <v>807</v>
      </c>
      <c r="J615" t="s">
        <v>823</v>
      </c>
    </row>
    <row r="616" spans="1:10" x14ac:dyDescent="0.3">
      <c r="A616" t="s">
        <v>366</v>
      </c>
      <c r="B616" t="s">
        <v>911</v>
      </c>
      <c r="C616" t="str">
        <f>UPPER(THrList[[#This Row],[Last_Name]])</f>
        <v>BROWN</v>
      </c>
      <c r="D616" t="s">
        <v>837</v>
      </c>
      <c r="E616" t="s">
        <v>797</v>
      </c>
      <c r="F616" s="1">
        <v>35552</v>
      </c>
      <c r="G616">
        <f ca="1">DATEDIF(THrList[[#This Row],[Date_of_Birth]],NOW(),"Y")</f>
        <v>28</v>
      </c>
      <c r="H616" t="s">
        <v>806</v>
      </c>
      <c r="I616" t="s">
        <v>807</v>
      </c>
      <c r="J616" t="s">
        <v>803</v>
      </c>
    </row>
    <row r="617" spans="1:10" x14ac:dyDescent="0.3">
      <c r="A617" t="s">
        <v>1051</v>
      </c>
      <c r="B617" t="s">
        <v>909</v>
      </c>
      <c r="C617" t="str">
        <f>UPPER(THrList[[#This Row],[Last_Name]])</f>
        <v>DAVIS</v>
      </c>
      <c r="D617" t="s">
        <v>885</v>
      </c>
      <c r="E617" t="s">
        <v>791</v>
      </c>
      <c r="F617" s="1">
        <v>34518</v>
      </c>
      <c r="G617">
        <f ca="1">DATEDIF(THrList[[#This Row],[Date_of_Birth]],NOW(),"Y")</f>
        <v>31</v>
      </c>
      <c r="H617" t="s">
        <v>792</v>
      </c>
      <c r="I617" t="s">
        <v>798</v>
      </c>
      <c r="J617" t="s">
        <v>835</v>
      </c>
    </row>
    <row r="618" spans="1:10" x14ac:dyDescent="0.3">
      <c r="A618" t="s">
        <v>449</v>
      </c>
      <c r="B618" t="s">
        <v>882</v>
      </c>
      <c r="C618" t="str">
        <f>UPPER(THrList[[#This Row],[Last_Name]])</f>
        <v>WILLIAMS</v>
      </c>
      <c r="D618" t="s">
        <v>939</v>
      </c>
      <c r="E618" t="s">
        <v>791</v>
      </c>
      <c r="F618" s="1">
        <v>32573</v>
      </c>
      <c r="G618">
        <f ca="1">DATEDIF(THrList[[#This Row],[Date_of_Birth]],NOW(),"Y")</f>
        <v>36</v>
      </c>
      <c r="H618" t="s">
        <v>792</v>
      </c>
      <c r="I618" t="s">
        <v>807</v>
      </c>
      <c r="J618" t="s">
        <v>835</v>
      </c>
    </row>
    <row r="619" spans="1:10" x14ac:dyDescent="0.3">
      <c r="A619" t="s">
        <v>523</v>
      </c>
      <c r="B619" t="s">
        <v>815</v>
      </c>
      <c r="C619" t="str">
        <f>UPPER(THrList[[#This Row],[Last_Name]])</f>
        <v>MARTIN</v>
      </c>
      <c r="D619" t="s">
        <v>816</v>
      </c>
      <c r="E619" t="s">
        <v>791</v>
      </c>
      <c r="F619" s="1">
        <v>36822</v>
      </c>
      <c r="G619">
        <f ca="1">DATEDIF(THrList[[#This Row],[Date_of_Birth]],NOW(),"Y")</f>
        <v>25</v>
      </c>
      <c r="H619" t="s">
        <v>811</v>
      </c>
      <c r="I619" t="s">
        <v>807</v>
      </c>
      <c r="J619" t="s">
        <v>814</v>
      </c>
    </row>
    <row r="620" spans="1:10" x14ac:dyDescent="0.3">
      <c r="A620" t="s">
        <v>548</v>
      </c>
      <c r="B620" t="s">
        <v>872</v>
      </c>
      <c r="C620" t="str">
        <f>UPPER(THrList[[#This Row],[Last_Name]])</f>
        <v>DIALLO</v>
      </c>
      <c r="D620" t="s">
        <v>813</v>
      </c>
      <c r="E620" t="s">
        <v>791</v>
      </c>
      <c r="F620" s="1">
        <v>33572</v>
      </c>
      <c r="G620">
        <f ca="1">DATEDIF(THrList[[#This Row],[Date_of_Birth]],NOW(),"Y")</f>
        <v>34</v>
      </c>
      <c r="H620" t="s">
        <v>806</v>
      </c>
      <c r="I620" t="s">
        <v>793</v>
      </c>
      <c r="J620" t="s">
        <v>803</v>
      </c>
    </row>
    <row r="621" spans="1:10" x14ac:dyDescent="0.3">
      <c r="A621" t="s">
        <v>226</v>
      </c>
      <c r="B621" t="s">
        <v>937</v>
      </c>
      <c r="C621" t="str">
        <f>UPPER(THrList[[#This Row],[Last_Name]])</f>
        <v>KOUASSI</v>
      </c>
      <c r="D621" t="s">
        <v>852</v>
      </c>
      <c r="E621" t="s">
        <v>791</v>
      </c>
      <c r="F621" s="1">
        <v>29459</v>
      </c>
      <c r="G621">
        <f ca="1">DATEDIF(THrList[[#This Row],[Date_of_Birth]],NOW(),"Y")</f>
        <v>45</v>
      </c>
      <c r="H621" t="s">
        <v>806</v>
      </c>
      <c r="I621" t="s">
        <v>793</v>
      </c>
      <c r="J621" t="s">
        <v>823</v>
      </c>
    </row>
    <row r="622" spans="1:10" x14ac:dyDescent="0.3">
      <c r="A622" t="s">
        <v>73</v>
      </c>
      <c r="B622" t="s">
        <v>829</v>
      </c>
      <c r="C622" t="str">
        <f>UPPER(THrList[[#This Row],[Last_Name]])</f>
        <v>HASSAN</v>
      </c>
      <c r="D622" t="s">
        <v>857</v>
      </c>
      <c r="E622" t="s">
        <v>797</v>
      </c>
      <c r="F622" s="1">
        <v>34245</v>
      </c>
      <c r="G622">
        <f ca="1">DATEDIF(THrList[[#This Row],[Date_of_Birth]],NOW(),"Y")</f>
        <v>32</v>
      </c>
      <c r="H622" t="s">
        <v>843</v>
      </c>
      <c r="I622" t="s">
        <v>793</v>
      </c>
      <c r="J622" t="s">
        <v>838</v>
      </c>
    </row>
    <row r="623" spans="1:10" x14ac:dyDescent="0.3">
      <c r="A623" t="s">
        <v>1052</v>
      </c>
      <c r="B623" t="s">
        <v>943</v>
      </c>
      <c r="C623" t="str">
        <f>UPPER(THrList[[#This Row],[Last_Name]])</f>
        <v>KIM</v>
      </c>
      <c r="D623" t="s">
        <v>818</v>
      </c>
      <c r="E623" t="s">
        <v>797</v>
      </c>
      <c r="F623" s="1">
        <v>36728</v>
      </c>
      <c r="G623">
        <f ca="1">DATEDIF(THrList[[#This Row],[Date_of_Birth]],NOW(),"Y")</f>
        <v>25</v>
      </c>
      <c r="H623" t="s">
        <v>843</v>
      </c>
      <c r="I623" t="s">
        <v>793</v>
      </c>
      <c r="J623" t="s">
        <v>835</v>
      </c>
    </row>
    <row r="624" spans="1:10" x14ac:dyDescent="0.3">
      <c r="A624" t="s">
        <v>502</v>
      </c>
      <c r="B624" t="s">
        <v>904</v>
      </c>
      <c r="C624" t="str">
        <f>UPPER(THrList[[#This Row],[Last_Name]])</f>
        <v>SINGH</v>
      </c>
      <c r="D624" t="s">
        <v>870</v>
      </c>
      <c r="E624" t="s">
        <v>791</v>
      </c>
      <c r="F624" s="1">
        <v>31279</v>
      </c>
      <c r="G624">
        <f ca="1">DATEDIF(THrList[[#This Row],[Date_of_Birth]],NOW(),"Y")</f>
        <v>40</v>
      </c>
      <c r="H624" t="s">
        <v>843</v>
      </c>
      <c r="I624" t="s">
        <v>807</v>
      </c>
      <c r="J624" t="s">
        <v>835</v>
      </c>
    </row>
    <row r="625" spans="1:10" x14ac:dyDescent="0.3">
      <c r="A625" t="s">
        <v>471</v>
      </c>
      <c r="B625" t="s">
        <v>800</v>
      </c>
      <c r="C625" t="str">
        <f>UPPER(THrList[[#This Row],[Last_Name]])</f>
        <v>JOHNSON</v>
      </c>
      <c r="D625" t="s">
        <v>816</v>
      </c>
      <c r="E625" t="s">
        <v>791</v>
      </c>
      <c r="F625" s="1">
        <v>25602</v>
      </c>
      <c r="G625">
        <f ca="1">DATEDIF(THrList[[#This Row],[Date_of_Birth]],NOW(),"Y")</f>
        <v>55</v>
      </c>
      <c r="H625" t="s">
        <v>792</v>
      </c>
      <c r="I625" t="s">
        <v>793</v>
      </c>
      <c r="J625" t="s">
        <v>794</v>
      </c>
    </row>
    <row r="626" spans="1:10" x14ac:dyDescent="0.3">
      <c r="A626" t="s">
        <v>7</v>
      </c>
      <c r="B626" t="s">
        <v>858</v>
      </c>
      <c r="C626" t="str">
        <f>UPPER(THrList[[#This Row],[Last_Name]])</f>
        <v>MOORE</v>
      </c>
      <c r="D626" t="s">
        <v>837</v>
      </c>
      <c r="E626" t="s">
        <v>791</v>
      </c>
      <c r="F626" s="1">
        <v>33711</v>
      </c>
      <c r="G626">
        <f ca="1">DATEDIF(THrList[[#This Row],[Date_of_Birth]],NOW(),"Y")</f>
        <v>33</v>
      </c>
      <c r="H626" t="s">
        <v>811</v>
      </c>
      <c r="I626" t="s">
        <v>798</v>
      </c>
      <c r="J626" t="s">
        <v>835</v>
      </c>
    </row>
    <row r="627" spans="1:10" x14ac:dyDescent="0.3">
      <c r="A627" t="s">
        <v>317</v>
      </c>
      <c r="B627" t="s">
        <v>920</v>
      </c>
      <c r="C627" t="str">
        <f>UPPER(THrList[[#This Row],[Last_Name]])</f>
        <v>HERNANDEZ</v>
      </c>
      <c r="D627" t="s">
        <v>827</v>
      </c>
      <c r="E627" t="s">
        <v>791</v>
      </c>
      <c r="F627" s="1">
        <v>32657</v>
      </c>
      <c r="G627">
        <f ca="1">DATEDIF(THrList[[#This Row],[Date_of_Birth]],NOW(),"Y")</f>
        <v>36</v>
      </c>
      <c r="H627" t="s">
        <v>806</v>
      </c>
      <c r="I627" t="s">
        <v>807</v>
      </c>
      <c r="J627" t="s">
        <v>823</v>
      </c>
    </row>
    <row r="628" spans="1:10" x14ac:dyDescent="0.3">
      <c r="A628" t="s">
        <v>457</v>
      </c>
      <c r="B628" t="s">
        <v>898</v>
      </c>
      <c r="C628" t="str">
        <f>UPPER(THrList[[#This Row],[Last_Name]])</f>
        <v>MOREAU</v>
      </c>
      <c r="D628" t="s">
        <v>888</v>
      </c>
      <c r="E628" t="s">
        <v>797</v>
      </c>
      <c r="F628" s="1">
        <v>32024</v>
      </c>
      <c r="G628">
        <f ca="1">DATEDIF(THrList[[#This Row],[Date_of_Birth]],NOW(),"Y")</f>
        <v>38</v>
      </c>
      <c r="H628" t="s">
        <v>806</v>
      </c>
      <c r="I628" t="s">
        <v>807</v>
      </c>
      <c r="J628" t="s">
        <v>794</v>
      </c>
    </row>
    <row r="629" spans="1:10" x14ac:dyDescent="0.3">
      <c r="A629" t="s">
        <v>1053</v>
      </c>
      <c r="B629" t="s">
        <v>826</v>
      </c>
      <c r="C629" t="str">
        <f>UPPER(THrList[[#This Row],[Last_Name]])</f>
        <v>RODRIGUEZ</v>
      </c>
      <c r="D629" t="s">
        <v>790</v>
      </c>
      <c r="E629" t="s">
        <v>791</v>
      </c>
      <c r="F629" s="1">
        <v>24991</v>
      </c>
      <c r="G629">
        <f ca="1">DATEDIF(THrList[[#This Row],[Date_of_Birth]],NOW(),"Y")</f>
        <v>57</v>
      </c>
      <c r="H629" t="s">
        <v>806</v>
      </c>
      <c r="I629" t="s">
        <v>798</v>
      </c>
      <c r="J629" t="s">
        <v>799</v>
      </c>
    </row>
    <row r="630" spans="1:10" x14ac:dyDescent="0.3">
      <c r="A630" t="s">
        <v>178</v>
      </c>
      <c r="B630" t="s">
        <v>862</v>
      </c>
      <c r="C630" t="str">
        <f>UPPER(THrList[[#This Row],[Last_Name]])</f>
        <v>CHEN</v>
      </c>
      <c r="D630" t="s">
        <v>870</v>
      </c>
      <c r="E630" t="s">
        <v>791</v>
      </c>
      <c r="F630" s="1">
        <v>28006</v>
      </c>
      <c r="G630">
        <f ca="1">DATEDIF(THrList[[#This Row],[Date_of_Birth]],NOW(),"Y")</f>
        <v>49</v>
      </c>
      <c r="H630" t="s">
        <v>806</v>
      </c>
      <c r="I630" t="s">
        <v>793</v>
      </c>
      <c r="J630" t="s">
        <v>823</v>
      </c>
    </row>
    <row r="631" spans="1:10" x14ac:dyDescent="0.3">
      <c r="A631" t="s">
        <v>617</v>
      </c>
      <c r="B631" t="s">
        <v>804</v>
      </c>
      <c r="C631" t="str">
        <f>UPPER(THrList[[#This Row],[Last_Name]])</f>
        <v>SMITH</v>
      </c>
      <c r="D631" t="s">
        <v>837</v>
      </c>
      <c r="E631" t="s">
        <v>791</v>
      </c>
      <c r="F631" s="1">
        <v>33907</v>
      </c>
      <c r="G631">
        <f ca="1">DATEDIF(THrList[[#This Row],[Date_of_Birth]],NOW(),"Y")</f>
        <v>33</v>
      </c>
      <c r="H631" t="s">
        <v>811</v>
      </c>
      <c r="I631" t="s">
        <v>798</v>
      </c>
      <c r="J631" t="s">
        <v>794</v>
      </c>
    </row>
    <row r="632" spans="1:10" x14ac:dyDescent="0.3">
      <c r="A632" t="s">
        <v>419</v>
      </c>
      <c r="B632" t="s">
        <v>845</v>
      </c>
      <c r="C632" t="str">
        <f>UPPER(THrList[[#This Row],[Last_Name]])</f>
        <v>WILSON</v>
      </c>
      <c r="D632" t="s">
        <v>841</v>
      </c>
      <c r="E632" t="s">
        <v>791</v>
      </c>
      <c r="F632" s="1">
        <v>27305</v>
      </c>
      <c r="G632">
        <f ca="1">DATEDIF(THrList[[#This Row],[Date_of_Birth]],NOW(),"Y")</f>
        <v>51</v>
      </c>
      <c r="H632" t="s">
        <v>811</v>
      </c>
      <c r="I632" t="s">
        <v>798</v>
      </c>
      <c r="J632" t="s">
        <v>808</v>
      </c>
    </row>
    <row r="633" spans="1:10" x14ac:dyDescent="0.3">
      <c r="A633" t="s">
        <v>1054</v>
      </c>
      <c r="B633" t="s">
        <v>882</v>
      </c>
      <c r="C633" t="str">
        <f>UPPER(THrList[[#This Row],[Last_Name]])</f>
        <v>WILLIAMS</v>
      </c>
      <c r="D633" t="s">
        <v>918</v>
      </c>
      <c r="E633" t="s">
        <v>797</v>
      </c>
      <c r="F633" s="1">
        <v>27615</v>
      </c>
      <c r="G633">
        <f ca="1">DATEDIF(THrList[[#This Row],[Date_of_Birth]],NOW(),"Y")</f>
        <v>50</v>
      </c>
      <c r="H633" t="s">
        <v>811</v>
      </c>
      <c r="I633" t="s">
        <v>798</v>
      </c>
      <c r="J633" t="s">
        <v>819</v>
      </c>
    </row>
    <row r="634" spans="1:10" x14ac:dyDescent="0.3">
      <c r="A634" t="s">
        <v>583</v>
      </c>
      <c r="B634" t="s">
        <v>925</v>
      </c>
      <c r="C634" t="str">
        <f>UPPER(THrList[[#This Row],[Last_Name]])</f>
        <v>LEFEVRE</v>
      </c>
      <c r="D634" t="s">
        <v>837</v>
      </c>
      <c r="E634" t="s">
        <v>797</v>
      </c>
      <c r="F634" s="1">
        <v>31040</v>
      </c>
      <c r="G634">
        <f ca="1">DATEDIF(THrList[[#This Row],[Date_of_Birth]],NOW(),"Y")</f>
        <v>40</v>
      </c>
      <c r="H634" t="s">
        <v>843</v>
      </c>
      <c r="I634" t="s">
        <v>807</v>
      </c>
      <c r="J634" t="s">
        <v>838</v>
      </c>
    </row>
    <row r="635" spans="1:10" x14ac:dyDescent="0.3">
      <c r="A635" t="s">
        <v>1055</v>
      </c>
      <c r="B635" t="s">
        <v>881</v>
      </c>
      <c r="C635" t="str">
        <f>UPPER(THrList[[#This Row],[Last_Name]])</f>
        <v>IBRAHIM</v>
      </c>
      <c r="D635" t="s">
        <v>805</v>
      </c>
      <c r="E635" t="s">
        <v>791</v>
      </c>
      <c r="F635" s="1">
        <v>34972</v>
      </c>
      <c r="G635">
        <f ca="1">DATEDIF(THrList[[#This Row],[Date_of_Birth]],NOW(),"Y")</f>
        <v>30</v>
      </c>
      <c r="H635" t="s">
        <v>811</v>
      </c>
      <c r="I635" t="s">
        <v>807</v>
      </c>
      <c r="J635" t="s">
        <v>803</v>
      </c>
    </row>
    <row r="636" spans="1:10" x14ac:dyDescent="0.3">
      <c r="A636" t="s">
        <v>285</v>
      </c>
      <c r="B636" t="s">
        <v>925</v>
      </c>
      <c r="C636" t="str">
        <f>UPPER(THrList[[#This Row],[Last_Name]])</f>
        <v>LEFEVRE</v>
      </c>
      <c r="D636" t="s">
        <v>825</v>
      </c>
      <c r="E636" t="s">
        <v>797</v>
      </c>
      <c r="F636" s="1">
        <v>29620</v>
      </c>
      <c r="G636">
        <f ca="1">DATEDIF(THrList[[#This Row],[Date_of_Birth]],NOW(),"Y")</f>
        <v>44</v>
      </c>
      <c r="H636" t="s">
        <v>811</v>
      </c>
      <c r="I636" t="s">
        <v>807</v>
      </c>
      <c r="J636" t="s">
        <v>823</v>
      </c>
    </row>
    <row r="637" spans="1:10" x14ac:dyDescent="0.3">
      <c r="A637" t="s">
        <v>1056</v>
      </c>
      <c r="B637" t="s">
        <v>824</v>
      </c>
      <c r="C637" t="str">
        <f>UPPER(THrList[[#This Row],[Last_Name]])</f>
        <v>SOW</v>
      </c>
      <c r="D637" t="s">
        <v>829</v>
      </c>
      <c r="E637" t="s">
        <v>797</v>
      </c>
      <c r="F637" s="1">
        <v>31276</v>
      </c>
      <c r="G637">
        <f ca="1">DATEDIF(THrList[[#This Row],[Date_of_Birth]],NOW(),"Y")</f>
        <v>40</v>
      </c>
      <c r="H637" t="s">
        <v>806</v>
      </c>
      <c r="I637" t="s">
        <v>798</v>
      </c>
      <c r="J637" t="s">
        <v>814</v>
      </c>
    </row>
    <row r="638" spans="1:10" x14ac:dyDescent="0.3">
      <c r="A638" t="s">
        <v>87</v>
      </c>
      <c r="B638" t="s">
        <v>840</v>
      </c>
      <c r="C638" t="str">
        <f>UPPER(THrList[[#This Row],[Last_Name]])</f>
        <v>PETIT</v>
      </c>
      <c r="D638" t="s">
        <v>796</v>
      </c>
      <c r="E638" t="s">
        <v>791</v>
      </c>
      <c r="F638" s="1">
        <v>24886</v>
      </c>
      <c r="G638">
        <f ca="1">DATEDIF(THrList[[#This Row],[Date_of_Birth]],NOW(),"Y")</f>
        <v>57</v>
      </c>
      <c r="H638" t="s">
        <v>811</v>
      </c>
      <c r="I638" t="s">
        <v>793</v>
      </c>
      <c r="J638" t="s">
        <v>803</v>
      </c>
    </row>
    <row r="639" spans="1:10" x14ac:dyDescent="0.3">
      <c r="A639" t="s">
        <v>421</v>
      </c>
      <c r="B639" t="s">
        <v>795</v>
      </c>
      <c r="C639" t="str">
        <f>UPPER(THrList[[#This Row],[Last_Name]])</f>
        <v>GIRARD</v>
      </c>
      <c r="D639" t="s">
        <v>895</v>
      </c>
      <c r="E639" t="s">
        <v>791</v>
      </c>
      <c r="F639" s="1">
        <v>25947</v>
      </c>
      <c r="G639">
        <f ca="1">DATEDIF(THrList[[#This Row],[Date_of_Birth]],NOW(),"Y")</f>
        <v>54</v>
      </c>
      <c r="H639" t="s">
        <v>792</v>
      </c>
      <c r="I639" t="s">
        <v>793</v>
      </c>
      <c r="J639" t="s">
        <v>808</v>
      </c>
    </row>
    <row r="640" spans="1:10" x14ac:dyDescent="0.3">
      <c r="A640" t="s">
        <v>704</v>
      </c>
      <c r="B640" t="s">
        <v>800</v>
      </c>
      <c r="C640" t="str">
        <f>UPPER(THrList[[#This Row],[Last_Name]])</f>
        <v>JOHNSON</v>
      </c>
      <c r="D640" t="s">
        <v>878</v>
      </c>
      <c r="E640" t="s">
        <v>791</v>
      </c>
      <c r="F640" s="1">
        <v>33396</v>
      </c>
      <c r="G640">
        <f ca="1">DATEDIF(THrList[[#This Row],[Date_of_Birth]],NOW(),"Y")</f>
        <v>34</v>
      </c>
      <c r="H640" t="s">
        <v>806</v>
      </c>
      <c r="I640" t="s">
        <v>807</v>
      </c>
      <c r="J640" t="s">
        <v>799</v>
      </c>
    </row>
    <row r="641" spans="1:10" x14ac:dyDescent="0.3">
      <c r="A641" t="s">
        <v>465</v>
      </c>
      <c r="B641" t="s">
        <v>866</v>
      </c>
      <c r="C641" t="str">
        <f>UPPER(THrList[[#This Row],[Last_Name]])</f>
        <v>ABDULLAH</v>
      </c>
      <c r="D641" t="s">
        <v>883</v>
      </c>
      <c r="E641" t="s">
        <v>797</v>
      </c>
      <c r="F641" s="1">
        <v>37324</v>
      </c>
      <c r="G641">
        <f ca="1">DATEDIF(THrList[[#This Row],[Date_of_Birth]],NOW(),"Y")</f>
        <v>23</v>
      </c>
      <c r="H641" t="s">
        <v>811</v>
      </c>
      <c r="I641" t="s">
        <v>798</v>
      </c>
      <c r="J641" t="s">
        <v>838</v>
      </c>
    </row>
    <row r="642" spans="1:10" x14ac:dyDescent="0.3">
      <c r="A642" t="s">
        <v>738</v>
      </c>
      <c r="B642" t="s">
        <v>804</v>
      </c>
      <c r="C642" t="str">
        <f>UPPER(THrList[[#This Row],[Last_Name]])</f>
        <v>SMITH</v>
      </c>
      <c r="D642" t="s">
        <v>906</v>
      </c>
      <c r="E642" t="s">
        <v>797</v>
      </c>
      <c r="F642" s="1">
        <v>37622</v>
      </c>
      <c r="G642">
        <f ca="1">DATEDIF(THrList[[#This Row],[Date_of_Birth]],NOW(),"Y")</f>
        <v>22</v>
      </c>
      <c r="H642" t="s">
        <v>792</v>
      </c>
      <c r="I642" t="s">
        <v>793</v>
      </c>
      <c r="J642" t="s">
        <v>794</v>
      </c>
    </row>
    <row r="643" spans="1:10" x14ac:dyDescent="0.3">
      <c r="A643" t="s">
        <v>18</v>
      </c>
      <c r="B643" t="s">
        <v>789</v>
      </c>
      <c r="C643" t="str">
        <f>UPPER(THrList[[#This Row],[Last_Name]])</f>
        <v>LEROY</v>
      </c>
      <c r="D643" t="s">
        <v>901</v>
      </c>
      <c r="E643" t="s">
        <v>791</v>
      </c>
      <c r="F643" s="1">
        <v>27671</v>
      </c>
      <c r="G643">
        <f ca="1">DATEDIF(THrList[[#This Row],[Date_of_Birth]],NOW(),"Y")</f>
        <v>50</v>
      </c>
      <c r="H643" t="s">
        <v>806</v>
      </c>
      <c r="I643" t="s">
        <v>798</v>
      </c>
      <c r="J643" t="s">
        <v>794</v>
      </c>
    </row>
    <row r="644" spans="1:10" x14ac:dyDescent="0.3">
      <c r="A644" t="s">
        <v>500</v>
      </c>
      <c r="B644" t="s">
        <v>887</v>
      </c>
      <c r="C644" t="str">
        <f>UPPER(THrList[[#This Row],[Last_Name]])</f>
        <v>TOURE</v>
      </c>
      <c r="D644" t="s">
        <v>919</v>
      </c>
      <c r="E644" t="s">
        <v>791</v>
      </c>
      <c r="F644" s="1">
        <v>27347</v>
      </c>
      <c r="G644">
        <f ca="1">DATEDIF(THrList[[#This Row],[Date_of_Birth]],NOW(),"Y")</f>
        <v>51</v>
      </c>
      <c r="H644" t="s">
        <v>806</v>
      </c>
      <c r="I644" t="s">
        <v>798</v>
      </c>
      <c r="J644" t="s">
        <v>835</v>
      </c>
    </row>
    <row r="645" spans="1:10" x14ac:dyDescent="0.3">
      <c r="A645" t="s">
        <v>252</v>
      </c>
      <c r="B645" t="s">
        <v>847</v>
      </c>
      <c r="C645" t="str">
        <f>UPPER(THrList[[#This Row],[Last_Name]])</f>
        <v>ALI</v>
      </c>
      <c r="D645" t="s">
        <v>825</v>
      </c>
      <c r="E645" t="s">
        <v>791</v>
      </c>
      <c r="F645" s="1">
        <v>30946</v>
      </c>
      <c r="G645">
        <f ca="1">DATEDIF(THrList[[#This Row],[Date_of_Birth]],NOW(),"Y")</f>
        <v>41</v>
      </c>
      <c r="H645" t="s">
        <v>792</v>
      </c>
      <c r="I645" t="s">
        <v>807</v>
      </c>
      <c r="J645" t="s">
        <v>814</v>
      </c>
    </row>
    <row r="646" spans="1:10" x14ac:dyDescent="0.3">
      <c r="A646" t="s">
        <v>1057</v>
      </c>
      <c r="B646" t="s">
        <v>855</v>
      </c>
      <c r="C646" t="str">
        <f>UPPER(THrList[[#This Row],[Last_Name]])</f>
        <v>TAYLOR</v>
      </c>
      <c r="D646" t="s">
        <v>790</v>
      </c>
      <c r="E646" t="s">
        <v>797</v>
      </c>
      <c r="F646" s="1">
        <v>30608</v>
      </c>
      <c r="G646">
        <f ca="1">DATEDIF(THrList[[#This Row],[Date_of_Birth]],NOW(),"Y")</f>
        <v>42</v>
      </c>
      <c r="H646" t="s">
        <v>806</v>
      </c>
      <c r="I646" t="s">
        <v>798</v>
      </c>
      <c r="J646" t="s">
        <v>808</v>
      </c>
    </row>
    <row r="647" spans="1:10" x14ac:dyDescent="0.3">
      <c r="A647" t="s">
        <v>503</v>
      </c>
      <c r="B647" t="s">
        <v>886</v>
      </c>
      <c r="C647" t="str">
        <f>UPPER(THrList[[#This Row],[Last_Name]])</f>
        <v>MARTINEZ</v>
      </c>
      <c r="D647" t="s">
        <v>947</v>
      </c>
      <c r="E647" t="s">
        <v>791</v>
      </c>
      <c r="F647" s="1">
        <v>32216</v>
      </c>
      <c r="G647">
        <f ca="1">DATEDIF(THrList[[#This Row],[Date_of_Birth]],NOW(),"Y")</f>
        <v>37</v>
      </c>
      <c r="H647" t="s">
        <v>811</v>
      </c>
      <c r="I647" t="s">
        <v>807</v>
      </c>
      <c r="J647" t="s">
        <v>1068</v>
      </c>
    </row>
    <row r="648" spans="1:10" x14ac:dyDescent="0.3">
      <c r="A648" t="s">
        <v>373</v>
      </c>
      <c r="B648" t="s">
        <v>824</v>
      </c>
      <c r="C648" t="str">
        <f>UPPER(THrList[[#This Row],[Last_Name]])</f>
        <v>SOW</v>
      </c>
      <c r="D648" t="s">
        <v>870</v>
      </c>
      <c r="E648" t="s">
        <v>791</v>
      </c>
      <c r="F648" s="1">
        <v>29826</v>
      </c>
      <c r="G648">
        <f ca="1">DATEDIF(THrList[[#This Row],[Date_of_Birth]],NOW(),"Y")</f>
        <v>44</v>
      </c>
      <c r="H648" t="s">
        <v>811</v>
      </c>
      <c r="I648" t="s">
        <v>807</v>
      </c>
      <c r="J648" t="s">
        <v>819</v>
      </c>
    </row>
    <row r="649" spans="1:10" x14ac:dyDescent="0.3">
      <c r="A649" t="s">
        <v>458</v>
      </c>
      <c r="B649" t="s">
        <v>800</v>
      </c>
      <c r="C649" t="str">
        <f>UPPER(THrList[[#This Row],[Last_Name]])</f>
        <v>JOHNSON</v>
      </c>
      <c r="D649" t="s">
        <v>834</v>
      </c>
      <c r="E649" t="s">
        <v>797</v>
      </c>
      <c r="F649" s="1">
        <v>29145</v>
      </c>
      <c r="G649">
        <f ca="1">DATEDIF(THrList[[#This Row],[Date_of_Birth]],NOW(),"Y")</f>
        <v>46</v>
      </c>
      <c r="H649" t="s">
        <v>843</v>
      </c>
      <c r="I649" t="s">
        <v>807</v>
      </c>
      <c r="J649" t="s">
        <v>814</v>
      </c>
    </row>
    <row r="650" spans="1:10" x14ac:dyDescent="0.3">
      <c r="A650" t="s">
        <v>145</v>
      </c>
      <c r="B650" t="s">
        <v>871</v>
      </c>
      <c r="C650" t="str">
        <f>UPPER(THrList[[#This Row],[Last_Name]])</f>
        <v>MENSAH</v>
      </c>
      <c r="D650" t="s">
        <v>841</v>
      </c>
      <c r="E650" t="s">
        <v>791</v>
      </c>
      <c r="F650" s="1">
        <v>32803</v>
      </c>
      <c r="G650">
        <f ca="1">DATEDIF(THrList[[#This Row],[Date_of_Birth]],NOW(),"Y")</f>
        <v>36</v>
      </c>
      <c r="H650" t="s">
        <v>792</v>
      </c>
      <c r="I650" t="s">
        <v>807</v>
      </c>
      <c r="J650" t="s">
        <v>838</v>
      </c>
    </row>
    <row r="651" spans="1:10" x14ac:dyDescent="0.3">
      <c r="A651" t="s">
        <v>286</v>
      </c>
      <c r="B651" t="s">
        <v>886</v>
      </c>
      <c r="C651" t="str">
        <f>UPPER(THrList[[#This Row],[Last_Name]])</f>
        <v>MARTINEZ</v>
      </c>
      <c r="D651" t="s">
        <v>837</v>
      </c>
      <c r="E651" t="s">
        <v>797</v>
      </c>
      <c r="F651" s="1">
        <v>37837</v>
      </c>
      <c r="G651">
        <f ca="1">DATEDIF(THrList[[#This Row],[Date_of_Birth]],NOW(),"Y")</f>
        <v>22</v>
      </c>
      <c r="H651" t="s">
        <v>806</v>
      </c>
      <c r="I651" t="s">
        <v>798</v>
      </c>
      <c r="J651" t="s">
        <v>808</v>
      </c>
    </row>
    <row r="652" spans="1:10" x14ac:dyDescent="0.3">
      <c r="A652" t="s">
        <v>269</v>
      </c>
      <c r="B652" t="s">
        <v>910</v>
      </c>
      <c r="C652" t="str">
        <f>UPPER(THrList[[#This Row],[Last_Name]])</f>
        <v>KHAN</v>
      </c>
      <c r="D652" t="s">
        <v>790</v>
      </c>
      <c r="E652" t="s">
        <v>791</v>
      </c>
      <c r="F652" s="1">
        <v>29274</v>
      </c>
      <c r="G652">
        <f ca="1">DATEDIF(THrList[[#This Row],[Date_of_Birth]],NOW(),"Y")</f>
        <v>45</v>
      </c>
      <c r="H652" t="s">
        <v>843</v>
      </c>
      <c r="I652" t="s">
        <v>798</v>
      </c>
      <c r="J652" t="s">
        <v>838</v>
      </c>
    </row>
    <row r="653" spans="1:10" x14ac:dyDescent="0.3">
      <c r="A653" t="s">
        <v>434</v>
      </c>
      <c r="B653" t="s">
        <v>879</v>
      </c>
      <c r="C653" t="str">
        <f>UPPER(THrList[[#This Row],[Last_Name]])</f>
        <v>KONE</v>
      </c>
      <c r="D653" t="s">
        <v>901</v>
      </c>
      <c r="E653" t="s">
        <v>791</v>
      </c>
      <c r="F653" s="1">
        <v>35141</v>
      </c>
      <c r="G653">
        <f ca="1">DATEDIF(THrList[[#This Row],[Date_of_Birth]],NOW(),"Y")</f>
        <v>29</v>
      </c>
      <c r="H653" t="s">
        <v>843</v>
      </c>
      <c r="I653" t="s">
        <v>793</v>
      </c>
      <c r="J653" t="s">
        <v>838</v>
      </c>
    </row>
    <row r="654" spans="1:10" x14ac:dyDescent="0.3">
      <c r="A654" t="s">
        <v>274</v>
      </c>
      <c r="B654" t="s">
        <v>890</v>
      </c>
      <c r="C654" t="str">
        <f>UPPER(THrList[[#This Row],[Last_Name]])</f>
        <v>ROUSSEAU</v>
      </c>
      <c r="D654" t="s">
        <v>810</v>
      </c>
      <c r="E654" t="s">
        <v>797</v>
      </c>
      <c r="F654" s="1">
        <v>36867</v>
      </c>
      <c r="G654">
        <f ca="1">DATEDIF(THrList[[#This Row],[Date_of_Birth]],NOW(),"Y")</f>
        <v>25</v>
      </c>
      <c r="H654" t="s">
        <v>792</v>
      </c>
      <c r="I654" t="s">
        <v>807</v>
      </c>
      <c r="J654" t="s">
        <v>803</v>
      </c>
    </row>
    <row r="655" spans="1:10" x14ac:dyDescent="0.3">
      <c r="A655" t="s">
        <v>700</v>
      </c>
      <c r="B655" t="s">
        <v>826</v>
      </c>
      <c r="C655" t="str">
        <f>UPPER(THrList[[#This Row],[Last_Name]])</f>
        <v>RODRIGUEZ</v>
      </c>
      <c r="D655" t="s">
        <v>856</v>
      </c>
      <c r="E655" t="s">
        <v>797</v>
      </c>
      <c r="F655" s="1">
        <v>37714</v>
      </c>
      <c r="G655">
        <f ca="1">DATEDIF(THrList[[#This Row],[Date_of_Birth]],NOW(),"Y")</f>
        <v>22</v>
      </c>
      <c r="H655" t="s">
        <v>792</v>
      </c>
      <c r="I655" t="s">
        <v>798</v>
      </c>
      <c r="J655" t="s">
        <v>794</v>
      </c>
    </row>
    <row r="656" spans="1:10" x14ac:dyDescent="0.3">
      <c r="A656" t="s">
        <v>506</v>
      </c>
      <c r="B656" t="s">
        <v>917</v>
      </c>
      <c r="C656" t="str">
        <f>UPPER(THrList[[#This Row],[Last_Name]])</f>
        <v>LAURENT</v>
      </c>
      <c r="D656" t="s">
        <v>914</v>
      </c>
      <c r="E656" t="s">
        <v>791</v>
      </c>
      <c r="F656" s="1">
        <v>30494</v>
      </c>
      <c r="G656">
        <f ca="1">DATEDIF(THrList[[#This Row],[Date_of_Birth]],NOW(),"Y")</f>
        <v>42</v>
      </c>
      <c r="H656" t="s">
        <v>811</v>
      </c>
      <c r="I656" t="s">
        <v>798</v>
      </c>
      <c r="J656" t="s">
        <v>814</v>
      </c>
    </row>
    <row r="657" spans="1:10" x14ac:dyDescent="0.3">
      <c r="A657" t="s">
        <v>619</v>
      </c>
      <c r="B657" t="s">
        <v>937</v>
      </c>
      <c r="C657" t="str">
        <f>UPPER(THrList[[#This Row],[Last_Name]])</f>
        <v>KOUASSI</v>
      </c>
      <c r="D657" t="s">
        <v>842</v>
      </c>
      <c r="E657" t="s">
        <v>797</v>
      </c>
      <c r="F657" s="1">
        <v>34811</v>
      </c>
      <c r="G657">
        <f ca="1">DATEDIF(THrList[[#This Row],[Date_of_Birth]],NOW(),"Y")</f>
        <v>30</v>
      </c>
      <c r="H657" t="s">
        <v>792</v>
      </c>
      <c r="I657" t="s">
        <v>793</v>
      </c>
      <c r="J657" t="s">
        <v>803</v>
      </c>
    </row>
    <row r="658" spans="1:10" x14ac:dyDescent="0.3">
      <c r="A658" t="s">
        <v>727</v>
      </c>
      <c r="B658" t="s">
        <v>937</v>
      </c>
      <c r="C658" t="str">
        <f>UPPER(THrList[[#This Row],[Last_Name]])</f>
        <v>KOUASSI</v>
      </c>
      <c r="D658" t="s">
        <v>805</v>
      </c>
      <c r="E658" t="s">
        <v>791</v>
      </c>
      <c r="F658" s="1">
        <v>32719</v>
      </c>
      <c r="G658">
        <f ca="1">DATEDIF(THrList[[#This Row],[Date_of_Birth]],NOW(),"Y")</f>
        <v>36</v>
      </c>
      <c r="H658" t="s">
        <v>811</v>
      </c>
      <c r="I658" t="s">
        <v>798</v>
      </c>
      <c r="J658" t="s">
        <v>819</v>
      </c>
    </row>
    <row r="659" spans="1:10" x14ac:dyDescent="0.3">
      <c r="A659" t="s">
        <v>482</v>
      </c>
      <c r="B659" t="s">
        <v>863</v>
      </c>
      <c r="C659" t="str">
        <f>UPPER(THrList[[#This Row],[Last_Name]])</f>
        <v>THOMAS</v>
      </c>
      <c r="D659" t="s">
        <v>883</v>
      </c>
      <c r="E659" t="s">
        <v>791</v>
      </c>
      <c r="F659" s="1">
        <v>34678</v>
      </c>
      <c r="G659">
        <f ca="1">DATEDIF(THrList[[#This Row],[Date_of_Birth]],NOW(),"Y")</f>
        <v>31</v>
      </c>
      <c r="H659" t="s">
        <v>811</v>
      </c>
      <c r="I659" t="s">
        <v>793</v>
      </c>
      <c r="J659" t="s">
        <v>835</v>
      </c>
    </row>
    <row r="660" spans="1:10" x14ac:dyDescent="0.3">
      <c r="A660" t="s">
        <v>1058</v>
      </c>
      <c r="B660" t="s">
        <v>892</v>
      </c>
      <c r="C660" t="str">
        <f>UPPER(THrList[[#This Row],[Last_Name]])</f>
        <v>BALDE</v>
      </c>
      <c r="D660" t="s">
        <v>881</v>
      </c>
      <c r="E660" t="s">
        <v>797</v>
      </c>
      <c r="F660" s="1">
        <v>27043</v>
      </c>
      <c r="G660">
        <f ca="1">DATEDIF(THrList[[#This Row],[Date_of_Birth]],NOW(),"Y")</f>
        <v>51</v>
      </c>
      <c r="H660" t="s">
        <v>811</v>
      </c>
      <c r="I660" t="s">
        <v>793</v>
      </c>
      <c r="J660" t="s">
        <v>835</v>
      </c>
    </row>
    <row r="661" spans="1:10" x14ac:dyDescent="0.3">
      <c r="A661" t="s">
        <v>1059</v>
      </c>
      <c r="B661" t="s">
        <v>812</v>
      </c>
      <c r="C661" t="str">
        <f>UPPER(THrList[[#This Row],[Last_Name]])</f>
        <v>CAMARA</v>
      </c>
      <c r="D661" t="s">
        <v>813</v>
      </c>
      <c r="E661" t="s">
        <v>797</v>
      </c>
      <c r="F661" s="1">
        <v>36695</v>
      </c>
      <c r="G661">
        <f ca="1">DATEDIF(THrList[[#This Row],[Date_of_Birth]],NOW(),"Y")</f>
        <v>25</v>
      </c>
      <c r="H661" t="s">
        <v>811</v>
      </c>
      <c r="I661" t="s">
        <v>807</v>
      </c>
      <c r="J661" t="s">
        <v>823</v>
      </c>
    </row>
    <row r="662" spans="1:10" x14ac:dyDescent="0.3">
      <c r="A662" t="s">
        <v>436</v>
      </c>
      <c r="B662" t="s">
        <v>821</v>
      </c>
      <c r="C662" t="str">
        <f>UPPER(THrList[[#This Row],[Last_Name]])</f>
        <v>DUBOIS</v>
      </c>
      <c r="D662" t="s">
        <v>827</v>
      </c>
      <c r="E662" t="s">
        <v>797</v>
      </c>
      <c r="F662" s="1">
        <v>27872</v>
      </c>
      <c r="G662">
        <f ca="1">DATEDIF(THrList[[#This Row],[Date_of_Birth]],NOW(),"Y")</f>
        <v>49</v>
      </c>
      <c r="H662" t="s">
        <v>811</v>
      </c>
      <c r="I662" t="s">
        <v>793</v>
      </c>
      <c r="J662" t="s">
        <v>838</v>
      </c>
    </row>
    <row r="663" spans="1:10" x14ac:dyDescent="0.3">
      <c r="A663" t="s">
        <v>1060</v>
      </c>
      <c r="B663" t="s">
        <v>836</v>
      </c>
      <c r="C663" t="str">
        <f>UPPER(THrList[[#This Row],[Last_Name]])</f>
        <v>ANDERSON</v>
      </c>
      <c r="D663" t="s">
        <v>876</v>
      </c>
      <c r="E663" t="s">
        <v>791</v>
      </c>
      <c r="F663" s="1">
        <v>33997</v>
      </c>
      <c r="G663">
        <f ca="1">DATEDIF(THrList[[#This Row],[Date_of_Birth]],NOW(),"Y")</f>
        <v>32</v>
      </c>
      <c r="H663" t="s">
        <v>811</v>
      </c>
      <c r="I663" t="s">
        <v>807</v>
      </c>
      <c r="J663" t="s">
        <v>808</v>
      </c>
    </row>
    <row r="664" spans="1:10" x14ac:dyDescent="0.3">
      <c r="A664" t="s">
        <v>208</v>
      </c>
      <c r="B664" t="s">
        <v>887</v>
      </c>
      <c r="C664" t="str">
        <f>UPPER(THrList[[#This Row],[Last_Name]])</f>
        <v>TOURE</v>
      </c>
      <c r="D664" t="s">
        <v>818</v>
      </c>
      <c r="E664" t="s">
        <v>791</v>
      </c>
      <c r="F664" s="1">
        <v>26683</v>
      </c>
      <c r="G664">
        <f ca="1">DATEDIF(THrList[[#This Row],[Date_of_Birth]],NOW(),"Y")</f>
        <v>52</v>
      </c>
      <c r="H664" t="s">
        <v>843</v>
      </c>
      <c r="I664" t="s">
        <v>807</v>
      </c>
      <c r="J664" t="s">
        <v>1061</v>
      </c>
    </row>
    <row r="665" spans="1:10" x14ac:dyDescent="0.3">
      <c r="A665" t="s">
        <v>134</v>
      </c>
      <c r="B665" t="s">
        <v>871</v>
      </c>
      <c r="C665" t="str">
        <f>UPPER(THrList[[#This Row],[Last_Name]])</f>
        <v>MENSAH</v>
      </c>
      <c r="D665" t="s">
        <v>834</v>
      </c>
      <c r="E665" t="s">
        <v>791</v>
      </c>
      <c r="F665" s="1">
        <v>29345</v>
      </c>
      <c r="G665">
        <f ca="1">DATEDIF(THrList[[#This Row],[Date_of_Birth]],NOW(),"Y")</f>
        <v>45</v>
      </c>
      <c r="H665" t="s">
        <v>806</v>
      </c>
      <c r="I665" t="s">
        <v>807</v>
      </c>
      <c r="J665" t="s">
        <v>819</v>
      </c>
    </row>
    <row r="666" spans="1:10" x14ac:dyDescent="0.3">
      <c r="A666" t="s">
        <v>723</v>
      </c>
      <c r="B666" t="s">
        <v>869</v>
      </c>
      <c r="C666" t="str">
        <f>UPPER(THrList[[#This Row],[Last_Name]])</f>
        <v>MILLER</v>
      </c>
      <c r="D666" t="s">
        <v>805</v>
      </c>
      <c r="E666" t="s">
        <v>797</v>
      </c>
      <c r="F666" s="1">
        <v>32956</v>
      </c>
      <c r="G666">
        <f ca="1">DATEDIF(THrList[[#This Row],[Date_of_Birth]],NOW(),"Y")</f>
        <v>35</v>
      </c>
      <c r="H666" t="s">
        <v>811</v>
      </c>
      <c r="I666" t="s">
        <v>807</v>
      </c>
      <c r="J666" t="s">
        <v>823</v>
      </c>
    </row>
    <row r="667" spans="1:10" x14ac:dyDescent="0.3">
      <c r="A667" t="s">
        <v>472</v>
      </c>
      <c r="B667" t="s">
        <v>824</v>
      </c>
      <c r="C667" t="str">
        <f>UPPER(THrList[[#This Row],[Last_Name]])</f>
        <v>SOW</v>
      </c>
      <c r="D667" t="s">
        <v>860</v>
      </c>
      <c r="E667" t="s">
        <v>791</v>
      </c>
      <c r="F667" s="1">
        <v>28682</v>
      </c>
      <c r="G667">
        <f ca="1">DATEDIF(THrList[[#This Row],[Date_of_Birth]],NOW(),"Y")</f>
        <v>47</v>
      </c>
      <c r="H667" t="s">
        <v>811</v>
      </c>
      <c r="I667" t="s">
        <v>798</v>
      </c>
      <c r="J667" t="s">
        <v>814</v>
      </c>
    </row>
    <row r="668" spans="1:10" x14ac:dyDescent="0.3">
      <c r="A668" t="s">
        <v>215</v>
      </c>
      <c r="B668" t="s">
        <v>913</v>
      </c>
      <c r="C668" t="str">
        <f>UPPER(THrList[[#This Row],[Last_Name]])</f>
        <v>MERCIER</v>
      </c>
      <c r="D668" t="s">
        <v>926</v>
      </c>
      <c r="E668" t="s">
        <v>797</v>
      </c>
      <c r="F668" s="1">
        <v>27468</v>
      </c>
      <c r="G668">
        <f ca="1">DATEDIF(THrList[[#This Row],[Date_of_Birth]],NOW(),"Y")</f>
        <v>50</v>
      </c>
      <c r="H668" t="s">
        <v>806</v>
      </c>
      <c r="I668" t="s">
        <v>798</v>
      </c>
      <c r="J668" t="s">
        <v>838</v>
      </c>
    </row>
    <row r="669" spans="1:10" x14ac:dyDescent="0.3">
      <c r="A669" t="s">
        <v>353</v>
      </c>
      <c r="B669" t="s">
        <v>847</v>
      </c>
      <c r="C669" t="str">
        <f>UPPER(THrList[[#This Row],[Last_Name]])</f>
        <v>ALI</v>
      </c>
      <c r="D669" t="s">
        <v>864</v>
      </c>
      <c r="E669" t="s">
        <v>791</v>
      </c>
      <c r="F669" s="1">
        <v>27102</v>
      </c>
      <c r="G669">
        <f ca="1">DATEDIF(THrList[[#This Row],[Date_of_Birth]],NOW(),"Y")</f>
        <v>51</v>
      </c>
      <c r="H669" t="s">
        <v>843</v>
      </c>
      <c r="I669" t="s">
        <v>807</v>
      </c>
      <c r="J669" t="s">
        <v>823</v>
      </c>
    </row>
    <row r="670" spans="1:10" x14ac:dyDescent="0.3">
      <c r="A670" t="s">
        <v>1062</v>
      </c>
      <c r="B670" t="s">
        <v>804</v>
      </c>
      <c r="C670" t="str">
        <f>UPPER(THrList[[#This Row],[Last_Name]])</f>
        <v>SMITH</v>
      </c>
      <c r="D670" t="s">
        <v>841</v>
      </c>
      <c r="E670" t="s">
        <v>797</v>
      </c>
      <c r="F670" s="1">
        <v>25852</v>
      </c>
      <c r="G670">
        <f ca="1">DATEDIF(THrList[[#This Row],[Date_of_Birth]],NOW(),"Y")</f>
        <v>55</v>
      </c>
      <c r="H670" t="s">
        <v>806</v>
      </c>
      <c r="I670" t="s">
        <v>793</v>
      </c>
      <c r="J670" t="s">
        <v>835</v>
      </c>
    </row>
    <row r="671" spans="1:10" x14ac:dyDescent="0.3">
      <c r="A671" t="s">
        <v>120</v>
      </c>
      <c r="B671" t="s">
        <v>910</v>
      </c>
      <c r="C671" t="str">
        <f>UPPER(THrList[[#This Row],[Last_Name]])</f>
        <v>KHAN</v>
      </c>
      <c r="D671" t="s">
        <v>825</v>
      </c>
      <c r="E671" t="s">
        <v>797</v>
      </c>
      <c r="F671" s="1">
        <v>25904</v>
      </c>
      <c r="G671">
        <f ca="1">DATEDIF(THrList[[#This Row],[Date_of_Birth]],NOW(),"Y")</f>
        <v>55</v>
      </c>
      <c r="H671" t="s">
        <v>843</v>
      </c>
      <c r="I671" t="s">
        <v>798</v>
      </c>
      <c r="J671" t="s">
        <v>803</v>
      </c>
    </row>
    <row r="672" spans="1:10" x14ac:dyDescent="0.3">
      <c r="A672" t="s">
        <v>279</v>
      </c>
      <c r="B672" t="s">
        <v>859</v>
      </c>
      <c r="C672" t="str">
        <f>UPPER(THrList[[#This Row],[Last_Name]])</f>
        <v>PATEL</v>
      </c>
      <c r="D672" t="s">
        <v>876</v>
      </c>
      <c r="E672" t="s">
        <v>797</v>
      </c>
      <c r="F672" s="1">
        <v>31485</v>
      </c>
      <c r="G672">
        <f ca="1">DATEDIF(THrList[[#This Row],[Date_of_Birth]],NOW(),"Y")</f>
        <v>39</v>
      </c>
      <c r="H672" t="s">
        <v>792</v>
      </c>
      <c r="I672" t="s">
        <v>807</v>
      </c>
      <c r="J672" t="s">
        <v>814</v>
      </c>
    </row>
    <row r="673" spans="1:15" x14ac:dyDescent="0.3">
      <c r="A673" t="s">
        <v>1063</v>
      </c>
      <c r="B673" t="s">
        <v>824</v>
      </c>
      <c r="C673" t="str">
        <f>UPPER(THrList[[#This Row],[Last_Name]])</f>
        <v>SOW</v>
      </c>
      <c r="D673" t="s">
        <v>899</v>
      </c>
      <c r="E673" t="s">
        <v>791</v>
      </c>
      <c r="F673" s="1">
        <v>31238</v>
      </c>
      <c r="G673">
        <f ca="1">DATEDIF(THrList[[#This Row],[Date_of_Birth]],NOW(),"Y")</f>
        <v>40</v>
      </c>
      <c r="H673" t="s">
        <v>806</v>
      </c>
      <c r="I673" t="s">
        <v>798</v>
      </c>
      <c r="J673" t="s">
        <v>803</v>
      </c>
    </row>
    <row r="674" spans="1:15" x14ac:dyDescent="0.3">
      <c r="A674" t="s">
        <v>518</v>
      </c>
      <c r="B674" t="s">
        <v>833</v>
      </c>
      <c r="C674" t="str">
        <f>UPPER(THrList[[#This Row],[Last_Name]])</f>
        <v>JONES</v>
      </c>
      <c r="D674" t="s">
        <v>878</v>
      </c>
      <c r="E674" t="s">
        <v>797</v>
      </c>
      <c r="F674" s="1">
        <v>29861</v>
      </c>
      <c r="G674">
        <f ca="1">DATEDIF(THrList[[#This Row],[Date_of_Birth]],NOW(),"Y")</f>
        <v>44</v>
      </c>
      <c r="H674" t="s">
        <v>792</v>
      </c>
      <c r="I674" t="s">
        <v>807</v>
      </c>
      <c r="J674" t="s">
        <v>803</v>
      </c>
    </row>
    <row r="675" spans="1:15" x14ac:dyDescent="0.3">
      <c r="A675" t="s">
        <v>27</v>
      </c>
      <c r="B675" t="s">
        <v>896</v>
      </c>
      <c r="C675" t="str">
        <f>UPPER(THrList[[#This Row],[Last_Name]])</f>
        <v>DIOP</v>
      </c>
      <c r="D675" t="s">
        <v>849</v>
      </c>
      <c r="E675" t="s">
        <v>791</v>
      </c>
      <c r="F675" s="1">
        <v>27360</v>
      </c>
      <c r="G675">
        <f ca="1">DATEDIF(THrList[[#This Row],[Date_of_Birth]],NOW(),"Y")</f>
        <v>51</v>
      </c>
      <c r="H675" t="s">
        <v>806</v>
      </c>
      <c r="I675" t="s">
        <v>793</v>
      </c>
      <c r="J675" t="s">
        <v>799</v>
      </c>
    </row>
    <row r="676" spans="1:15" x14ac:dyDescent="0.3">
      <c r="A676" t="s">
        <v>146</v>
      </c>
      <c r="B676" t="s">
        <v>840</v>
      </c>
      <c r="C676" t="str">
        <f>UPPER(THrList[[#This Row],[Last_Name]])</f>
        <v>PETIT</v>
      </c>
      <c r="D676" t="s">
        <v>816</v>
      </c>
      <c r="E676" t="s">
        <v>797</v>
      </c>
      <c r="F676" s="1">
        <v>26101</v>
      </c>
      <c r="G676">
        <f ca="1">DATEDIF(THrList[[#This Row],[Date_of_Birth]],NOW(),"Y")</f>
        <v>54</v>
      </c>
      <c r="H676" t="s">
        <v>806</v>
      </c>
      <c r="I676" t="s">
        <v>793</v>
      </c>
      <c r="J676" t="s">
        <v>814</v>
      </c>
    </row>
    <row r="677" spans="1:15" x14ac:dyDescent="0.3">
      <c r="A677" t="s">
        <v>287</v>
      </c>
      <c r="B677" t="s">
        <v>863</v>
      </c>
      <c r="C677" t="str">
        <f>UPPER(THrList[[#This Row],[Last_Name]])</f>
        <v>THOMAS</v>
      </c>
      <c r="D677" t="s">
        <v>932</v>
      </c>
      <c r="E677" t="s">
        <v>791</v>
      </c>
      <c r="F677" s="1">
        <v>34736</v>
      </c>
      <c r="G677">
        <f ca="1">DATEDIF(THrList[[#This Row],[Date_of_Birth]],NOW(),"Y")</f>
        <v>30</v>
      </c>
      <c r="H677" t="s">
        <v>806</v>
      </c>
      <c r="I677" t="s">
        <v>793</v>
      </c>
      <c r="J677" t="s">
        <v>838</v>
      </c>
    </row>
    <row r="678" spans="1:15" x14ac:dyDescent="0.3">
      <c r="A678" t="s">
        <v>607</v>
      </c>
      <c r="B678" t="s">
        <v>824</v>
      </c>
      <c r="C678" t="str">
        <f>UPPER(THrList[[#This Row],[Last_Name]])</f>
        <v>SOW</v>
      </c>
      <c r="D678" t="s">
        <v>853</v>
      </c>
      <c r="E678" t="s">
        <v>791</v>
      </c>
      <c r="F678" s="1">
        <v>35534</v>
      </c>
      <c r="G678">
        <f ca="1">DATEDIF(THrList[[#This Row],[Date_of_Birth]],NOW(),"Y")</f>
        <v>28</v>
      </c>
      <c r="H678" t="s">
        <v>843</v>
      </c>
      <c r="I678" t="s">
        <v>807</v>
      </c>
      <c r="J678" t="s">
        <v>814</v>
      </c>
    </row>
    <row r="679" spans="1:15" x14ac:dyDescent="0.3">
      <c r="A679" t="s">
        <v>425</v>
      </c>
      <c r="B679" t="s">
        <v>910</v>
      </c>
      <c r="C679" t="str">
        <f>UPPER(THrList[[#This Row],[Last_Name]])</f>
        <v>KHAN</v>
      </c>
      <c r="D679" t="s">
        <v>860</v>
      </c>
      <c r="E679" t="s">
        <v>791</v>
      </c>
      <c r="F679" s="1">
        <v>28164</v>
      </c>
      <c r="G679">
        <f ca="1">DATEDIF(THrList[[#This Row],[Date_of_Birth]],NOW(),"Y")</f>
        <v>48</v>
      </c>
      <c r="H679" t="s">
        <v>806</v>
      </c>
      <c r="I679" t="s">
        <v>798</v>
      </c>
      <c r="J679" t="s">
        <v>838</v>
      </c>
    </row>
    <row r="680" spans="1:15" x14ac:dyDescent="0.3">
      <c r="A680" t="s">
        <v>103</v>
      </c>
      <c r="B680" t="s">
        <v>910</v>
      </c>
      <c r="C680" t="str">
        <f>UPPER(THrList[[#This Row],[Last_Name]])</f>
        <v>KHAN</v>
      </c>
      <c r="D680" t="s">
        <v>856</v>
      </c>
      <c r="E680" t="s">
        <v>791</v>
      </c>
      <c r="F680" s="1">
        <v>25477</v>
      </c>
      <c r="G680">
        <f ca="1">DATEDIF(THrList[[#This Row],[Date_of_Birth]],NOW(),"Y")</f>
        <v>56</v>
      </c>
      <c r="H680" t="s">
        <v>792</v>
      </c>
      <c r="I680" t="s">
        <v>807</v>
      </c>
      <c r="J680" t="s">
        <v>838</v>
      </c>
      <c r="O680" s="3"/>
    </row>
    <row r="681" spans="1:15" x14ac:dyDescent="0.3">
      <c r="A681" t="s">
        <v>522</v>
      </c>
      <c r="B681" t="s">
        <v>943</v>
      </c>
      <c r="C681" t="str">
        <f>UPPER(THrList[[#This Row],[Last_Name]])</f>
        <v>KIM</v>
      </c>
      <c r="D681" t="s">
        <v>805</v>
      </c>
      <c r="E681" t="s">
        <v>791</v>
      </c>
      <c r="F681" s="1">
        <v>32010</v>
      </c>
      <c r="G681">
        <f ca="1">DATEDIF(THrList[[#This Row],[Date_of_Birth]],NOW(),"Y")</f>
        <v>38</v>
      </c>
      <c r="H681" t="s">
        <v>811</v>
      </c>
      <c r="I681" t="s">
        <v>793</v>
      </c>
      <c r="J681" t="s">
        <v>799</v>
      </c>
    </row>
    <row r="682" spans="1:15" x14ac:dyDescent="0.3">
      <c r="A682" t="s">
        <v>460</v>
      </c>
      <c r="B682" t="s">
        <v>869</v>
      </c>
      <c r="C682" t="str">
        <f>UPPER(THrList[[#This Row],[Last_Name]])</f>
        <v>MILLER</v>
      </c>
      <c r="D682" t="s">
        <v>883</v>
      </c>
      <c r="E682" t="s">
        <v>791</v>
      </c>
      <c r="F682" s="1">
        <v>33000</v>
      </c>
      <c r="G682">
        <f ca="1">DATEDIF(THrList[[#This Row],[Date_of_Birth]],NOW(),"Y")</f>
        <v>35</v>
      </c>
      <c r="H682" t="s">
        <v>806</v>
      </c>
      <c r="I682" t="s">
        <v>798</v>
      </c>
      <c r="J682" t="s">
        <v>823</v>
      </c>
    </row>
    <row r="683" spans="1:15" x14ac:dyDescent="0.3">
      <c r="A683" t="s">
        <v>611</v>
      </c>
      <c r="B683" t="s">
        <v>795</v>
      </c>
      <c r="C683" t="str">
        <f>UPPER(THrList[[#This Row],[Last_Name]])</f>
        <v>GIRARD</v>
      </c>
      <c r="D683" t="s">
        <v>881</v>
      </c>
      <c r="E683" t="s">
        <v>797</v>
      </c>
      <c r="F683" s="1">
        <v>27867</v>
      </c>
      <c r="G683">
        <f ca="1">DATEDIF(THrList[[#This Row],[Date_of_Birth]],NOW(),"Y")</f>
        <v>49</v>
      </c>
      <c r="H683" t="s">
        <v>843</v>
      </c>
      <c r="I683" t="s">
        <v>793</v>
      </c>
      <c r="J683" t="s">
        <v>808</v>
      </c>
    </row>
    <row r="684" spans="1:15" x14ac:dyDescent="0.3">
      <c r="A684" t="s">
        <v>126</v>
      </c>
      <c r="B684" t="s">
        <v>845</v>
      </c>
      <c r="C684" t="str">
        <f>UPPER(THrList[[#This Row],[Last_Name]])</f>
        <v>WILSON</v>
      </c>
      <c r="D684" t="s">
        <v>883</v>
      </c>
      <c r="E684" t="s">
        <v>797</v>
      </c>
      <c r="F684" s="1">
        <v>26861</v>
      </c>
      <c r="G684">
        <f ca="1">DATEDIF(THrList[[#This Row],[Date_of_Birth]],NOW(),"Y")</f>
        <v>52</v>
      </c>
      <c r="H684" t="s">
        <v>843</v>
      </c>
      <c r="I684" t="s">
        <v>807</v>
      </c>
      <c r="J684" t="s">
        <v>835</v>
      </c>
    </row>
    <row r="685" spans="1:15" x14ac:dyDescent="0.3">
      <c r="A685" t="s">
        <v>295</v>
      </c>
      <c r="B685" t="s">
        <v>845</v>
      </c>
      <c r="C685" t="str">
        <f>UPPER(THrList[[#This Row],[Last_Name]])</f>
        <v>WILSON</v>
      </c>
      <c r="D685" t="s">
        <v>895</v>
      </c>
      <c r="E685" t="s">
        <v>791</v>
      </c>
      <c r="F685" s="1">
        <v>29921</v>
      </c>
      <c r="G685">
        <f ca="1">DATEDIF(THrList[[#This Row],[Date_of_Birth]],NOW(),"Y")</f>
        <v>44</v>
      </c>
      <c r="H685" t="s">
        <v>811</v>
      </c>
      <c r="I685" t="s">
        <v>807</v>
      </c>
      <c r="J685" t="s">
        <v>808</v>
      </c>
    </row>
    <row r="686" spans="1:15" x14ac:dyDescent="0.3">
      <c r="A686" t="s">
        <v>545</v>
      </c>
      <c r="B686" t="s">
        <v>911</v>
      </c>
      <c r="C686" t="str">
        <f>UPPER(THrList[[#This Row],[Last_Name]])</f>
        <v>BROWN</v>
      </c>
      <c r="D686" t="s">
        <v>830</v>
      </c>
      <c r="E686" t="s">
        <v>791</v>
      </c>
      <c r="F686" s="1">
        <v>38180</v>
      </c>
      <c r="G686">
        <f ca="1">DATEDIF(THrList[[#This Row],[Date_of_Birth]],NOW(),"Y")</f>
        <v>21</v>
      </c>
      <c r="H686" t="s">
        <v>811</v>
      </c>
      <c r="I686" t="s">
        <v>798</v>
      </c>
      <c r="J686" t="s">
        <v>808</v>
      </c>
    </row>
    <row r="687" spans="1:15" x14ac:dyDescent="0.3">
      <c r="A687" t="s">
        <v>383</v>
      </c>
      <c r="B687" t="s">
        <v>817</v>
      </c>
      <c r="C687" t="str">
        <f>UPPER(THrList[[#This Row],[Last_Name]])</f>
        <v>JACKSON</v>
      </c>
      <c r="D687" t="s">
        <v>878</v>
      </c>
      <c r="E687" t="s">
        <v>797</v>
      </c>
      <c r="F687" s="1">
        <v>25215</v>
      </c>
      <c r="G687">
        <f ca="1">DATEDIF(THrList[[#This Row],[Date_of_Birth]],NOW(),"Y")</f>
        <v>56</v>
      </c>
      <c r="H687" t="s">
        <v>806</v>
      </c>
      <c r="I687" t="s">
        <v>798</v>
      </c>
      <c r="J687" t="s">
        <v>808</v>
      </c>
    </row>
    <row r="688" spans="1:15" x14ac:dyDescent="0.3">
      <c r="A688" t="s">
        <v>395</v>
      </c>
      <c r="B688" t="s">
        <v>832</v>
      </c>
      <c r="C688" t="str">
        <f>UPPER(THrList[[#This Row],[Last_Name]])</f>
        <v>FOURNIER</v>
      </c>
      <c r="D688" t="s">
        <v>829</v>
      </c>
      <c r="E688" t="s">
        <v>791</v>
      </c>
      <c r="F688" s="1">
        <v>34584</v>
      </c>
      <c r="G688">
        <f ca="1">DATEDIF(THrList[[#This Row],[Date_of_Birth]],NOW(),"Y")</f>
        <v>31</v>
      </c>
      <c r="H688" t="s">
        <v>806</v>
      </c>
      <c r="I688" t="s">
        <v>798</v>
      </c>
      <c r="J688" t="s">
        <v>803</v>
      </c>
    </row>
    <row r="689" spans="1:10" x14ac:dyDescent="0.3">
      <c r="A689" t="s">
        <v>144</v>
      </c>
      <c r="B689" t="s">
        <v>868</v>
      </c>
      <c r="C689" t="str">
        <f>UPPER(THrList[[#This Row],[Last_Name]])</f>
        <v>LOPEZ</v>
      </c>
      <c r="D689" t="s">
        <v>947</v>
      </c>
      <c r="E689" t="s">
        <v>791</v>
      </c>
      <c r="F689" s="1">
        <v>35281</v>
      </c>
      <c r="G689">
        <f ca="1">DATEDIF(THrList[[#This Row],[Date_of_Birth]],NOW(),"Y")</f>
        <v>29</v>
      </c>
      <c r="H689" t="s">
        <v>792</v>
      </c>
      <c r="I689" t="s">
        <v>807</v>
      </c>
      <c r="J689" t="s">
        <v>835</v>
      </c>
    </row>
    <row r="690" spans="1:10" x14ac:dyDescent="0.3">
      <c r="A690" t="s">
        <v>1064</v>
      </c>
      <c r="B690" t="s">
        <v>800</v>
      </c>
      <c r="C690" t="str">
        <f>UPPER(THrList[[#This Row],[Last_Name]])</f>
        <v>JOHNSON</v>
      </c>
      <c r="D690" t="s">
        <v>1065</v>
      </c>
      <c r="E690" t="s">
        <v>791</v>
      </c>
      <c r="F690" s="1">
        <v>32335</v>
      </c>
      <c r="G690">
        <f ca="1">DATEDIF(THrList[[#This Row],[Date_of_Birth]],NOW(),"Y")</f>
        <v>37</v>
      </c>
      <c r="H690" t="s">
        <v>792</v>
      </c>
      <c r="I690" t="s">
        <v>807</v>
      </c>
      <c r="J690" t="s">
        <v>838</v>
      </c>
    </row>
    <row r="691" spans="1:10" x14ac:dyDescent="0.3">
      <c r="A691" t="s">
        <v>588</v>
      </c>
      <c r="B691" t="s">
        <v>887</v>
      </c>
      <c r="C691" t="str">
        <f>UPPER(THrList[[#This Row],[Last_Name]])</f>
        <v>TOURE</v>
      </c>
      <c r="D691" t="s">
        <v>829</v>
      </c>
      <c r="E691" t="s">
        <v>791</v>
      </c>
      <c r="F691" s="1">
        <v>26609</v>
      </c>
      <c r="G691">
        <f ca="1">DATEDIF(THrList[[#This Row],[Date_of_Birth]],NOW(),"Y")</f>
        <v>53</v>
      </c>
      <c r="H691" t="s">
        <v>806</v>
      </c>
      <c r="I691" t="s">
        <v>793</v>
      </c>
      <c r="J691" t="s">
        <v>838</v>
      </c>
    </row>
    <row r="692" spans="1:10" x14ac:dyDescent="0.3">
      <c r="A692" t="s">
        <v>157</v>
      </c>
      <c r="B692" t="s">
        <v>869</v>
      </c>
      <c r="C692" t="str">
        <f>UPPER(THrList[[#This Row],[Last_Name]])</f>
        <v>MILLER</v>
      </c>
      <c r="D692" t="s">
        <v>837</v>
      </c>
      <c r="E692" t="s">
        <v>797</v>
      </c>
      <c r="F692" s="1">
        <v>26626</v>
      </c>
      <c r="G692">
        <f ca="1">DATEDIF(THrList[[#This Row],[Date_of_Birth]],NOW(),"Y")</f>
        <v>53</v>
      </c>
      <c r="H692" t="s">
        <v>806</v>
      </c>
      <c r="I692" t="s">
        <v>793</v>
      </c>
      <c r="J692" t="s">
        <v>835</v>
      </c>
    </row>
    <row r="693" spans="1:10" x14ac:dyDescent="0.3">
      <c r="A693" t="s">
        <v>379</v>
      </c>
      <c r="B693" t="s">
        <v>789</v>
      </c>
      <c r="C693" t="str">
        <f>UPPER(THrList[[#This Row],[Last_Name]])</f>
        <v>LEROY</v>
      </c>
      <c r="D693" t="s">
        <v>816</v>
      </c>
      <c r="E693" t="s">
        <v>791</v>
      </c>
      <c r="F693" s="1">
        <v>28187</v>
      </c>
      <c r="G693">
        <f ca="1">DATEDIF(THrList[[#This Row],[Date_of_Birth]],NOW(),"Y")</f>
        <v>48</v>
      </c>
      <c r="H693" t="s">
        <v>811</v>
      </c>
      <c r="I693" t="s">
        <v>798</v>
      </c>
      <c r="J693" t="s">
        <v>803</v>
      </c>
    </row>
    <row r="694" spans="1:10" x14ac:dyDescent="0.3">
      <c r="A694" t="s">
        <v>1066</v>
      </c>
      <c r="B694" t="s">
        <v>812</v>
      </c>
      <c r="C694" t="str">
        <f>UPPER(THrList[[#This Row],[Last_Name]])</f>
        <v>CAMARA</v>
      </c>
      <c r="D694" t="s">
        <v>828</v>
      </c>
      <c r="E694" t="s">
        <v>797</v>
      </c>
      <c r="F694" s="1">
        <v>25382</v>
      </c>
      <c r="G694">
        <f ca="1">DATEDIF(THrList[[#This Row],[Date_of_Birth]],NOW(),"Y")</f>
        <v>56</v>
      </c>
      <c r="H694" t="s">
        <v>806</v>
      </c>
      <c r="I694" t="s">
        <v>798</v>
      </c>
      <c r="J694" t="s">
        <v>823</v>
      </c>
    </row>
    <row r="695" spans="1:10" x14ac:dyDescent="0.3">
      <c r="A695" t="s">
        <v>343</v>
      </c>
      <c r="B695" t="s">
        <v>826</v>
      </c>
      <c r="C695" t="str">
        <f>UPPER(THrList[[#This Row],[Last_Name]])</f>
        <v>RODRIGUEZ</v>
      </c>
      <c r="D695" t="s">
        <v>860</v>
      </c>
      <c r="E695" t="s">
        <v>797</v>
      </c>
      <c r="F695" s="1">
        <v>36550</v>
      </c>
      <c r="G695">
        <f ca="1">DATEDIF(THrList[[#This Row],[Date_of_Birth]],NOW(),"Y")</f>
        <v>25</v>
      </c>
      <c r="H695" t="s">
        <v>811</v>
      </c>
      <c r="I695" t="s">
        <v>807</v>
      </c>
      <c r="J695" t="s">
        <v>794</v>
      </c>
    </row>
    <row r="696" spans="1:10" x14ac:dyDescent="0.3">
      <c r="A696" t="s">
        <v>139</v>
      </c>
      <c r="B696" t="s">
        <v>890</v>
      </c>
      <c r="C696" t="str">
        <f>UPPER(THrList[[#This Row],[Last_Name]])</f>
        <v>ROUSSEAU</v>
      </c>
      <c r="D696" t="s">
        <v>837</v>
      </c>
      <c r="E696" t="s">
        <v>797</v>
      </c>
      <c r="F696" s="1">
        <v>36089</v>
      </c>
      <c r="G696">
        <f ca="1">DATEDIF(THrList[[#This Row],[Date_of_Birth]],NOW(),"Y")</f>
        <v>27</v>
      </c>
      <c r="H696" t="s">
        <v>806</v>
      </c>
      <c r="I696" t="s">
        <v>793</v>
      </c>
      <c r="J696" t="s">
        <v>799</v>
      </c>
    </row>
    <row r="697" spans="1:10" x14ac:dyDescent="0.3">
      <c r="A697" t="s">
        <v>776</v>
      </c>
      <c r="B697" t="s">
        <v>917</v>
      </c>
      <c r="C697" t="str">
        <f>UPPER(THrList[[#This Row],[Last_Name]])</f>
        <v>LAURENT</v>
      </c>
      <c r="D697" t="s">
        <v>827</v>
      </c>
      <c r="E697" t="s">
        <v>797</v>
      </c>
      <c r="F697" s="1">
        <v>30849</v>
      </c>
      <c r="G697">
        <f ca="1">DATEDIF(THrList[[#This Row],[Date_of_Birth]],NOW(),"Y")</f>
        <v>41</v>
      </c>
      <c r="H697" t="s">
        <v>792</v>
      </c>
      <c r="I697" t="s">
        <v>807</v>
      </c>
      <c r="J697" t="s">
        <v>819</v>
      </c>
    </row>
    <row r="698" spans="1:10" x14ac:dyDescent="0.3">
      <c r="A698" t="s">
        <v>666</v>
      </c>
      <c r="B698" t="s">
        <v>858</v>
      </c>
      <c r="C698" t="str">
        <f>UPPER(THrList[[#This Row],[Last_Name]])</f>
        <v>MOORE</v>
      </c>
      <c r="D698" t="s">
        <v>888</v>
      </c>
      <c r="E698" t="s">
        <v>791</v>
      </c>
      <c r="F698" s="1">
        <v>31669</v>
      </c>
      <c r="G698">
        <f ca="1">DATEDIF(THrList[[#This Row],[Date_of_Birth]],NOW(),"Y")</f>
        <v>39</v>
      </c>
      <c r="H698" t="s">
        <v>806</v>
      </c>
      <c r="I698" t="s">
        <v>798</v>
      </c>
      <c r="J698" t="s">
        <v>799</v>
      </c>
    </row>
    <row r="699" spans="1:10" x14ac:dyDescent="0.3">
      <c r="A699" t="s">
        <v>489</v>
      </c>
      <c r="B699" t="s">
        <v>892</v>
      </c>
      <c r="C699" t="str">
        <f>UPPER(THrList[[#This Row],[Last_Name]])</f>
        <v>BALDE</v>
      </c>
      <c r="D699" t="s">
        <v>870</v>
      </c>
      <c r="E699" t="s">
        <v>791</v>
      </c>
      <c r="F699" s="1">
        <v>29149</v>
      </c>
      <c r="G699">
        <f ca="1">DATEDIF(THrList[[#This Row],[Date_of_Birth]],NOW(),"Y")</f>
        <v>46</v>
      </c>
      <c r="H699" t="s">
        <v>843</v>
      </c>
      <c r="I699" t="s">
        <v>798</v>
      </c>
      <c r="J699" t="s">
        <v>799</v>
      </c>
    </row>
    <row r="700" spans="1:10" x14ac:dyDescent="0.3">
      <c r="A700" t="s">
        <v>303</v>
      </c>
      <c r="B700" t="s">
        <v>925</v>
      </c>
      <c r="C700" t="str">
        <f>UPPER(THrList[[#This Row],[Last_Name]])</f>
        <v>LEFEVRE</v>
      </c>
      <c r="D700" t="s">
        <v>906</v>
      </c>
      <c r="E700" t="s">
        <v>791</v>
      </c>
      <c r="F700" s="1">
        <v>37977</v>
      </c>
      <c r="G700">
        <f ca="1">DATEDIF(THrList[[#This Row],[Date_of_Birth]],NOW(),"Y")</f>
        <v>21</v>
      </c>
      <c r="H700" t="s">
        <v>843</v>
      </c>
      <c r="I700" t="s">
        <v>793</v>
      </c>
      <c r="J700" t="s">
        <v>823</v>
      </c>
    </row>
    <row r="701" spans="1:10" x14ac:dyDescent="0.3">
      <c r="A701" t="s">
        <v>633</v>
      </c>
      <c r="B701" t="s">
        <v>826</v>
      </c>
      <c r="C701" t="str">
        <f>UPPER(THrList[[#This Row],[Last_Name]])</f>
        <v>RODRIGUEZ</v>
      </c>
      <c r="D701" t="s">
        <v>829</v>
      </c>
      <c r="E701" t="s">
        <v>791</v>
      </c>
      <c r="F701" s="1">
        <v>37249</v>
      </c>
      <c r="G701">
        <f ca="1">DATEDIF(THrList[[#This Row],[Date_of_Birth]],NOW(),"Y")</f>
        <v>23</v>
      </c>
      <c r="H701" t="s">
        <v>843</v>
      </c>
      <c r="I701" t="s">
        <v>798</v>
      </c>
      <c r="J701" t="s">
        <v>803</v>
      </c>
    </row>
  </sheetData>
  <dataValidations count="3">
    <dataValidation type="list" allowBlank="1" showInputMessage="1" showErrorMessage="1" sqref="E2:E701" xr:uid="{655EB792-90F9-4CD9-8548-BAE7405659F2}">
      <formula1>"Female, Male"</formula1>
    </dataValidation>
    <dataValidation type="list" allowBlank="1" showInputMessage="1" showErrorMessage="1" sqref="H2:H701" xr:uid="{8EE2A0DD-0268-4BA0-99E1-5C1AE00CF146}">
      <formula1>"Junior, Mid-level, Manager, Senior"</formula1>
    </dataValidation>
    <dataValidation type="list" allowBlank="1" showInputMessage="1" showErrorMessage="1" sqref="J2:J701" xr:uid="{E1E79C60-E096-4D7E-89F4-6D02E7080272}">
      <formula1>ListDepartment</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DCB99-96B6-4FB7-B342-E04F3E3E5BCB}">
  <dimension ref="A1:G15"/>
  <sheetViews>
    <sheetView workbookViewId="0">
      <selection activeCell="G2" sqref="G2:G13"/>
    </sheetView>
  </sheetViews>
  <sheetFormatPr defaultRowHeight="14.4" x14ac:dyDescent="0.3"/>
  <cols>
    <col min="1" max="1" width="17.33203125" customWidth="1"/>
    <col min="2" max="2" width="4.88671875" customWidth="1"/>
    <col min="3" max="3" width="18.33203125" customWidth="1"/>
    <col min="5" max="5" width="33.21875" customWidth="1"/>
    <col min="7" max="7" width="19.44140625" customWidth="1"/>
  </cols>
  <sheetData>
    <row r="1" spans="1:7" s="4" customFormat="1" ht="15.6" x14ac:dyDescent="0.3">
      <c r="A1" s="4" t="s">
        <v>1</v>
      </c>
      <c r="C1" s="4" t="s">
        <v>788</v>
      </c>
      <c r="E1" s="4" t="s">
        <v>2</v>
      </c>
      <c r="G1" s="4" t="s">
        <v>4</v>
      </c>
    </row>
    <row r="2" spans="1:7" x14ac:dyDescent="0.3">
      <c r="A2" t="s">
        <v>8</v>
      </c>
      <c r="C2" t="s">
        <v>794</v>
      </c>
      <c r="E2" t="s">
        <v>9</v>
      </c>
      <c r="G2" t="s">
        <v>46</v>
      </c>
    </row>
    <row r="3" spans="1:7" x14ac:dyDescent="0.3">
      <c r="A3" t="s">
        <v>19</v>
      </c>
      <c r="C3" t="s">
        <v>799</v>
      </c>
      <c r="E3" t="s">
        <v>300</v>
      </c>
      <c r="G3" t="s">
        <v>12</v>
      </c>
    </row>
    <row r="4" spans="1:7" x14ac:dyDescent="0.3">
      <c r="A4" t="s">
        <v>17</v>
      </c>
      <c r="C4" t="s">
        <v>803</v>
      </c>
      <c r="E4" t="s">
        <v>14</v>
      </c>
      <c r="G4" t="s">
        <v>15</v>
      </c>
    </row>
    <row r="5" spans="1:7" x14ac:dyDescent="0.3">
      <c r="C5" t="s">
        <v>808</v>
      </c>
      <c r="E5" t="s">
        <v>20</v>
      </c>
      <c r="G5" t="s">
        <v>44</v>
      </c>
    </row>
    <row r="6" spans="1:7" x14ac:dyDescent="0.3">
      <c r="C6" t="s">
        <v>814</v>
      </c>
      <c r="E6" t="s">
        <v>433</v>
      </c>
      <c r="G6" t="s">
        <v>32</v>
      </c>
    </row>
    <row r="7" spans="1:7" x14ac:dyDescent="0.3">
      <c r="C7" t="s">
        <v>819</v>
      </c>
      <c r="E7" t="s">
        <v>332</v>
      </c>
      <c r="G7" t="s">
        <v>98</v>
      </c>
    </row>
    <row r="8" spans="1:7" x14ac:dyDescent="0.3">
      <c r="C8" t="s">
        <v>823</v>
      </c>
      <c r="E8" t="s">
        <v>297</v>
      </c>
      <c r="G8" t="s">
        <v>29</v>
      </c>
    </row>
    <row r="9" spans="1:7" x14ac:dyDescent="0.3">
      <c r="C9" t="s">
        <v>835</v>
      </c>
      <c r="E9" t="s">
        <v>31</v>
      </c>
      <c r="G9" t="s">
        <v>39</v>
      </c>
    </row>
    <row r="10" spans="1:7" x14ac:dyDescent="0.3">
      <c r="C10" t="s">
        <v>838</v>
      </c>
      <c r="E10" t="s">
        <v>38</v>
      </c>
      <c r="G10" t="s">
        <v>42</v>
      </c>
    </row>
    <row r="11" spans="1:7" x14ac:dyDescent="0.3">
      <c r="C11" t="s">
        <v>1068</v>
      </c>
      <c r="E11" t="s">
        <v>43</v>
      </c>
      <c r="G11" t="s">
        <v>71</v>
      </c>
    </row>
    <row r="12" spans="1:7" x14ac:dyDescent="0.3">
      <c r="C12" t="s">
        <v>933</v>
      </c>
      <c r="E12" t="s">
        <v>346</v>
      </c>
      <c r="G12" t="s">
        <v>1072</v>
      </c>
    </row>
    <row r="13" spans="1:7" x14ac:dyDescent="0.3">
      <c r="C13" t="s">
        <v>952</v>
      </c>
      <c r="E13" t="s">
        <v>1073</v>
      </c>
      <c r="G13" t="s">
        <v>132</v>
      </c>
    </row>
    <row r="14" spans="1:7" x14ac:dyDescent="0.3">
      <c r="C14" t="s">
        <v>1018</v>
      </c>
    </row>
    <row r="15" spans="1:7" x14ac:dyDescent="0.3">
      <c r="C15" t="s">
        <v>1061</v>
      </c>
    </row>
  </sheetData>
  <pageMargins left="0.7" right="0.7" top="0.75" bottom="0.75" header="0.3" footer="0.3"/>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54027-0F04-49FE-B06F-3286D98E9D54}">
  <dimension ref="B18:Q626"/>
  <sheetViews>
    <sheetView topLeftCell="A37" workbookViewId="0">
      <selection activeCell="B18" sqref="B18:E86"/>
    </sheetView>
  </sheetViews>
  <sheetFormatPr defaultRowHeight="14.4" x14ac:dyDescent="0.3"/>
  <cols>
    <col min="2" max="2" width="15.44140625" bestFit="1" customWidth="1"/>
    <col min="3" max="3" width="16" bestFit="1" customWidth="1"/>
    <col min="4" max="4" width="12.6640625" bestFit="1" customWidth="1"/>
    <col min="5" max="5" width="16" bestFit="1" customWidth="1"/>
    <col min="8" max="8" width="17.6640625" bestFit="1" customWidth="1"/>
    <col min="9" max="9" width="16.5546875" bestFit="1" customWidth="1"/>
    <col min="10" max="10" width="12.33203125" bestFit="1" customWidth="1"/>
    <col min="16" max="16" width="10.77734375" bestFit="1" customWidth="1"/>
    <col min="17" max="17" width="12.33203125" bestFit="1" customWidth="1"/>
  </cols>
  <sheetData>
    <row r="18" spans="2:9" x14ac:dyDescent="0.3">
      <c r="B18" s="5" t="s">
        <v>0</v>
      </c>
      <c r="C18" s="5" t="s">
        <v>781</v>
      </c>
      <c r="D18" s="5" t="s">
        <v>782</v>
      </c>
      <c r="E18" t="s">
        <v>1076</v>
      </c>
      <c r="H18" s="5" t="s">
        <v>788</v>
      </c>
      <c r="I18" t="s">
        <v>1076</v>
      </c>
    </row>
    <row r="19" spans="2:9" x14ac:dyDescent="0.3">
      <c r="B19" t="s">
        <v>114</v>
      </c>
      <c r="C19" t="s">
        <v>1122</v>
      </c>
      <c r="D19" t="s">
        <v>906</v>
      </c>
      <c r="E19" s="10">
        <v>188</v>
      </c>
      <c r="H19" s="6" t="s">
        <v>803</v>
      </c>
      <c r="I19" s="10">
        <v>3248</v>
      </c>
    </row>
    <row r="20" spans="2:9" x14ac:dyDescent="0.3">
      <c r="B20" t="s">
        <v>403</v>
      </c>
      <c r="C20" t="s">
        <v>980</v>
      </c>
      <c r="D20" t="s">
        <v>860</v>
      </c>
      <c r="E20" s="10">
        <v>180</v>
      </c>
      <c r="H20" s="6" t="s">
        <v>799</v>
      </c>
      <c r="I20" s="10">
        <v>2966</v>
      </c>
    </row>
    <row r="21" spans="2:9" x14ac:dyDescent="0.3">
      <c r="B21" t="s">
        <v>422</v>
      </c>
      <c r="C21" t="s">
        <v>1085</v>
      </c>
      <c r="D21" t="s">
        <v>878</v>
      </c>
      <c r="E21" s="10">
        <v>142</v>
      </c>
      <c r="H21" s="6" t="s">
        <v>838</v>
      </c>
      <c r="I21" s="10">
        <v>2948</v>
      </c>
    </row>
    <row r="22" spans="2:9" x14ac:dyDescent="0.3">
      <c r="B22" t="s">
        <v>121</v>
      </c>
      <c r="C22" t="s">
        <v>1109</v>
      </c>
      <c r="D22" t="s">
        <v>849</v>
      </c>
      <c r="E22" s="10">
        <v>140</v>
      </c>
      <c r="H22" s="6" t="s">
        <v>835</v>
      </c>
      <c r="I22" s="10">
        <v>2570</v>
      </c>
    </row>
    <row r="23" spans="2:9" x14ac:dyDescent="0.3">
      <c r="B23" t="s">
        <v>186</v>
      </c>
      <c r="C23" t="s">
        <v>1101</v>
      </c>
      <c r="D23" t="s">
        <v>822</v>
      </c>
      <c r="E23" s="10">
        <v>134</v>
      </c>
      <c r="H23" s="6" t="s">
        <v>814</v>
      </c>
      <c r="I23" s="10">
        <v>2552</v>
      </c>
    </row>
    <row r="24" spans="2:9" x14ac:dyDescent="0.3">
      <c r="B24" t="s">
        <v>274</v>
      </c>
      <c r="C24" t="s">
        <v>1106</v>
      </c>
      <c r="D24" t="s">
        <v>810</v>
      </c>
      <c r="E24" s="10">
        <v>128</v>
      </c>
      <c r="H24" s="6" t="s">
        <v>808</v>
      </c>
      <c r="I24" s="10">
        <v>2504</v>
      </c>
    </row>
    <row r="25" spans="2:9" x14ac:dyDescent="0.3">
      <c r="B25" t="s">
        <v>168</v>
      </c>
      <c r="C25" t="s">
        <v>1110</v>
      </c>
      <c r="D25" t="s">
        <v>816</v>
      </c>
      <c r="E25" s="10">
        <v>124</v>
      </c>
      <c r="H25" s="6" t="s">
        <v>823</v>
      </c>
      <c r="I25" s="10">
        <v>2374</v>
      </c>
    </row>
    <row r="26" spans="2:9" x14ac:dyDescent="0.3">
      <c r="B26" t="s">
        <v>81</v>
      </c>
      <c r="C26" t="s">
        <v>1126</v>
      </c>
      <c r="D26" t="s">
        <v>914</v>
      </c>
      <c r="E26" s="10">
        <v>118</v>
      </c>
      <c r="H26" s="6" t="s">
        <v>794</v>
      </c>
      <c r="I26" s="10">
        <v>2342</v>
      </c>
    </row>
    <row r="27" spans="2:9" x14ac:dyDescent="0.3">
      <c r="B27" t="s">
        <v>54</v>
      </c>
      <c r="C27" t="s">
        <v>1096</v>
      </c>
      <c r="D27" t="s">
        <v>874</v>
      </c>
      <c r="E27" s="10">
        <v>118</v>
      </c>
      <c r="H27" s="6" t="s">
        <v>819</v>
      </c>
      <c r="I27" s="10">
        <v>1844</v>
      </c>
    </row>
    <row r="28" spans="2:9" x14ac:dyDescent="0.3">
      <c r="B28" t="s">
        <v>87</v>
      </c>
      <c r="C28" t="s">
        <v>1101</v>
      </c>
      <c r="D28" t="s">
        <v>796</v>
      </c>
      <c r="E28" s="10">
        <v>112</v>
      </c>
      <c r="H28" s="6" t="s">
        <v>1068</v>
      </c>
      <c r="I28" s="10">
        <v>338</v>
      </c>
    </row>
    <row r="29" spans="2:9" x14ac:dyDescent="0.3">
      <c r="B29" t="s">
        <v>540</v>
      </c>
      <c r="C29" t="s">
        <v>1084</v>
      </c>
      <c r="D29" t="s">
        <v>822</v>
      </c>
      <c r="E29" s="10">
        <v>112</v>
      </c>
      <c r="H29" s="6" t="s">
        <v>1061</v>
      </c>
      <c r="I29" s="10">
        <v>24</v>
      </c>
    </row>
    <row r="30" spans="2:9" x14ac:dyDescent="0.3">
      <c r="B30" t="s">
        <v>528</v>
      </c>
      <c r="C30" t="s">
        <v>1083</v>
      </c>
      <c r="D30" t="s">
        <v>888</v>
      </c>
      <c r="E30" s="10">
        <v>112</v>
      </c>
      <c r="H30" s="6" t="s">
        <v>1075</v>
      </c>
      <c r="I30" s="10">
        <v>23710</v>
      </c>
    </row>
    <row r="31" spans="2:9" x14ac:dyDescent="0.3">
      <c r="B31" t="s">
        <v>33</v>
      </c>
      <c r="C31" t="s">
        <v>1113</v>
      </c>
      <c r="D31" t="s">
        <v>827</v>
      </c>
      <c r="E31" s="10">
        <v>112</v>
      </c>
    </row>
    <row r="32" spans="2:9" x14ac:dyDescent="0.3">
      <c r="B32" t="s">
        <v>226</v>
      </c>
      <c r="C32" t="s">
        <v>1123</v>
      </c>
      <c r="D32" t="s">
        <v>852</v>
      </c>
      <c r="E32" s="10">
        <v>108</v>
      </c>
    </row>
    <row r="33" spans="2:9" x14ac:dyDescent="0.3">
      <c r="B33" t="s">
        <v>40</v>
      </c>
      <c r="C33" t="s">
        <v>1114</v>
      </c>
      <c r="D33" t="s">
        <v>870</v>
      </c>
      <c r="E33" s="10">
        <v>108</v>
      </c>
    </row>
    <row r="34" spans="2:9" x14ac:dyDescent="0.3">
      <c r="B34" t="s">
        <v>340</v>
      </c>
      <c r="C34" t="s">
        <v>1117</v>
      </c>
      <c r="D34" t="s">
        <v>885</v>
      </c>
      <c r="E34" s="10">
        <v>108</v>
      </c>
    </row>
    <row r="35" spans="2:9" x14ac:dyDescent="0.3">
      <c r="B35" t="s">
        <v>420</v>
      </c>
      <c r="C35" t="s">
        <v>1085</v>
      </c>
      <c r="D35" t="s">
        <v>818</v>
      </c>
      <c r="E35" s="10">
        <v>108</v>
      </c>
    </row>
    <row r="36" spans="2:9" x14ac:dyDescent="0.3">
      <c r="B36" t="s">
        <v>515</v>
      </c>
      <c r="C36" t="s">
        <v>1117</v>
      </c>
      <c r="D36" t="s">
        <v>842</v>
      </c>
      <c r="E36" s="10">
        <v>104</v>
      </c>
      <c r="H36" s="5" t="s">
        <v>1130</v>
      </c>
      <c r="I36" t="s">
        <v>6</v>
      </c>
    </row>
    <row r="37" spans="2:9" x14ac:dyDescent="0.3">
      <c r="B37" t="s">
        <v>437</v>
      </c>
      <c r="C37" t="s">
        <v>1111</v>
      </c>
      <c r="D37" t="s">
        <v>874</v>
      </c>
      <c r="E37" s="10">
        <v>102</v>
      </c>
      <c r="H37" s="6" t="s">
        <v>46</v>
      </c>
      <c r="I37" s="8">
        <v>3.7462686567164178</v>
      </c>
    </row>
    <row r="38" spans="2:9" x14ac:dyDescent="0.3">
      <c r="B38" t="s">
        <v>23</v>
      </c>
      <c r="C38" t="s">
        <v>1087</v>
      </c>
      <c r="D38" t="s">
        <v>829</v>
      </c>
      <c r="E38" s="10">
        <v>100</v>
      </c>
      <c r="H38" s="6" t="s">
        <v>39</v>
      </c>
      <c r="I38" s="8">
        <v>3.7720207253886011</v>
      </c>
    </row>
    <row r="39" spans="2:9" x14ac:dyDescent="0.3">
      <c r="B39" t="s">
        <v>74</v>
      </c>
      <c r="C39" t="s">
        <v>1109</v>
      </c>
      <c r="D39" t="s">
        <v>828</v>
      </c>
      <c r="E39" s="10">
        <v>100</v>
      </c>
      <c r="H39" s="6" t="s">
        <v>29</v>
      </c>
      <c r="I39" s="8">
        <v>3.7916666666666665</v>
      </c>
    </row>
    <row r="40" spans="2:9" x14ac:dyDescent="0.3">
      <c r="B40" t="s">
        <v>423</v>
      </c>
      <c r="C40" t="s">
        <v>1102</v>
      </c>
      <c r="D40" t="s">
        <v>880</v>
      </c>
      <c r="E40" s="10">
        <v>100</v>
      </c>
      <c r="H40" s="6" t="s">
        <v>42</v>
      </c>
      <c r="I40" s="8">
        <v>3.8207547169811322</v>
      </c>
    </row>
    <row r="41" spans="2:9" x14ac:dyDescent="0.3">
      <c r="B41" t="s">
        <v>453</v>
      </c>
      <c r="C41" t="s">
        <v>1111</v>
      </c>
      <c r="D41" t="s">
        <v>849</v>
      </c>
      <c r="E41" s="10">
        <v>100</v>
      </c>
      <c r="H41" s="6" t="s">
        <v>44</v>
      </c>
      <c r="I41" s="8">
        <v>3.8366336633663365</v>
      </c>
    </row>
    <row r="42" spans="2:9" x14ac:dyDescent="0.3">
      <c r="B42" t="s">
        <v>313</v>
      </c>
      <c r="C42" t="s">
        <v>1116</v>
      </c>
      <c r="D42" t="s">
        <v>901</v>
      </c>
      <c r="E42" s="10">
        <v>96</v>
      </c>
      <c r="H42" s="6" t="s">
        <v>98</v>
      </c>
      <c r="I42" s="8">
        <v>3.9206349206349205</v>
      </c>
    </row>
    <row r="43" spans="2:9" x14ac:dyDescent="0.3">
      <c r="B43" t="s">
        <v>415</v>
      </c>
      <c r="C43" t="s">
        <v>1107</v>
      </c>
      <c r="D43" t="s">
        <v>813</v>
      </c>
      <c r="E43" s="10">
        <v>96</v>
      </c>
      <c r="H43" s="6" t="s">
        <v>32</v>
      </c>
      <c r="I43" s="8">
        <v>3.9241706161137442</v>
      </c>
    </row>
    <row r="44" spans="2:9" x14ac:dyDescent="0.3">
      <c r="B44" t="s">
        <v>490</v>
      </c>
      <c r="C44" t="s">
        <v>1112</v>
      </c>
      <c r="D44" t="s">
        <v>796</v>
      </c>
      <c r="E44" s="10">
        <v>96</v>
      </c>
      <c r="H44" s="6" t="s">
        <v>1075</v>
      </c>
      <c r="I44" s="8">
        <v>3.8307142857142855</v>
      </c>
    </row>
    <row r="45" spans="2:9" x14ac:dyDescent="0.3">
      <c r="B45" t="s">
        <v>373</v>
      </c>
      <c r="C45" t="s">
        <v>1086</v>
      </c>
      <c r="D45" t="s">
        <v>870</v>
      </c>
      <c r="E45" s="10">
        <v>94</v>
      </c>
    </row>
    <row r="46" spans="2:9" x14ac:dyDescent="0.3">
      <c r="B46" t="s">
        <v>506</v>
      </c>
      <c r="C46" t="s">
        <v>1116</v>
      </c>
      <c r="D46" t="s">
        <v>914</v>
      </c>
      <c r="E46" s="10">
        <v>94</v>
      </c>
    </row>
    <row r="47" spans="2:9" x14ac:dyDescent="0.3">
      <c r="B47" t="s">
        <v>70</v>
      </c>
      <c r="C47" t="s">
        <v>1088</v>
      </c>
      <c r="D47" t="s">
        <v>849</v>
      </c>
      <c r="E47" s="10">
        <v>94</v>
      </c>
    </row>
    <row r="48" spans="2:9" x14ac:dyDescent="0.3">
      <c r="B48" t="s">
        <v>407</v>
      </c>
      <c r="C48" t="s">
        <v>1094</v>
      </c>
      <c r="D48" t="s">
        <v>853</v>
      </c>
      <c r="E48" s="10">
        <v>94</v>
      </c>
    </row>
    <row r="49" spans="2:9" x14ac:dyDescent="0.3">
      <c r="B49" t="s">
        <v>606</v>
      </c>
      <c r="C49" t="s">
        <v>1084</v>
      </c>
      <c r="D49" t="s">
        <v>895</v>
      </c>
      <c r="E49" s="10">
        <v>92</v>
      </c>
    </row>
    <row r="50" spans="2:9" x14ac:dyDescent="0.3">
      <c r="B50" t="s">
        <v>625</v>
      </c>
      <c r="C50" t="s">
        <v>1090</v>
      </c>
      <c r="D50" t="s">
        <v>825</v>
      </c>
      <c r="E50" s="10">
        <v>92</v>
      </c>
    </row>
    <row r="51" spans="2:9" x14ac:dyDescent="0.3">
      <c r="B51" t="s">
        <v>432</v>
      </c>
      <c r="C51" t="s">
        <v>1126</v>
      </c>
      <c r="D51" t="s">
        <v>829</v>
      </c>
      <c r="E51" s="10">
        <v>92</v>
      </c>
    </row>
    <row r="52" spans="2:9" x14ac:dyDescent="0.3">
      <c r="B52" t="s">
        <v>592</v>
      </c>
      <c r="C52" t="s">
        <v>1082</v>
      </c>
      <c r="D52" t="s">
        <v>939</v>
      </c>
      <c r="E52" s="10">
        <v>90</v>
      </c>
      <c r="H52" s="5" t="s">
        <v>1129</v>
      </c>
      <c r="I52" t="s">
        <v>1139</v>
      </c>
    </row>
    <row r="53" spans="2:9" x14ac:dyDescent="0.3">
      <c r="B53" t="s">
        <v>619</v>
      </c>
      <c r="C53" t="s">
        <v>1123</v>
      </c>
      <c r="D53" t="s">
        <v>842</v>
      </c>
      <c r="E53" s="10">
        <v>88</v>
      </c>
      <c r="H53" s="6" t="s">
        <v>1131</v>
      </c>
      <c r="I53" s="10"/>
    </row>
    <row r="54" spans="2:9" x14ac:dyDescent="0.3">
      <c r="B54" t="s">
        <v>92</v>
      </c>
      <c r="C54" t="s">
        <v>1103</v>
      </c>
      <c r="D54" t="s">
        <v>805</v>
      </c>
      <c r="E54" s="10">
        <v>88</v>
      </c>
      <c r="H54" s="9" t="s">
        <v>1132</v>
      </c>
      <c r="I54" s="10">
        <v>102</v>
      </c>
    </row>
    <row r="55" spans="2:9" x14ac:dyDescent="0.3">
      <c r="B55" t="s">
        <v>51</v>
      </c>
      <c r="C55" t="s">
        <v>1083</v>
      </c>
      <c r="D55" t="s">
        <v>818</v>
      </c>
      <c r="E55" s="10">
        <v>88</v>
      </c>
      <c r="H55" s="9" t="s">
        <v>1133</v>
      </c>
      <c r="I55" s="10">
        <v>98</v>
      </c>
    </row>
    <row r="56" spans="2:9" x14ac:dyDescent="0.3">
      <c r="B56" t="s">
        <v>365</v>
      </c>
      <c r="C56" t="s">
        <v>1086</v>
      </c>
      <c r="D56" t="s">
        <v>829</v>
      </c>
      <c r="E56" s="10">
        <v>88</v>
      </c>
      <c r="H56" s="9" t="s">
        <v>1134</v>
      </c>
      <c r="I56" s="10">
        <v>85</v>
      </c>
    </row>
    <row r="57" spans="2:9" x14ac:dyDescent="0.3">
      <c r="B57" t="s">
        <v>639</v>
      </c>
      <c r="C57" t="s">
        <v>1090</v>
      </c>
      <c r="D57" t="s">
        <v>842</v>
      </c>
      <c r="E57" s="10">
        <v>88</v>
      </c>
      <c r="H57" s="9" t="s">
        <v>1135</v>
      </c>
      <c r="I57" s="10">
        <v>99</v>
      </c>
    </row>
    <row r="58" spans="2:9" x14ac:dyDescent="0.3">
      <c r="B58" t="s">
        <v>355</v>
      </c>
      <c r="C58" t="s">
        <v>1084</v>
      </c>
      <c r="D58" t="s">
        <v>816</v>
      </c>
      <c r="E58" s="10">
        <v>88</v>
      </c>
      <c r="H58" s="6" t="s">
        <v>1136</v>
      </c>
      <c r="I58" s="10"/>
    </row>
    <row r="59" spans="2:9" x14ac:dyDescent="0.3">
      <c r="B59" t="s">
        <v>508</v>
      </c>
      <c r="C59" t="s">
        <v>1091</v>
      </c>
      <c r="D59" t="s">
        <v>900</v>
      </c>
      <c r="E59" s="10">
        <v>88</v>
      </c>
      <c r="H59" s="9" t="s">
        <v>1132</v>
      </c>
      <c r="I59" s="10">
        <v>77</v>
      </c>
    </row>
    <row r="60" spans="2:9" x14ac:dyDescent="0.3">
      <c r="B60" t="s">
        <v>204</v>
      </c>
      <c r="C60" t="s">
        <v>1084</v>
      </c>
      <c r="D60" t="s">
        <v>818</v>
      </c>
      <c r="E60" s="10">
        <v>86</v>
      </c>
      <c r="H60" s="9" t="s">
        <v>1133</v>
      </c>
      <c r="I60" s="10">
        <v>96</v>
      </c>
    </row>
    <row r="61" spans="2:9" x14ac:dyDescent="0.3">
      <c r="B61" t="s">
        <v>572</v>
      </c>
      <c r="C61" t="s">
        <v>1078</v>
      </c>
      <c r="D61" t="s">
        <v>796</v>
      </c>
      <c r="E61" s="10">
        <v>86</v>
      </c>
      <c r="H61" s="9" t="s">
        <v>1134</v>
      </c>
      <c r="I61" s="10">
        <v>92</v>
      </c>
    </row>
    <row r="62" spans="2:9" x14ac:dyDescent="0.3">
      <c r="B62" t="s">
        <v>131</v>
      </c>
      <c r="C62" t="s">
        <v>1089</v>
      </c>
      <c r="D62" t="s">
        <v>841</v>
      </c>
      <c r="E62" s="10">
        <v>84</v>
      </c>
      <c r="H62" s="9" t="s">
        <v>1135</v>
      </c>
      <c r="I62" s="10">
        <v>98</v>
      </c>
    </row>
    <row r="63" spans="2:9" x14ac:dyDescent="0.3">
      <c r="B63" t="s">
        <v>179</v>
      </c>
      <c r="C63" t="s">
        <v>1117</v>
      </c>
      <c r="D63" t="s">
        <v>870</v>
      </c>
      <c r="E63" s="10">
        <v>84</v>
      </c>
      <c r="H63" s="6" t="s">
        <v>1137</v>
      </c>
      <c r="I63" s="10"/>
    </row>
    <row r="64" spans="2:9" x14ac:dyDescent="0.3">
      <c r="B64" t="s">
        <v>280</v>
      </c>
      <c r="C64" t="s">
        <v>1108</v>
      </c>
      <c r="D64" t="s">
        <v>853</v>
      </c>
      <c r="E64" s="10">
        <v>84</v>
      </c>
      <c r="H64" s="9" t="s">
        <v>1132</v>
      </c>
      <c r="I64" s="10">
        <v>85</v>
      </c>
    </row>
    <row r="65" spans="2:17" x14ac:dyDescent="0.3">
      <c r="B65" t="s">
        <v>505</v>
      </c>
      <c r="C65" t="s">
        <v>1089</v>
      </c>
      <c r="D65" t="s">
        <v>790</v>
      </c>
      <c r="E65" s="10">
        <v>84</v>
      </c>
      <c r="H65" s="9" t="s">
        <v>1133</v>
      </c>
      <c r="I65" s="10">
        <v>98</v>
      </c>
    </row>
    <row r="66" spans="2:17" x14ac:dyDescent="0.3">
      <c r="B66" t="s">
        <v>27</v>
      </c>
      <c r="C66" t="s">
        <v>1109</v>
      </c>
      <c r="D66" t="s">
        <v>849</v>
      </c>
      <c r="E66" s="10">
        <v>84</v>
      </c>
      <c r="H66" s="9" t="s">
        <v>1134</v>
      </c>
      <c r="I66" s="10">
        <v>83</v>
      </c>
    </row>
    <row r="67" spans="2:17" x14ac:dyDescent="0.3">
      <c r="B67" t="s">
        <v>382</v>
      </c>
      <c r="C67" t="s">
        <v>1088</v>
      </c>
      <c r="D67" t="s">
        <v>880</v>
      </c>
      <c r="E67" s="10">
        <v>84</v>
      </c>
      <c r="H67" s="9" t="s">
        <v>1135</v>
      </c>
      <c r="I67" s="10">
        <v>96</v>
      </c>
    </row>
    <row r="68" spans="2:17" x14ac:dyDescent="0.3">
      <c r="B68" t="s">
        <v>734</v>
      </c>
      <c r="C68" t="s">
        <v>1103</v>
      </c>
      <c r="D68" t="s">
        <v>914</v>
      </c>
      <c r="E68" s="10">
        <v>80</v>
      </c>
      <c r="H68" s="6" t="s">
        <v>1138</v>
      </c>
      <c r="I68" s="10"/>
    </row>
    <row r="69" spans="2:17" x14ac:dyDescent="0.3">
      <c r="B69" t="s">
        <v>77</v>
      </c>
      <c r="C69" t="s">
        <v>1112</v>
      </c>
      <c r="D69" t="s">
        <v>810</v>
      </c>
      <c r="E69" s="10">
        <v>80</v>
      </c>
      <c r="H69" s="9" t="s">
        <v>1132</v>
      </c>
      <c r="I69" s="10">
        <v>89</v>
      </c>
    </row>
    <row r="70" spans="2:17" x14ac:dyDescent="0.3">
      <c r="B70" t="s">
        <v>295</v>
      </c>
      <c r="C70" t="s">
        <v>980</v>
      </c>
      <c r="D70" t="s">
        <v>895</v>
      </c>
      <c r="E70" s="10">
        <v>80</v>
      </c>
      <c r="H70" s="9" t="s">
        <v>1133</v>
      </c>
      <c r="I70" s="10">
        <v>91</v>
      </c>
    </row>
    <row r="71" spans="2:17" x14ac:dyDescent="0.3">
      <c r="B71" t="s">
        <v>303</v>
      </c>
      <c r="C71" t="s">
        <v>1125</v>
      </c>
      <c r="D71" t="s">
        <v>906</v>
      </c>
      <c r="E71" s="10">
        <v>80</v>
      </c>
      <c r="H71" s="9" t="s">
        <v>1134</v>
      </c>
      <c r="I71" s="10">
        <v>87</v>
      </c>
    </row>
    <row r="72" spans="2:17" x14ac:dyDescent="0.3">
      <c r="B72" t="s">
        <v>474</v>
      </c>
      <c r="C72" t="s">
        <v>1083</v>
      </c>
      <c r="D72" t="s">
        <v>860</v>
      </c>
      <c r="E72" s="10">
        <v>80</v>
      </c>
      <c r="H72" s="9" t="s">
        <v>1135</v>
      </c>
      <c r="I72" s="10">
        <v>24</v>
      </c>
    </row>
    <row r="73" spans="2:17" x14ac:dyDescent="0.3">
      <c r="B73" t="s">
        <v>351</v>
      </c>
      <c r="C73" t="s">
        <v>1089</v>
      </c>
      <c r="D73" t="s">
        <v>881</v>
      </c>
      <c r="E73" s="10">
        <v>80</v>
      </c>
      <c r="H73" s="6" t="s">
        <v>1075</v>
      </c>
      <c r="I73" s="10">
        <v>1400</v>
      </c>
    </row>
    <row r="74" spans="2:17" x14ac:dyDescent="0.3">
      <c r="B74" t="s">
        <v>126</v>
      </c>
      <c r="C74" t="s">
        <v>980</v>
      </c>
      <c r="D74" t="s">
        <v>883</v>
      </c>
      <c r="E74" s="10">
        <v>78</v>
      </c>
    </row>
    <row r="75" spans="2:17" x14ac:dyDescent="0.3">
      <c r="B75" t="s">
        <v>354</v>
      </c>
      <c r="C75" t="s">
        <v>1094</v>
      </c>
      <c r="D75" t="s">
        <v>805</v>
      </c>
      <c r="E75" s="10">
        <v>78</v>
      </c>
    </row>
    <row r="76" spans="2:17" x14ac:dyDescent="0.3">
      <c r="B76" t="s">
        <v>137</v>
      </c>
      <c r="C76" t="s">
        <v>1123</v>
      </c>
      <c r="D76" t="s">
        <v>828</v>
      </c>
      <c r="E76" s="10">
        <v>78</v>
      </c>
    </row>
    <row r="77" spans="2:17" x14ac:dyDescent="0.3">
      <c r="B77" t="s">
        <v>138</v>
      </c>
      <c r="C77" t="s">
        <v>1103</v>
      </c>
      <c r="D77" t="s">
        <v>919</v>
      </c>
      <c r="E77" s="10">
        <v>78</v>
      </c>
      <c r="P77" s="5" t="s">
        <v>1140</v>
      </c>
      <c r="Q77" t="s">
        <v>1141</v>
      </c>
    </row>
    <row r="78" spans="2:17" x14ac:dyDescent="0.3">
      <c r="B78" t="s">
        <v>53</v>
      </c>
      <c r="C78" t="s">
        <v>1103</v>
      </c>
      <c r="D78" t="s">
        <v>883</v>
      </c>
      <c r="E78" s="10">
        <v>78</v>
      </c>
      <c r="I78" s="5" t="s">
        <v>783</v>
      </c>
      <c r="J78" t="s">
        <v>1141</v>
      </c>
      <c r="P78" s="6" t="s">
        <v>793</v>
      </c>
      <c r="Q78" s="10">
        <v>7996</v>
      </c>
    </row>
    <row r="79" spans="2:17" x14ac:dyDescent="0.3">
      <c r="B79" t="s">
        <v>430</v>
      </c>
      <c r="C79" t="s">
        <v>1121</v>
      </c>
      <c r="D79" t="s">
        <v>790</v>
      </c>
      <c r="E79" s="10">
        <v>76</v>
      </c>
      <c r="I79" s="6" t="s">
        <v>791</v>
      </c>
      <c r="J79" s="10">
        <v>12388</v>
      </c>
      <c r="P79" s="6" t="s">
        <v>807</v>
      </c>
      <c r="Q79" s="10">
        <v>8404</v>
      </c>
    </row>
    <row r="80" spans="2:17" x14ac:dyDescent="0.3">
      <c r="B80" t="s">
        <v>148</v>
      </c>
      <c r="C80" t="s">
        <v>1092</v>
      </c>
      <c r="D80" t="s">
        <v>878</v>
      </c>
      <c r="E80" s="10">
        <v>76</v>
      </c>
      <c r="I80" s="6" t="s">
        <v>797</v>
      </c>
      <c r="J80" s="10">
        <v>11322</v>
      </c>
      <c r="P80" s="6" t="s">
        <v>798</v>
      </c>
      <c r="Q80" s="10">
        <v>7310</v>
      </c>
    </row>
    <row r="81" spans="2:17" x14ac:dyDescent="0.3">
      <c r="B81" t="s">
        <v>122</v>
      </c>
      <c r="C81" t="s">
        <v>1116</v>
      </c>
      <c r="D81" t="s">
        <v>918</v>
      </c>
      <c r="E81" s="10">
        <v>76</v>
      </c>
      <c r="I81" s="6" t="s">
        <v>1075</v>
      </c>
      <c r="J81" s="10">
        <v>23710</v>
      </c>
      <c r="P81" s="6" t="s">
        <v>1075</v>
      </c>
      <c r="Q81" s="10">
        <v>23710</v>
      </c>
    </row>
    <row r="82" spans="2:17" x14ac:dyDescent="0.3">
      <c r="B82" t="s">
        <v>656</v>
      </c>
      <c r="C82" t="s">
        <v>1090</v>
      </c>
      <c r="D82" t="s">
        <v>828</v>
      </c>
      <c r="E82" s="10">
        <v>76</v>
      </c>
    </row>
    <row r="83" spans="2:17" x14ac:dyDescent="0.3">
      <c r="B83" t="s">
        <v>428</v>
      </c>
      <c r="C83" t="s">
        <v>1086</v>
      </c>
      <c r="D83" t="s">
        <v>825</v>
      </c>
      <c r="E83" s="10">
        <v>76</v>
      </c>
    </row>
    <row r="84" spans="2:17" x14ac:dyDescent="0.3">
      <c r="B84" t="s">
        <v>352</v>
      </c>
      <c r="C84" t="s">
        <v>1077</v>
      </c>
      <c r="D84" t="s">
        <v>906</v>
      </c>
      <c r="E84" s="10">
        <v>76</v>
      </c>
    </row>
    <row r="85" spans="2:17" x14ac:dyDescent="0.3">
      <c r="B85" t="s">
        <v>526</v>
      </c>
      <c r="C85" t="s">
        <v>1100</v>
      </c>
      <c r="D85" t="s">
        <v>816</v>
      </c>
      <c r="E85" s="10">
        <v>76</v>
      </c>
    </row>
    <row r="86" spans="2:17" x14ac:dyDescent="0.3">
      <c r="B86" t="s">
        <v>318</v>
      </c>
      <c r="C86" t="s">
        <v>1100</v>
      </c>
      <c r="D86" t="s">
        <v>834</v>
      </c>
      <c r="E86" s="10">
        <v>74</v>
      </c>
    </row>
    <row r="87" spans="2:17" x14ac:dyDescent="0.3">
      <c r="B87" t="s">
        <v>72</v>
      </c>
      <c r="C87" t="s">
        <v>1089</v>
      </c>
      <c r="D87" t="s">
        <v>864</v>
      </c>
      <c r="E87" s="10">
        <v>72</v>
      </c>
    </row>
    <row r="88" spans="2:17" x14ac:dyDescent="0.3">
      <c r="B88" t="s">
        <v>99</v>
      </c>
      <c r="C88" t="s">
        <v>1099</v>
      </c>
      <c r="D88" t="s">
        <v>849</v>
      </c>
      <c r="E88" s="10">
        <v>72</v>
      </c>
    </row>
    <row r="89" spans="2:17" x14ac:dyDescent="0.3">
      <c r="B89" t="s">
        <v>154</v>
      </c>
      <c r="C89" t="s">
        <v>1121</v>
      </c>
      <c r="D89" t="s">
        <v>856</v>
      </c>
      <c r="E89" s="10">
        <v>72</v>
      </c>
    </row>
    <row r="90" spans="2:17" x14ac:dyDescent="0.3">
      <c r="B90" t="s">
        <v>96</v>
      </c>
      <c r="C90" t="s">
        <v>1113</v>
      </c>
      <c r="D90" t="s">
        <v>906</v>
      </c>
      <c r="E90" s="10">
        <v>72</v>
      </c>
    </row>
    <row r="91" spans="2:17" x14ac:dyDescent="0.3">
      <c r="B91" t="s">
        <v>438</v>
      </c>
      <c r="C91" t="s">
        <v>1102</v>
      </c>
      <c r="D91" t="s">
        <v>874</v>
      </c>
      <c r="E91" s="10">
        <v>72</v>
      </c>
    </row>
    <row r="92" spans="2:17" x14ac:dyDescent="0.3">
      <c r="B92" t="s">
        <v>779</v>
      </c>
      <c r="C92" t="s">
        <v>1106</v>
      </c>
      <c r="D92" t="s">
        <v>883</v>
      </c>
      <c r="E92" s="10">
        <v>72</v>
      </c>
    </row>
    <row r="93" spans="2:17" x14ac:dyDescent="0.3">
      <c r="B93" t="s">
        <v>291</v>
      </c>
      <c r="C93" t="s">
        <v>1092</v>
      </c>
      <c r="D93" t="s">
        <v>919</v>
      </c>
      <c r="E93" s="10">
        <v>72</v>
      </c>
    </row>
    <row r="94" spans="2:17" x14ac:dyDescent="0.3">
      <c r="B94" t="s">
        <v>214</v>
      </c>
      <c r="C94" t="s">
        <v>1119</v>
      </c>
      <c r="D94" t="s">
        <v>939</v>
      </c>
      <c r="E94" s="10">
        <v>70</v>
      </c>
    </row>
    <row r="95" spans="2:17" x14ac:dyDescent="0.3">
      <c r="B95" t="s">
        <v>397</v>
      </c>
      <c r="C95" t="s">
        <v>1114</v>
      </c>
      <c r="D95" t="s">
        <v>834</v>
      </c>
      <c r="E95" s="10">
        <v>70</v>
      </c>
    </row>
    <row r="96" spans="2:17" x14ac:dyDescent="0.3">
      <c r="B96" t="s">
        <v>263</v>
      </c>
      <c r="C96" t="s">
        <v>1103</v>
      </c>
      <c r="D96" t="s">
        <v>874</v>
      </c>
      <c r="E96" s="10">
        <v>70</v>
      </c>
    </row>
    <row r="97" spans="2:5" x14ac:dyDescent="0.3">
      <c r="B97" t="s">
        <v>279</v>
      </c>
      <c r="C97" t="s">
        <v>1095</v>
      </c>
      <c r="D97" t="s">
        <v>876</v>
      </c>
      <c r="E97" s="10">
        <v>68</v>
      </c>
    </row>
    <row r="98" spans="2:5" x14ac:dyDescent="0.3">
      <c r="B98" t="s">
        <v>570</v>
      </c>
      <c r="C98" t="s">
        <v>1094</v>
      </c>
      <c r="D98" t="s">
        <v>805</v>
      </c>
      <c r="E98" s="10">
        <v>68</v>
      </c>
    </row>
    <row r="99" spans="2:5" x14ac:dyDescent="0.3">
      <c r="B99" t="s">
        <v>361</v>
      </c>
      <c r="C99" t="s">
        <v>1098</v>
      </c>
      <c r="D99" t="s">
        <v>873</v>
      </c>
      <c r="E99" s="10">
        <v>68</v>
      </c>
    </row>
    <row r="100" spans="2:5" x14ac:dyDescent="0.3">
      <c r="B100" t="s">
        <v>157</v>
      </c>
      <c r="C100" t="s">
        <v>1098</v>
      </c>
      <c r="D100" t="s">
        <v>837</v>
      </c>
      <c r="E100" s="10">
        <v>68</v>
      </c>
    </row>
    <row r="101" spans="2:5" x14ac:dyDescent="0.3">
      <c r="B101" t="s">
        <v>201</v>
      </c>
      <c r="C101" t="s">
        <v>1093</v>
      </c>
      <c r="D101" t="s">
        <v>853</v>
      </c>
      <c r="E101" s="10">
        <v>68</v>
      </c>
    </row>
    <row r="102" spans="2:5" x14ac:dyDescent="0.3">
      <c r="B102" t="s">
        <v>64</v>
      </c>
      <c r="C102" t="s">
        <v>1104</v>
      </c>
      <c r="D102" t="s">
        <v>829</v>
      </c>
      <c r="E102" s="10">
        <v>68</v>
      </c>
    </row>
    <row r="103" spans="2:5" x14ac:dyDescent="0.3">
      <c r="B103" t="s">
        <v>372</v>
      </c>
      <c r="C103" t="s">
        <v>1082</v>
      </c>
      <c r="D103" t="s">
        <v>810</v>
      </c>
      <c r="E103" s="10">
        <v>68</v>
      </c>
    </row>
    <row r="104" spans="2:5" x14ac:dyDescent="0.3">
      <c r="B104" t="s">
        <v>304</v>
      </c>
      <c r="C104" t="s">
        <v>1112</v>
      </c>
      <c r="D104" t="s">
        <v>906</v>
      </c>
      <c r="E104" s="10">
        <v>68</v>
      </c>
    </row>
    <row r="105" spans="2:5" x14ac:dyDescent="0.3">
      <c r="B105" t="s">
        <v>600</v>
      </c>
      <c r="C105" t="s">
        <v>980</v>
      </c>
      <c r="D105" t="s">
        <v>825</v>
      </c>
      <c r="E105" s="10">
        <v>68</v>
      </c>
    </row>
    <row r="106" spans="2:5" x14ac:dyDescent="0.3">
      <c r="B106" t="s">
        <v>648</v>
      </c>
      <c r="C106" t="s">
        <v>1081</v>
      </c>
      <c r="D106" t="s">
        <v>856</v>
      </c>
      <c r="E106" s="10">
        <v>66</v>
      </c>
    </row>
    <row r="107" spans="2:5" x14ac:dyDescent="0.3">
      <c r="B107" t="s">
        <v>91</v>
      </c>
      <c r="C107" t="s">
        <v>1109</v>
      </c>
      <c r="D107" t="s">
        <v>919</v>
      </c>
      <c r="E107" s="10">
        <v>66</v>
      </c>
    </row>
    <row r="108" spans="2:5" x14ac:dyDescent="0.3">
      <c r="B108" t="s">
        <v>410</v>
      </c>
      <c r="C108" t="s">
        <v>1096</v>
      </c>
      <c r="D108" t="s">
        <v>881</v>
      </c>
      <c r="E108" s="10">
        <v>66</v>
      </c>
    </row>
    <row r="109" spans="2:5" x14ac:dyDescent="0.3">
      <c r="B109" t="s">
        <v>218</v>
      </c>
      <c r="C109" t="s">
        <v>1100</v>
      </c>
      <c r="D109" t="s">
        <v>873</v>
      </c>
      <c r="E109" s="10">
        <v>66</v>
      </c>
    </row>
    <row r="110" spans="2:5" x14ac:dyDescent="0.3">
      <c r="B110" t="s">
        <v>518</v>
      </c>
      <c r="C110" t="s">
        <v>1089</v>
      </c>
      <c r="D110" t="s">
        <v>878</v>
      </c>
      <c r="E110" s="10">
        <v>64</v>
      </c>
    </row>
    <row r="111" spans="2:5" x14ac:dyDescent="0.3">
      <c r="B111" t="s">
        <v>317</v>
      </c>
      <c r="C111" t="s">
        <v>1118</v>
      </c>
      <c r="D111" t="s">
        <v>827</v>
      </c>
      <c r="E111" s="10">
        <v>64</v>
      </c>
    </row>
    <row r="112" spans="2:5" x14ac:dyDescent="0.3">
      <c r="B112" t="s">
        <v>249</v>
      </c>
      <c r="C112" t="s">
        <v>1123</v>
      </c>
      <c r="D112" t="s">
        <v>939</v>
      </c>
      <c r="E112" s="10">
        <v>64</v>
      </c>
    </row>
    <row r="113" spans="2:5" x14ac:dyDescent="0.3">
      <c r="B113" t="s">
        <v>232</v>
      </c>
      <c r="C113" t="s">
        <v>980</v>
      </c>
      <c r="D113" t="s">
        <v>893</v>
      </c>
      <c r="E113" s="10">
        <v>64</v>
      </c>
    </row>
    <row r="114" spans="2:5" x14ac:dyDescent="0.3">
      <c r="B114" t="s">
        <v>727</v>
      </c>
      <c r="C114" t="s">
        <v>1123</v>
      </c>
      <c r="D114" t="s">
        <v>805</v>
      </c>
      <c r="E114" s="10">
        <v>64</v>
      </c>
    </row>
    <row r="115" spans="2:5" x14ac:dyDescent="0.3">
      <c r="B115" t="s">
        <v>452</v>
      </c>
      <c r="C115" t="s">
        <v>1126</v>
      </c>
      <c r="D115" t="s">
        <v>830</v>
      </c>
      <c r="E115" s="10">
        <v>64</v>
      </c>
    </row>
    <row r="116" spans="2:5" x14ac:dyDescent="0.3">
      <c r="B116" t="s">
        <v>267</v>
      </c>
      <c r="C116" t="s">
        <v>1116</v>
      </c>
      <c r="D116" t="s">
        <v>870</v>
      </c>
      <c r="E116" s="10">
        <v>64</v>
      </c>
    </row>
    <row r="117" spans="2:5" x14ac:dyDescent="0.3">
      <c r="B117" t="s">
        <v>527</v>
      </c>
      <c r="C117" t="s">
        <v>1086</v>
      </c>
      <c r="D117" t="s">
        <v>873</v>
      </c>
      <c r="E117" s="10">
        <v>64</v>
      </c>
    </row>
    <row r="118" spans="2:5" x14ac:dyDescent="0.3">
      <c r="B118" t="s">
        <v>140</v>
      </c>
      <c r="C118" t="s">
        <v>1091</v>
      </c>
      <c r="D118" t="s">
        <v>939</v>
      </c>
      <c r="E118" s="10">
        <v>64</v>
      </c>
    </row>
    <row r="119" spans="2:5" x14ac:dyDescent="0.3">
      <c r="B119" t="s">
        <v>269</v>
      </c>
      <c r="C119" t="s">
        <v>1113</v>
      </c>
      <c r="D119" t="s">
        <v>790</v>
      </c>
      <c r="E119" s="10">
        <v>62</v>
      </c>
    </row>
    <row r="120" spans="2:5" x14ac:dyDescent="0.3">
      <c r="B120" t="s">
        <v>169</v>
      </c>
      <c r="C120" t="s">
        <v>1104</v>
      </c>
      <c r="D120" t="s">
        <v>857</v>
      </c>
      <c r="E120" s="10">
        <v>62</v>
      </c>
    </row>
    <row r="121" spans="2:5" x14ac:dyDescent="0.3">
      <c r="B121" t="s">
        <v>440</v>
      </c>
      <c r="C121" t="s">
        <v>1114</v>
      </c>
      <c r="D121" t="s">
        <v>841</v>
      </c>
      <c r="E121" s="10">
        <v>62</v>
      </c>
    </row>
    <row r="122" spans="2:5" x14ac:dyDescent="0.3">
      <c r="B122" t="s">
        <v>111</v>
      </c>
      <c r="C122" t="s">
        <v>1112</v>
      </c>
      <c r="D122" t="s">
        <v>939</v>
      </c>
      <c r="E122" s="10">
        <v>62</v>
      </c>
    </row>
    <row r="123" spans="2:5" x14ac:dyDescent="0.3">
      <c r="B123" t="s">
        <v>193</v>
      </c>
      <c r="C123" t="s">
        <v>1120</v>
      </c>
      <c r="D123" t="s">
        <v>918</v>
      </c>
      <c r="E123" s="10">
        <v>62</v>
      </c>
    </row>
    <row r="124" spans="2:5" x14ac:dyDescent="0.3">
      <c r="B124" t="s">
        <v>146</v>
      </c>
      <c r="C124" t="s">
        <v>1101</v>
      </c>
      <c r="D124" t="s">
        <v>816</v>
      </c>
      <c r="E124" s="10">
        <v>60</v>
      </c>
    </row>
    <row r="125" spans="2:5" x14ac:dyDescent="0.3">
      <c r="B125" t="s">
        <v>366</v>
      </c>
      <c r="C125" t="s">
        <v>1114</v>
      </c>
      <c r="D125" t="s">
        <v>837</v>
      </c>
      <c r="E125" s="10">
        <v>60</v>
      </c>
    </row>
    <row r="126" spans="2:5" x14ac:dyDescent="0.3">
      <c r="B126" t="s">
        <v>503</v>
      </c>
      <c r="C126" t="s">
        <v>1104</v>
      </c>
      <c r="D126" t="s">
        <v>947</v>
      </c>
      <c r="E126" s="10">
        <v>60</v>
      </c>
    </row>
    <row r="127" spans="2:5" x14ac:dyDescent="0.3">
      <c r="B127" t="s">
        <v>1039</v>
      </c>
      <c r="C127" t="s">
        <v>1113</v>
      </c>
      <c r="D127" t="s">
        <v>914</v>
      </c>
      <c r="E127" s="10">
        <v>60</v>
      </c>
    </row>
    <row r="128" spans="2:5" x14ac:dyDescent="0.3">
      <c r="B128" t="s">
        <v>559</v>
      </c>
      <c r="C128" t="s">
        <v>1080</v>
      </c>
      <c r="D128" t="s">
        <v>915</v>
      </c>
      <c r="E128" s="10">
        <v>60</v>
      </c>
    </row>
    <row r="129" spans="2:5" x14ac:dyDescent="0.3">
      <c r="B129" t="s">
        <v>460</v>
      </c>
      <c r="C129" t="s">
        <v>1098</v>
      </c>
      <c r="D129" t="s">
        <v>883</v>
      </c>
      <c r="E129" s="10">
        <v>60</v>
      </c>
    </row>
    <row r="130" spans="2:5" x14ac:dyDescent="0.3">
      <c r="B130" t="s">
        <v>133</v>
      </c>
      <c r="C130" t="s">
        <v>1111</v>
      </c>
      <c r="D130" t="s">
        <v>893</v>
      </c>
      <c r="E130" s="10">
        <v>60</v>
      </c>
    </row>
    <row r="131" spans="2:5" x14ac:dyDescent="0.3">
      <c r="B131" t="s">
        <v>229</v>
      </c>
      <c r="C131" t="s">
        <v>1091</v>
      </c>
      <c r="D131" t="s">
        <v>852</v>
      </c>
      <c r="E131" s="10">
        <v>60</v>
      </c>
    </row>
    <row r="132" spans="2:5" x14ac:dyDescent="0.3">
      <c r="B132" t="s">
        <v>475</v>
      </c>
      <c r="C132" t="s">
        <v>1079</v>
      </c>
      <c r="D132" t="s">
        <v>810</v>
      </c>
      <c r="E132" s="10">
        <v>60</v>
      </c>
    </row>
    <row r="133" spans="2:5" x14ac:dyDescent="0.3">
      <c r="B133" t="s">
        <v>213</v>
      </c>
      <c r="C133" t="s">
        <v>1078</v>
      </c>
      <c r="D133" t="s">
        <v>915</v>
      </c>
      <c r="E133" s="10">
        <v>60</v>
      </c>
    </row>
    <row r="134" spans="2:5" x14ac:dyDescent="0.3">
      <c r="B134" t="s">
        <v>222</v>
      </c>
      <c r="C134" t="s">
        <v>1109</v>
      </c>
      <c r="D134" t="s">
        <v>816</v>
      </c>
      <c r="E134" s="10">
        <v>60</v>
      </c>
    </row>
    <row r="135" spans="2:5" x14ac:dyDescent="0.3">
      <c r="B135" t="s">
        <v>970</v>
      </c>
      <c r="C135" t="s">
        <v>1119</v>
      </c>
      <c r="D135" t="s">
        <v>825</v>
      </c>
      <c r="E135" s="10">
        <v>60</v>
      </c>
    </row>
    <row r="136" spans="2:5" x14ac:dyDescent="0.3">
      <c r="B136" t="s">
        <v>100</v>
      </c>
      <c r="C136" t="s">
        <v>1086</v>
      </c>
      <c r="D136" t="s">
        <v>825</v>
      </c>
      <c r="E136" s="10">
        <v>60</v>
      </c>
    </row>
    <row r="137" spans="2:5" x14ac:dyDescent="0.3">
      <c r="B137" t="s">
        <v>551</v>
      </c>
      <c r="C137" t="s">
        <v>1088</v>
      </c>
      <c r="D137" t="s">
        <v>932</v>
      </c>
      <c r="E137" s="10">
        <v>60</v>
      </c>
    </row>
    <row r="138" spans="2:5" x14ac:dyDescent="0.3">
      <c r="B138" t="s">
        <v>516</v>
      </c>
      <c r="C138" t="s">
        <v>1087</v>
      </c>
      <c r="D138" t="s">
        <v>796</v>
      </c>
      <c r="E138" s="10">
        <v>60</v>
      </c>
    </row>
    <row r="139" spans="2:5" x14ac:dyDescent="0.3">
      <c r="B139" t="s">
        <v>510</v>
      </c>
      <c r="C139" t="s">
        <v>1105</v>
      </c>
      <c r="D139" t="s">
        <v>900</v>
      </c>
      <c r="E139" s="10">
        <v>58</v>
      </c>
    </row>
    <row r="140" spans="2:5" x14ac:dyDescent="0.3">
      <c r="B140" t="s">
        <v>276</v>
      </c>
      <c r="C140" t="s">
        <v>1084</v>
      </c>
      <c r="D140" t="s">
        <v>853</v>
      </c>
      <c r="E140" s="10">
        <v>58</v>
      </c>
    </row>
    <row r="141" spans="2:5" x14ac:dyDescent="0.3">
      <c r="B141" t="s">
        <v>387</v>
      </c>
      <c r="C141" t="s">
        <v>1104</v>
      </c>
      <c r="D141" t="s">
        <v>870</v>
      </c>
      <c r="E141" s="10">
        <v>58</v>
      </c>
    </row>
    <row r="142" spans="2:5" x14ac:dyDescent="0.3">
      <c r="B142" t="s">
        <v>47</v>
      </c>
      <c r="C142" t="s">
        <v>1083</v>
      </c>
      <c r="D142" t="s">
        <v>881</v>
      </c>
      <c r="E142" s="10">
        <v>58</v>
      </c>
    </row>
    <row r="143" spans="2:5" x14ac:dyDescent="0.3">
      <c r="B143" t="s">
        <v>385</v>
      </c>
      <c r="C143" t="s">
        <v>1110</v>
      </c>
      <c r="D143" t="s">
        <v>895</v>
      </c>
      <c r="E143" s="10">
        <v>58</v>
      </c>
    </row>
    <row r="144" spans="2:5" x14ac:dyDescent="0.3">
      <c r="B144" t="s">
        <v>290</v>
      </c>
      <c r="C144" t="s">
        <v>1089</v>
      </c>
      <c r="D144" t="s">
        <v>853</v>
      </c>
      <c r="E144" s="10">
        <v>56</v>
      </c>
    </row>
    <row r="145" spans="2:5" x14ac:dyDescent="0.3">
      <c r="B145" t="s">
        <v>338</v>
      </c>
      <c r="C145" t="s">
        <v>1123</v>
      </c>
      <c r="D145" t="s">
        <v>822</v>
      </c>
      <c r="E145" s="10">
        <v>56</v>
      </c>
    </row>
    <row r="146" spans="2:5" x14ac:dyDescent="0.3">
      <c r="B146" t="s">
        <v>739</v>
      </c>
      <c r="C146" t="s">
        <v>1080</v>
      </c>
      <c r="D146" t="s">
        <v>885</v>
      </c>
      <c r="E146" s="10">
        <v>56</v>
      </c>
    </row>
    <row r="147" spans="2:5" x14ac:dyDescent="0.3">
      <c r="B147" t="s">
        <v>754</v>
      </c>
      <c r="C147" t="s">
        <v>1087</v>
      </c>
      <c r="D147" t="s">
        <v>805</v>
      </c>
      <c r="E147" s="10">
        <v>56</v>
      </c>
    </row>
    <row r="148" spans="2:5" x14ac:dyDescent="0.3">
      <c r="B148" t="s">
        <v>731</v>
      </c>
      <c r="C148" t="s">
        <v>1087</v>
      </c>
      <c r="D148" t="s">
        <v>873</v>
      </c>
      <c r="E148" s="10">
        <v>56</v>
      </c>
    </row>
    <row r="149" spans="2:5" x14ac:dyDescent="0.3">
      <c r="B149" t="s">
        <v>580</v>
      </c>
      <c r="C149" t="s">
        <v>1098</v>
      </c>
      <c r="D149" t="s">
        <v>874</v>
      </c>
      <c r="E149" s="10">
        <v>56</v>
      </c>
    </row>
    <row r="150" spans="2:5" x14ac:dyDescent="0.3">
      <c r="B150" t="s">
        <v>609</v>
      </c>
      <c r="C150" t="s">
        <v>1093</v>
      </c>
      <c r="D150" t="s">
        <v>818</v>
      </c>
      <c r="E150" s="10">
        <v>56</v>
      </c>
    </row>
    <row r="151" spans="2:5" x14ac:dyDescent="0.3">
      <c r="B151" t="s">
        <v>495</v>
      </c>
      <c r="C151" t="s">
        <v>1079</v>
      </c>
      <c r="D151" t="s">
        <v>829</v>
      </c>
      <c r="E151" s="10">
        <v>56</v>
      </c>
    </row>
    <row r="152" spans="2:5" x14ac:dyDescent="0.3">
      <c r="B152" t="s">
        <v>296</v>
      </c>
      <c r="C152" t="s">
        <v>1122</v>
      </c>
      <c r="D152" t="s">
        <v>926</v>
      </c>
      <c r="E152" s="10">
        <v>56</v>
      </c>
    </row>
    <row r="153" spans="2:5" x14ac:dyDescent="0.3">
      <c r="B153" t="s">
        <v>445</v>
      </c>
      <c r="C153" t="s">
        <v>1077</v>
      </c>
      <c r="D153" t="s">
        <v>860</v>
      </c>
      <c r="E153" s="10">
        <v>56</v>
      </c>
    </row>
    <row r="154" spans="2:5" x14ac:dyDescent="0.3">
      <c r="B154" t="s">
        <v>171</v>
      </c>
      <c r="C154" t="s">
        <v>1097</v>
      </c>
      <c r="D154" t="s">
        <v>852</v>
      </c>
      <c r="E154" s="10">
        <v>56</v>
      </c>
    </row>
    <row r="155" spans="2:5" x14ac:dyDescent="0.3">
      <c r="B155" t="s">
        <v>984</v>
      </c>
      <c r="C155" t="s">
        <v>1122</v>
      </c>
      <c r="D155" t="s">
        <v>810</v>
      </c>
      <c r="E155" s="10">
        <v>56</v>
      </c>
    </row>
    <row r="156" spans="2:5" x14ac:dyDescent="0.3">
      <c r="B156" t="s">
        <v>678</v>
      </c>
      <c r="C156" t="s">
        <v>1100</v>
      </c>
      <c r="D156" t="s">
        <v>899</v>
      </c>
      <c r="E156" s="10">
        <v>56</v>
      </c>
    </row>
    <row r="157" spans="2:5" x14ac:dyDescent="0.3">
      <c r="B157" t="s">
        <v>205</v>
      </c>
      <c r="C157" t="s">
        <v>1128</v>
      </c>
      <c r="D157" t="s">
        <v>853</v>
      </c>
      <c r="E157" s="10">
        <v>56</v>
      </c>
    </row>
    <row r="158" spans="2:5" x14ac:dyDescent="0.3">
      <c r="B158" t="s">
        <v>529</v>
      </c>
      <c r="C158" t="s">
        <v>1109</v>
      </c>
      <c r="D158" t="s">
        <v>846</v>
      </c>
      <c r="E158" s="10">
        <v>56</v>
      </c>
    </row>
    <row r="159" spans="2:5" x14ac:dyDescent="0.3">
      <c r="B159" t="s">
        <v>136</v>
      </c>
      <c r="C159" t="s">
        <v>1105</v>
      </c>
      <c r="D159" t="s">
        <v>853</v>
      </c>
      <c r="E159" s="10">
        <v>56</v>
      </c>
    </row>
    <row r="160" spans="2:5" x14ac:dyDescent="0.3">
      <c r="B160" t="s">
        <v>652</v>
      </c>
      <c r="C160" t="s">
        <v>1122</v>
      </c>
      <c r="D160" t="s">
        <v>801</v>
      </c>
      <c r="E160" s="10">
        <v>56</v>
      </c>
    </row>
    <row r="161" spans="2:5" x14ac:dyDescent="0.3">
      <c r="B161" t="s">
        <v>235</v>
      </c>
      <c r="C161" t="s">
        <v>1126</v>
      </c>
      <c r="D161" t="s">
        <v>810</v>
      </c>
      <c r="E161" s="10">
        <v>56</v>
      </c>
    </row>
    <row r="162" spans="2:5" x14ac:dyDescent="0.3">
      <c r="B162" t="s">
        <v>242</v>
      </c>
      <c r="C162" t="s">
        <v>1080</v>
      </c>
      <c r="D162" t="s">
        <v>853</v>
      </c>
      <c r="E162" s="10">
        <v>54</v>
      </c>
    </row>
    <row r="163" spans="2:5" x14ac:dyDescent="0.3">
      <c r="B163" t="s">
        <v>16</v>
      </c>
      <c r="C163" t="s">
        <v>1079</v>
      </c>
      <c r="D163" t="s">
        <v>895</v>
      </c>
      <c r="E163" s="10">
        <v>54</v>
      </c>
    </row>
    <row r="164" spans="2:5" x14ac:dyDescent="0.3">
      <c r="B164" t="s">
        <v>350</v>
      </c>
      <c r="C164" t="s">
        <v>1111</v>
      </c>
      <c r="D164" t="s">
        <v>919</v>
      </c>
      <c r="E164" s="10">
        <v>54</v>
      </c>
    </row>
    <row r="165" spans="2:5" x14ac:dyDescent="0.3">
      <c r="B165" t="s">
        <v>708</v>
      </c>
      <c r="C165" t="s">
        <v>1080</v>
      </c>
      <c r="D165" t="s">
        <v>895</v>
      </c>
      <c r="E165" s="10">
        <v>54</v>
      </c>
    </row>
    <row r="166" spans="2:5" x14ac:dyDescent="0.3">
      <c r="B166" t="s">
        <v>371</v>
      </c>
      <c r="C166" t="s">
        <v>1094</v>
      </c>
      <c r="D166" t="s">
        <v>846</v>
      </c>
      <c r="E166" s="10">
        <v>54</v>
      </c>
    </row>
    <row r="167" spans="2:5" x14ac:dyDescent="0.3">
      <c r="B167" t="s">
        <v>383</v>
      </c>
      <c r="C167" t="s">
        <v>1085</v>
      </c>
      <c r="D167" t="s">
        <v>878</v>
      </c>
      <c r="E167" s="10">
        <v>52</v>
      </c>
    </row>
    <row r="168" spans="2:5" x14ac:dyDescent="0.3">
      <c r="B168" t="s">
        <v>259</v>
      </c>
      <c r="C168" t="s">
        <v>1123</v>
      </c>
      <c r="D168" t="s">
        <v>853</v>
      </c>
      <c r="E168" s="10">
        <v>52</v>
      </c>
    </row>
    <row r="169" spans="2:5" x14ac:dyDescent="0.3">
      <c r="B169" t="s">
        <v>144</v>
      </c>
      <c r="C169" t="s">
        <v>1108</v>
      </c>
      <c r="D169" t="s">
        <v>947</v>
      </c>
      <c r="E169" s="10">
        <v>52</v>
      </c>
    </row>
    <row r="170" spans="2:5" x14ac:dyDescent="0.3">
      <c r="B170" t="s">
        <v>659</v>
      </c>
      <c r="C170" t="s">
        <v>1105</v>
      </c>
      <c r="D170" t="s">
        <v>899</v>
      </c>
      <c r="E170" s="10">
        <v>52</v>
      </c>
    </row>
    <row r="171" spans="2:5" x14ac:dyDescent="0.3">
      <c r="B171" t="s">
        <v>196</v>
      </c>
      <c r="C171" t="s">
        <v>1103</v>
      </c>
      <c r="D171" t="s">
        <v>856</v>
      </c>
      <c r="E171" s="10">
        <v>52</v>
      </c>
    </row>
    <row r="172" spans="2:5" x14ac:dyDescent="0.3">
      <c r="B172" t="s">
        <v>369</v>
      </c>
      <c r="C172" t="s">
        <v>1112</v>
      </c>
      <c r="D172" t="s">
        <v>883</v>
      </c>
      <c r="E172" s="10">
        <v>52</v>
      </c>
    </row>
    <row r="173" spans="2:5" x14ac:dyDescent="0.3">
      <c r="B173" t="s">
        <v>617</v>
      </c>
      <c r="C173" t="s">
        <v>1081</v>
      </c>
      <c r="D173" t="s">
        <v>837</v>
      </c>
      <c r="E173" s="10">
        <v>52</v>
      </c>
    </row>
    <row r="174" spans="2:5" x14ac:dyDescent="0.3">
      <c r="B174" t="s">
        <v>135</v>
      </c>
      <c r="C174" t="s">
        <v>1104</v>
      </c>
      <c r="D174" t="s">
        <v>864</v>
      </c>
      <c r="E174" s="10">
        <v>52</v>
      </c>
    </row>
    <row r="175" spans="2:5" x14ac:dyDescent="0.3">
      <c r="B175" t="s">
        <v>714</v>
      </c>
      <c r="C175" t="s">
        <v>1090</v>
      </c>
      <c r="D175" t="s">
        <v>857</v>
      </c>
      <c r="E175" s="10">
        <v>52</v>
      </c>
    </row>
    <row r="176" spans="2:5" x14ac:dyDescent="0.3">
      <c r="B176" t="s">
        <v>392</v>
      </c>
      <c r="C176" t="s">
        <v>1089</v>
      </c>
      <c r="D176" t="s">
        <v>841</v>
      </c>
      <c r="E176" s="10">
        <v>52</v>
      </c>
    </row>
    <row r="177" spans="2:5" x14ac:dyDescent="0.3">
      <c r="B177" t="s">
        <v>258</v>
      </c>
      <c r="C177" t="s">
        <v>1121</v>
      </c>
      <c r="D177" t="s">
        <v>790</v>
      </c>
      <c r="E177" s="10">
        <v>52</v>
      </c>
    </row>
    <row r="178" spans="2:5" x14ac:dyDescent="0.3">
      <c r="B178" t="s">
        <v>334</v>
      </c>
      <c r="C178" t="s">
        <v>1091</v>
      </c>
      <c r="D178" t="s">
        <v>830</v>
      </c>
      <c r="E178" s="10">
        <v>52</v>
      </c>
    </row>
    <row r="179" spans="2:5" x14ac:dyDescent="0.3">
      <c r="B179" t="s">
        <v>604</v>
      </c>
      <c r="C179" t="s">
        <v>1101</v>
      </c>
      <c r="D179" t="s">
        <v>818</v>
      </c>
      <c r="E179" s="10">
        <v>52</v>
      </c>
    </row>
    <row r="180" spans="2:5" x14ac:dyDescent="0.3">
      <c r="B180" t="s">
        <v>115</v>
      </c>
      <c r="C180" t="s">
        <v>1117</v>
      </c>
      <c r="D180" t="s">
        <v>932</v>
      </c>
      <c r="E180" s="10">
        <v>52</v>
      </c>
    </row>
    <row r="181" spans="2:5" x14ac:dyDescent="0.3">
      <c r="B181" t="s">
        <v>982</v>
      </c>
      <c r="C181" t="s">
        <v>1106</v>
      </c>
      <c r="D181" t="s">
        <v>893</v>
      </c>
      <c r="E181" s="10">
        <v>52</v>
      </c>
    </row>
    <row r="182" spans="2:5" x14ac:dyDescent="0.3">
      <c r="B182" t="s">
        <v>520</v>
      </c>
      <c r="C182" t="s">
        <v>1095</v>
      </c>
      <c r="D182" t="s">
        <v>830</v>
      </c>
      <c r="E182" s="10">
        <v>52</v>
      </c>
    </row>
    <row r="183" spans="2:5" x14ac:dyDescent="0.3">
      <c r="B183" t="s">
        <v>427</v>
      </c>
      <c r="C183" t="s">
        <v>1095</v>
      </c>
      <c r="D183" t="s">
        <v>914</v>
      </c>
      <c r="E183" s="10">
        <v>50</v>
      </c>
    </row>
    <row r="184" spans="2:5" x14ac:dyDescent="0.3">
      <c r="B184" t="s">
        <v>588</v>
      </c>
      <c r="C184" t="s">
        <v>1105</v>
      </c>
      <c r="D184" t="s">
        <v>829</v>
      </c>
      <c r="E184" s="10">
        <v>50</v>
      </c>
    </row>
    <row r="185" spans="2:5" x14ac:dyDescent="0.3">
      <c r="B185" t="s">
        <v>109</v>
      </c>
      <c r="C185" t="s">
        <v>1126</v>
      </c>
      <c r="D185" t="s">
        <v>864</v>
      </c>
      <c r="E185" s="10">
        <v>50</v>
      </c>
    </row>
    <row r="186" spans="2:5" x14ac:dyDescent="0.3">
      <c r="B186" t="s">
        <v>117</v>
      </c>
      <c r="C186" t="s">
        <v>1089</v>
      </c>
      <c r="D186" t="s">
        <v>852</v>
      </c>
      <c r="E186" s="10">
        <v>48</v>
      </c>
    </row>
    <row r="187" spans="2:5" x14ac:dyDescent="0.3">
      <c r="B187" t="s">
        <v>262</v>
      </c>
      <c r="C187" t="s">
        <v>1092</v>
      </c>
      <c r="D187" t="s">
        <v>853</v>
      </c>
      <c r="E187" s="10">
        <v>48</v>
      </c>
    </row>
    <row r="188" spans="2:5" x14ac:dyDescent="0.3">
      <c r="B188" t="s">
        <v>1025</v>
      </c>
      <c r="C188" t="s">
        <v>1107</v>
      </c>
      <c r="D188" t="s">
        <v>876</v>
      </c>
      <c r="E188" s="10">
        <v>48</v>
      </c>
    </row>
    <row r="189" spans="2:5" x14ac:dyDescent="0.3">
      <c r="B189" t="s">
        <v>178</v>
      </c>
      <c r="C189" t="s">
        <v>1096</v>
      </c>
      <c r="D189" t="s">
        <v>870</v>
      </c>
      <c r="E189" s="10">
        <v>48</v>
      </c>
    </row>
    <row r="190" spans="2:5" x14ac:dyDescent="0.3">
      <c r="B190" t="s">
        <v>287</v>
      </c>
      <c r="C190" t="s">
        <v>1097</v>
      </c>
      <c r="D190" t="s">
        <v>932</v>
      </c>
      <c r="E190" s="10">
        <v>48</v>
      </c>
    </row>
    <row r="191" spans="2:5" x14ac:dyDescent="0.3">
      <c r="B191" t="s">
        <v>1051</v>
      </c>
      <c r="C191" t="s">
        <v>1112</v>
      </c>
      <c r="D191" t="s">
        <v>885</v>
      </c>
      <c r="E191" s="10">
        <v>48</v>
      </c>
    </row>
    <row r="192" spans="2:5" x14ac:dyDescent="0.3">
      <c r="B192" t="s">
        <v>185</v>
      </c>
      <c r="C192" t="s">
        <v>1083</v>
      </c>
      <c r="D192" t="s">
        <v>880</v>
      </c>
      <c r="E192" s="10">
        <v>48</v>
      </c>
    </row>
    <row r="193" spans="2:5" x14ac:dyDescent="0.3">
      <c r="B193" t="s">
        <v>78</v>
      </c>
      <c r="C193" t="s">
        <v>1111</v>
      </c>
      <c r="D193" t="s">
        <v>796</v>
      </c>
      <c r="E193" s="10">
        <v>48</v>
      </c>
    </row>
    <row r="194" spans="2:5" x14ac:dyDescent="0.3">
      <c r="B194" t="s">
        <v>86</v>
      </c>
      <c r="C194" t="s">
        <v>1108</v>
      </c>
      <c r="D194" t="s">
        <v>842</v>
      </c>
      <c r="E194" s="10">
        <v>48</v>
      </c>
    </row>
    <row r="195" spans="2:5" x14ac:dyDescent="0.3">
      <c r="B195" t="s">
        <v>370</v>
      </c>
      <c r="C195" t="s">
        <v>1105</v>
      </c>
      <c r="D195" t="s">
        <v>813</v>
      </c>
      <c r="E195" s="10">
        <v>48</v>
      </c>
    </row>
    <row r="196" spans="2:5" x14ac:dyDescent="0.3">
      <c r="B196" t="s">
        <v>434</v>
      </c>
      <c r="C196" t="s">
        <v>1102</v>
      </c>
      <c r="D196" t="s">
        <v>901</v>
      </c>
      <c r="E196" s="10">
        <v>48</v>
      </c>
    </row>
    <row r="197" spans="2:5" x14ac:dyDescent="0.3">
      <c r="B197" t="s">
        <v>183</v>
      </c>
      <c r="C197" t="s">
        <v>1112</v>
      </c>
      <c r="D197" t="s">
        <v>837</v>
      </c>
      <c r="E197" s="10">
        <v>48</v>
      </c>
    </row>
    <row r="198" spans="2:5" x14ac:dyDescent="0.3">
      <c r="B198" t="s">
        <v>645</v>
      </c>
      <c r="C198" t="s">
        <v>1093</v>
      </c>
      <c r="D198" t="s">
        <v>830</v>
      </c>
      <c r="E198" s="10">
        <v>48</v>
      </c>
    </row>
    <row r="199" spans="2:5" x14ac:dyDescent="0.3">
      <c r="B199" t="s">
        <v>68</v>
      </c>
      <c r="C199" t="s">
        <v>1087</v>
      </c>
      <c r="D199" t="s">
        <v>827</v>
      </c>
      <c r="E199" s="10">
        <v>48</v>
      </c>
    </row>
    <row r="200" spans="2:5" x14ac:dyDescent="0.3">
      <c r="B200" t="s">
        <v>324</v>
      </c>
      <c r="C200" t="s">
        <v>1087</v>
      </c>
      <c r="D200" t="s">
        <v>849</v>
      </c>
      <c r="E200" s="10">
        <v>48</v>
      </c>
    </row>
    <row r="201" spans="2:5" x14ac:dyDescent="0.3">
      <c r="B201" t="s">
        <v>393</v>
      </c>
      <c r="C201" t="s">
        <v>1108</v>
      </c>
      <c r="D201" t="s">
        <v>829</v>
      </c>
      <c r="E201" s="10">
        <v>48</v>
      </c>
    </row>
    <row r="202" spans="2:5" x14ac:dyDescent="0.3">
      <c r="B202" t="s">
        <v>255</v>
      </c>
      <c r="C202" t="s">
        <v>1095</v>
      </c>
      <c r="D202" t="s">
        <v>827</v>
      </c>
      <c r="E202" s="10">
        <v>48</v>
      </c>
    </row>
    <row r="203" spans="2:5" x14ac:dyDescent="0.3">
      <c r="B203" t="s">
        <v>424</v>
      </c>
      <c r="C203" t="s">
        <v>1080</v>
      </c>
      <c r="D203" t="s">
        <v>899</v>
      </c>
      <c r="E203" s="10">
        <v>48</v>
      </c>
    </row>
    <row r="204" spans="2:5" x14ac:dyDescent="0.3">
      <c r="B204" t="s">
        <v>211</v>
      </c>
      <c r="C204" t="s">
        <v>1079</v>
      </c>
      <c r="D204" t="s">
        <v>801</v>
      </c>
      <c r="E204" s="10">
        <v>48</v>
      </c>
    </row>
    <row r="205" spans="2:5" x14ac:dyDescent="0.3">
      <c r="B205" t="s">
        <v>377</v>
      </c>
      <c r="C205" t="s">
        <v>1087</v>
      </c>
      <c r="D205" t="s">
        <v>829</v>
      </c>
      <c r="E205" s="10">
        <v>48</v>
      </c>
    </row>
    <row r="206" spans="2:5" x14ac:dyDescent="0.3">
      <c r="B206" t="s">
        <v>601</v>
      </c>
      <c r="C206" t="s">
        <v>1094</v>
      </c>
      <c r="D206" t="s">
        <v>837</v>
      </c>
      <c r="E206" s="10">
        <v>48</v>
      </c>
    </row>
    <row r="207" spans="2:5" x14ac:dyDescent="0.3">
      <c r="B207" t="s">
        <v>174</v>
      </c>
      <c r="C207" t="s">
        <v>1109</v>
      </c>
      <c r="D207" t="s">
        <v>852</v>
      </c>
      <c r="E207" s="10">
        <v>48</v>
      </c>
    </row>
    <row r="208" spans="2:5" x14ac:dyDescent="0.3">
      <c r="B208" t="s">
        <v>110</v>
      </c>
      <c r="C208" t="s">
        <v>1088</v>
      </c>
      <c r="D208" t="s">
        <v>842</v>
      </c>
      <c r="E208" s="10">
        <v>48</v>
      </c>
    </row>
    <row r="209" spans="2:5" x14ac:dyDescent="0.3">
      <c r="B209" t="s">
        <v>108</v>
      </c>
      <c r="C209" t="s">
        <v>1089</v>
      </c>
      <c r="D209" t="s">
        <v>880</v>
      </c>
      <c r="E209" s="10">
        <v>48</v>
      </c>
    </row>
    <row r="210" spans="2:5" x14ac:dyDescent="0.3">
      <c r="B210" t="s">
        <v>374</v>
      </c>
      <c r="C210" t="s">
        <v>1101</v>
      </c>
      <c r="D210" t="s">
        <v>885</v>
      </c>
      <c r="E210" s="10">
        <v>48</v>
      </c>
    </row>
    <row r="211" spans="2:5" x14ac:dyDescent="0.3">
      <c r="B211" t="s">
        <v>278</v>
      </c>
      <c r="C211" t="s">
        <v>1108</v>
      </c>
      <c r="D211" t="s">
        <v>813</v>
      </c>
      <c r="E211" s="10">
        <v>46</v>
      </c>
    </row>
    <row r="212" spans="2:5" x14ac:dyDescent="0.3">
      <c r="B212" t="s">
        <v>634</v>
      </c>
      <c r="C212" t="s">
        <v>1083</v>
      </c>
      <c r="D212" t="s">
        <v>801</v>
      </c>
      <c r="E212" s="10">
        <v>46</v>
      </c>
    </row>
    <row r="213" spans="2:5" x14ac:dyDescent="0.3">
      <c r="B213" t="s">
        <v>45</v>
      </c>
      <c r="C213" t="s">
        <v>1114</v>
      </c>
      <c r="D213" t="s">
        <v>906</v>
      </c>
      <c r="E213" s="10">
        <v>46</v>
      </c>
    </row>
    <row r="214" spans="2:5" x14ac:dyDescent="0.3">
      <c r="B214" t="s">
        <v>379</v>
      </c>
      <c r="C214" t="s">
        <v>1077</v>
      </c>
      <c r="D214" t="s">
        <v>816</v>
      </c>
      <c r="E214" s="10">
        <v>46</v>
      </c>
    </row>
    <row r="215" spans="2:5" x14ac:dyDescent="0.3">
      <c r="B215" t="s">
        <v>456</v>
      </c>
      <c r="C215" t="s">
        <v>1092</v>
      </c>
      <c r="D215" t="s">
        <v>857</v>
      </c>
      <c r="E215" s="10">
        <v>46</v>
      </c>
    </row>
    <row r="216" spans="2:5" x14ac:dyDescent="0.3">
      <c r="B216" t="s">
        <v>578</v>
      </c>
      <c r="C216" t="s">
        <v>1114</v>
      </c>
      <c r="D216" t="s">
        <v>857</v>
      </c>
      <c r="E216" s="10">
        <v>46</v>
      </c>
    </row>
    <row r="217" spans="2:5" x14ac:dyDescent="0.3">
      <c r="B217" t="s">
        <v>416</v>
      </c>
      <c r="C217" t="s">
        <v>1097</v>
      </c>
      <c r="D217" t="s">
        <v>810</v>
      </c>
      <c r="E217" s="10">
        <v>44</v>
      </c>
    </row>
    <row r="218" spans="2:5" x14ac:dyDescent="0.3">
      <c r="B218" t="s">
        <v>388</v>
      </c>
      <c r="C218" t="s">
        <v>1096</v>
      </c>
      <c r="D218" t="s">
        <v>926</v>
      </c>
      <c r="E218" s="10">
        <v>44</v>
      </c>
    </row>
    <row r="219" spans="2:5" x14ac:dyDescent="0.3">
      <c r="B219" t="s">
        <v>337</v>
      </c>
      <c r="C219" t="s">
        <v>1122</v>
      </c>
      <c r="D219" t="s">
        <v>900</v>
      </c>
      <c r="E219" s="10">
        <v>44</v>
      </c>
    </row>
    <row r="220" spans="2:5" x14ac:dyDescent="0.3">
      <c r="B220" t="s">
        <v>241</v>
      </c>
      <c r="C220" t="s">
        <v>1090</v>
      </c>
      <c r="D220" t="s">
        <v>899</v>
      </c>
      <c r="E220" s="10">
        <v>44</v>
      </c>
    </row>
    <row r="221" spans="2:5" x14ac:dyDescent="0.3">
      <c r="B221" t="s">
        <v>188</v>
      </c>
      <c r="C221" t="s">
        <v>1116</v>
      </c>
      <c r="D221" t="s">
        <v>880</v>
      </c>
      <c r="E221" s="10">
        <v>44</v>
      </c>
    </row>
    <row r="222" spans="2:5" x14ac:dyDescent="0.3">
      <c r="B222" t="s">
        <v>584</v>
      </c>
      <c r="C222" t="s">
        <v>1080</v>
      </c>
      <c r="D222" t="s">
        <v>827</v>
      </c>
      <c r="E222" s="10">
        <v>44</v>
      </c>
    </row>
    <row r="223" spans="2:5" x14ac:dyDescent="0.3">
      <c r="B223" t="s">
        <v>298</v>
      </c>
      <c r="C223" t="s">
        <v>1105</v>
      </c>
      <c r="D223" t="s">
        <v>888</v>
      </c>
      <c r="E223" s="10">
        <v>44</v>
      </c>
    </row>
    <row r="224" spans="2:5" x14ac:dyDescent="0.3">
      <c r="B224" t="s">
        <v>202</v>
      </c>
      <c r="C224" t="s">
        <v>1088</v>
      </c>
      <c r="D224" t="s">
        <v>899</v>
      </c>
      <c r="E224" s="10">
        <v>44</v>
      </c>
    </row>
    <row r="225" spans="2:5" x14ac:dyDescent="0.3">
      <c r="B225" t="s">
        <v>655</v>
      </c>
      <c r="C225" t="s">
        <v>1108</v>
      </c>
      <c r="D225" t="s">
        <v>914</v>
      </c>
      <c r="E225" s="10">
        <v>44</v>
      </c>
    </row>
    <row r="226" spans="2:5" x14ac:dyDescent="0.3">
      <c r="B226" t="s">
        <v>37</v>
      </c>
      <c r="C226" t="s">
        <v>1079</v>
      </c>
      <c r="D226" t="s">
        <v>829</v>
      </c>
      <c r="E226" s="10">
        <v>44</v>
      </c>
    </row>
    <row r="227" spans="2:5" x14ac:dyDescent="0.3">
      <c r="B227" t="s">
        <v>395</v>
      </c>
      <c r="C227" t="s">
        <v>1090</v>
      </c>
      <c r="D227" t="s">
        <v>829</v>
      </c>
      <c r="E227" s="10">
        <v>44</v>
      </c>
    </row>
    <row r="228" spans="2:5" x14ac:dyDescent="0.3">
      <c r="B228" t="s">
        <v>93</v>
      </c>
      <c r="C228" t="s">
        <v>1115</v>
      </c>
      <c r="D228" t="s">
        <v>810</v>
      </c>
      <c r="E228" s="10">
        <v>44</v>
      </c>
    </row>
    <row r="229" spans="2:5" x14ac:dyDescent="0.3">
      <c r="B229" t="s">
        <v>250</v>
      </c>
      <c r="C229" t="s">
        <v>1079</v>
      </c>
      <c r="D229" t="s">
        <v>864</v>
      </c>
      <c r="E229" s="10">
        <v>44</v>
      </c>
    </row>
    <row r="230" spans="2:5" x14ac:dyDescent="0.3">
      <c r="B230" t="s">
        <v>413</v>
      </c>
      <c r="C230" t="s">
        <v>1090</v>
      </c>
      <c r="D230" t="s">
        <v>885</v>
      </c>
      <c r="E230" s="10">
        <v>44</v>
      </c>
    </row>
    <row r="231" spans="2:5" x14ac:dyDescent="0.3">
      <c r="B231" t="s">
        <v>76</v>
      </c>
      <c r="C231" t="s">
        <v>1115</v>
      </c>
      <c r="D231" t="s">
        <v>796</v>
      </c>
      <c r="E231" s="10">
        <v>44</v>
      </c>
    </row>
    <row r="232" spans="2:5" x14ac:dyDescent="0.3">
      <c r="B232" t="s">
        <v>614</v>
      </c>
      <c r="C232" t="s">
        <v>1097</v>
      </c>
      <c r="D232" t="s">
        <v>828</v>
      </c>
      <c r="E232" s="10">
        <v>44</v>
      </c>
    </row>
    <row r="233" spans="2:5" x14ac:dyDescent="0.3">
      <c r="B233" t="s">
        <v>679</v>
      </c>
      <c r="C233" t="s">
        <v>1088</v>
      </c>
      <c r="D233" t="s">
        <v>906</v>
      </c>
      <c r="E233" s="10">
        <v>44</v>
      </c>
    </row>
    <row r="234" spans="2:5" x14ac:dyDescent="0.3">
      <c r="B234" t="s">
        <v>726</v>
      </c>
      <c r="C234" t="s">
        <v>1112</v>
      </c>
      <c r="D234" t="s">
        <v>915</v>
      </c>
      <c r="E234" s="10">
        <v>44</v>
      </c>
    </row>
    <row r="235" spans="2:5" x14ac:dyDescent="0.3">
      <c r="B235" t="s">
        <v>175</v>
      </c>
      <c r="C235" t="s">
        <v>1077</v>
      </c>
      <c r="D235" t="s">
        <v>846</v>
      </c>
      <c r="E235" s="10">
        <v>44</v>
      </c>
    </row>
    <row r="236" spans="2:5" x14ac:dyDescent="0.3">
      <c r="B236" t="s">
        <v>643</v>
      </c>
      <c r="C236" t="s">
        <v>1088</v>
      </c>
      <c r="D236" t="s">
        <v>822</v>
      </c>
      <c r="E236" s="10">
        <v>44</v>
      </c>
    </row>
    <row r="237" spans="2:5" x14ac:dyDescent="0.3">
      <c r="B237" t="s">
        <v>118</v>
      </c>
      <c r="C237" t="s">
        <v>1082</v>
      </c>
      <c r="D237" t="s">
        <v>796</v>
      </c>
      <c r="E237" s="10">
        <v>44</v>
      </c>
    </row>
    <row r="238" spans="2:5" x14ac:dyDescent="0.3">
      <c r="B238" t="s">
        <v>929</v>
      </c>
      <c r="C238" t="s">
        <v>1105</v>
      </c>
      <c r="D238" t="s">
        <v>874</v>
      </c>
      <c r="E238" s="10">
        <v>44</v>
      </c>
    </row>
    <row r="239" spans="2:5" x14ac:dyDescent="0.3">
      <c r="B239" t="s">
        <v>608</v>
      </c>
      <c r="C239" t="s">
        <v>1095</v>
      </c>
      <c r="D239" t="s">
        <v>828</v>
      </c>
      <c r="E239" s="10">
        <v>44</v>
      </c>
    </row>
    <row r="240" spans="2:5" x14ac:dyDescent="0.3">
      <c r="B240" t="s">
        <v>583</v>
      </c>
      <c r="C240" t="s">
        <v>1125</v>
      </c>
      <c r="D240" t="s">
        <v>837</v>
      </c>
      <c r="E240" s="10">
        <v>42</v>
      </c>
    </row>
    <row r="241" spans="2:5" x14ac:dyDescent="0.3">
      <c r="B241" t="s">
        <v>257</v>
      </c>
      <c r="C241" t="s">
        <v>1102</v>
      </c>
      <c r="D241" t="s">
        <v>818</v>
      </c>
      <c r="E241" s="10">
        <v>42</v>
      </c>
    </row>
    <row r="242" spans="2:5" x14ac:dyDescent="0.3">
      <c r="B242" t="s">
        <v>745</v>
      </c>
      <c r="C242" t="s">
        <v>1116</v>
      </c>
      <c r="D242" t="s">
        <v>932</v>
      </c>
      <c r="E242" s="10">
        <v>42</v>
      </c>
    </row>
    <row r="243" spans="2:5" x14ac:dyDescent="0.3">
      <c r="B243" t="s">
        <v>543</v>
      </c>
      <c r="C243" t="s">
        <v>1104</v>
      </c>
      <c r="D243" t="s">
        <v>870</v>
      </c>
      <c r="E243" s="10">
        <v>42</v>
      </c>
    </row>
    <row r="244" spans="2:5" x14ac:dyDescent="0.3">
      <c r="B244" t="s">
        <v>358</v>
      </c>
      <c r="C244" t="s">
        <v>980</v>
      </c>
      <c r="D244" t="s">
        <v>914</v>
      </c>
      <c r="E244" s="10">
        <v>42</v>
      </c>
    </row>
    <row r="245" spans="2:5" x14ac:dyDescent="0.3">
      <c r="B245" t="s">
        <v>479</v>
      </c>
      <c r="C245" t="s">
        <v>1114</v>
      </c>
      <c r="D245" t="s">
        <v>914</v>
      </c>
      <c r="E245" s="10">
        <v>40</v>
      </c>
    </row>
    <row r="246" spans="2:5" x14ac:dyDescent="0.3">
      <c r="B246" t="s">
        <v>538</v>
      </c>
      <c r="C246" t="s">
        <v>1093</v>
      </c>
      <c r="D246" t="s">
        <v>919</v>
      </c>
      <c r="E246" s="10">
        <v>40</v>
      </c>
    </row>
    <row r="247" spans="2:5" x14ac:dyDescent="0.3">
      <c r="B247" t="s">
        <v>990</v>
      </c>
      <c r="C247" t="s">
        <v>1119</v>
      </c>
      <c r="D247" t="s">
        <v>805</v>
      </c>
      <c r="E247" s="10">
        <v>40</v>
      </c>
    </row>
    <row r="248" spans="2:5" x14ac:dyDescent="0.3">
      <c r="B248" t="s">
        <v>293</v>
      </c>
      <c r="C248" t="s">
        <v>1085</v>
      </c>
      <c r="D248" t="s">
        <v>1014</v>
      </c>
      <c r="E248" s="10">
        <v>40</v>
      </c>
    </row>
    <row r="249" spans="2:5" x14ac:dyDescent="0.3">
      <c r="B249" t="s">
        <v>325</v>
      </c>
      <c r="C249" t="s">
        <v>1104</v>
      </c>
      <c r="D249" t="s">
        <v>796</v>
      </c>
      <c r="E249" s="10">
        <v>40</v>
      </c>
    </row>
    <row r="250" spans="2:5" x14ac:dyDescent="0.3">
      <c r="B250" t="s">
        <v>670</v>
      </c>
      <c r="C250" t="s">
        <v>1115</v>
      </c>
      <c r="D250" t="s">
        <v>883</v>
      </c>
      <c r="E250" s="10">
        <v>40</v>
      </c>
    </row>
    <row r="251" spans="2:5" x14ac:dyDescent="0.3">
      <c r="B251" t="s">
        <v>666</v>
      </c>
      <c r="C251" t="s">
        <v>1094</v>
      </c>
      <c r="D251" t="s">
        <v>888</v>
      </c>
      <c r="E251" s="10">
        <v>40</v>
      </c>
    </row>
    <row r="252" spans="2:5" x14ac:dyDescent="0.3">
      <c r="B252" t="s">
        <v>419</v>
      </c>
      <c r="C252" t="s">
        <v>980</v>
      </c>
      <c r="D252" t="s">
        <v>841</v>
      </c>
      <c r="E252" s="10">
        <v>40</v>
      </c>
    </row>
    <row r="253" spans="2:5" x14ac:dyDescent="0.3">
      <c r="B253" t="s">
        <v>462</v>
      </c>
      <c r="C253" t="s">
        <v>1080</v>
      </c>
      <c r="D253" t="s">
        <v>919</v>
      </c>
      <c r="E253" s="10">
        <v>40</v>
      </c>
    </row>
    <row r="254" spans="2:5" x14ac:dyDescent="0.3">
      <c r="B254" t="s">
        <v>116</v>
      </c>
      <c r="C254" t="s">
        <v>980</v>
      </c>
      <c r="D254" t="s">
        <v>906</v>
      </c>
      <c r="E254" s="10">
        <v>40</v>
      </c>
    </row>
    <row r="255" spans="2:5" x14ac:dyDescent="0.3">
      <c r="B255" t="s">
        <v>252</v>
      </c>
      <c r="C255" t="s">
        <v>1092</v>
      </c>
      <c r="D255" t="s">
        <v>825</v>
      </c>
      <c r="E255" s="10">
        <v>40</v>
      </c>
    </row>
    <row r="256" spans="2:5" x14ac:dyDescent="0.3">
      <c r="B256" t="s">
        <v>466</v>
      </c>
      <c r="C256" t="s">
        <v>1126</v>
      </c>
      <c r="D256" t="s">
        <v>878</v>
      </c>
      <c r="E256" s="10">
        <v>40</v>
      </c>
    </row>
    <row r="257" spans="2:5" x14ac:dyDescent="0.3">
      <c r="B257" t="s">
        <v>723</v>
      </c>
      <c r="C257" t="s">
        <v>1098</v>
      </c>
      <c r="D257" t="s">
        <v>805</v>
      </c>
      <c r="E257" s="10">
        <v>40</v>
      </c>
    </row>
    <row r="258" spans="2:5" x14ac:dyDescent="0.3">
      <c r="B258" t="s">
        <v>161</v>
      </c>
      <c r="C258" t="s">
        <v>1081</v>
      </c>
      <c r="D258" t="s">
        <v>860</v>
      </c>
      <c r="E258" s="10">
        <v>40</v>
      </c>
    </row>
    <row r="259" spans="2:5" x14ac:dyDescent="0.3">
      <c r="B259" t="s">
        <v>80</v>
      </c>
      <c r="C259" t="s">
        <v>1098</v>
      </c>
      <c r="D259" t="s">
        <v>813</v>
      </c>
      <c r="E259" s="10">
        <v>40</v>
      </c>
    </row>
    <row r="260" spans="2:5" x14ac:dyDescent="0.3">
      <c r="B260" t="s">
        <v>323</v>
      </c>
      <c r="C260" t="s">
        <v>1102</v>
      </c>
      <c r="D260" t="s">
        <v>860</v>
      </c>
      <c r="E260" s="10">
        <v>40</v>
      </c>
    </row>
    <row r="261" spans="2:5" x14ac:dyDescent="0.3">
      <c r="B261" t="s">
        <v>343</v>
      </c>
      <c r="C261" t="s">
        <v>1087</v>
      </c>
      <c r="D261" t="s">
        <v>860</v>
      </c>
      <c r="E261" s="10">
        <v>40</v>
      </c>
    </row>
    <row r="262" spans="2:5" x14ac:dyDescent="0.3">
      <c r="B262" t="s">
        <v>629</v>
      </c>
      <c r="C262" t="s">
        <v>1086</v>
      </c>
      <c r="D262" t="s">
        <v>857</v>
      </c>
      <c r="E262" s="10">
        <v>40</v>
      </c>
    </row>
    <row r="263" spans="2:5" x14ac:dyDescent="0.3">
      <c r="B263" t="s">
        <v>499</v>
      </c>
      <c r="C263" t="s">
        <v>1090</v>
      </c>
      <c r="D263" t="s">
        <v>883</v>
      </c>
      <c r="E263" s="10">
        <v>40</v>
      </c>
    </row>
    <row r="264" spans="2:5" x14ac:dyDescent="0.3">
      <c r="B264" t="s">
        <v>686</v>
      </c>
      <c r="C264" t="s">
        <v>1077</v>
      </c>
      <c r="D264" t="s">
        <v>827</v>
      </c>
      <c r="E264" s="10">
        <v>40</v>
      </c>
    </row>
    <row r="265" spans="2:5" x14ac:dyDescent="0.3">
      <c r="B265" t="s">
        <v>624</v>
      </c>
      <c r="C265" t="s">
        <v>1102</v>
      </c>
      <c r="D265" t="s">
        <v>805</v>
      </c>
      <c r="E265" s="10">
        <v>40</v>
      </c>
    </row>
    <row r="266" spans="2:5" x14ac:dyDescent="0.3">
      <c r="B266" t="s">
        <v>689</v>
      </c>
      <c r="C266" t="s">
        <v>1079</v>
      </c>
      <c r="D266" t="s">
        <v>860</v>
      </c>
      <c r="E266" s="10">
        <v>40</v>
      </c>
    </row>
    <row r="267" spans="2:5" x14ac:dyDescent="0.3">
      <c r="B267" t="s">
        <v>497</v>
      </c>
      <c r="C267" t="s">
        <v>1119</v>
      </c>
      <c r="D267" t="s">
        <v>846</v>
      </c>
      <c r="E267" s="10">
        <v>40</v>
      </c>
    </row>
    <row r="268" spans="2:5" x14ac:dyDescent="0.3">
      <c r="B268" t="s">
        <v>381</v>
      </c>
      <c r="C268" t="s">
        <v>1119</v>
      </c>
      <c r="D268" t="s">
        <v>828</v>
      </c>
      <c r="E268" s="10">
        <v>40</v>
      </c>
    </row>
    <row r="269" spans="2:5" x14ac:dyDescent="0.3">
      <c r="B269" t="s">
        <v>431</v>
      </c>
      <c r="C269" t="s">
        <v>1097</v>
      </c>
      <c r="D269" t="s">
        <v>813</v>
      </c>
      <c r="E269" s="10">
        <v>40</v>
      </c>
    </row>
    <row r="270" spans="2:5" x14ac:dyDescent="0.3">
      <c r="B270" t="s">
        <v>364</v>
      </c>
      <c r="C270" t="s">
        <v>1077</v>
      </c>
      <c r="D270" t="s">
        <v>881</v>
      </c>
      <c r="E270" s="10">
        <v>40</v>
      </c>
    </row>
    <row r="271" spans="2:5" x14ac:dyDescent="0.3">
      <c r="B271" t="s">
        <v>248</v>
      </c>
      <c r="C271" t="s">
        <v>1089</v>
      </c>
      <c r="D271" t="s">
        <v>883</v>
      </c>
      <c r="E271" s="10">
        <v>40</v>
      </c>
    </row>
    <row r="272" spans="2:5" x14ac:dyDescent="0.3">
      <c r="B272" t="s">
        <v>979</v>
      </c>
      <c r="C272" t="s">
        <v>1104</v>
      </c>
      <c r="D272" t="s">
        <v>846</v>
      </c>
      <c r="E272" s="10">
        <v>40</v>
      </c>
    </row>
    <row r="273" spans="2:5" x14ac:dyDescent="0.3">
      <c r="B273" t="s">
        <v>556</v>
      </c>
      <c r="C273" t="s">
        <v>1124</v>
      </c>
      <c r="D273" t="s">
        <v>856</v>
      </c>
      <c r="E273" s="10">
        <v>40</v>
      </c>
    </row>
    <row r="274" spans="2:5" x14ac:dyDescent="0.3">
      <c r="B274" t="s">
        <v>758</v>
      </c>
      <c r="C274" t="s">
        <v>1083</v>
      </c>
      <c r="D274" t="s">
        <v>813</v>
      </c>
      <c r="E274" s="10">
        <v>40</v>
      </c>
    </row>
    <row r="275" spans="2:5" x14ac:dyDescent="0.3">
      <c r="B275" t="s">
        <v>223</v>
      </c>
      <c r="C275" t="s">
        <v>1087</v>
      </c>
      <c r="D275" t="s">
        <v>805</v>
      </c>
      <c r="E275" s="10">
        <v>40</v>
      </c>
    </row>
    <row r="276" spans="2:5" x14ac:dyDescent="0.3">
      <c r="B276" t="s">
        <v>672</v>
      </c>
      <c r="C276" t="s">
        <v>1083</v>
      </c>
      <c r="D276" t="s">
        <v>883</v>
      </c>
      <c r="E276" s="10">
        <v>40</v>
      </c>
    </row>
    <row r="277" spans="2:5" x14ac:dyDescent="0.3">
      <c r="B277" t="s">
        <v>698</v>
      </c>
      <c r="C277" t="s">
        <v>1092</v>
      </c>
      <c r="D277" t="s">
        <v>846</v>
      </c>
      <c r="E277" s="10">
        <v>40</v>
      </c>
    </row>
    <row r="278" spans="2:5" x14ac:dyDescent="0.3">
      <c r="B278" t="s">
        <v>577</v>
      </c>
      <c r="C278" t="s">
        <v>1079</v>
      </c>
      <c r="D278" t="s">
        <v>816</v>
      </c>
      <c r="E278" s="10">
        <v>40</v>
      </c>
    </row>
    <row r="279" spans="2:5" x14ac:dyDescent="0.3">
      <c r="B279" t="s">
        <v>305</v>
      </c>
      <c r="C279" t="s">
        <v>1107</v>
      </c>
      <c r="D279" t="s">
        <v>870</v>
      </c>
      <c r="E279" s="10">
        <v>40</v>
      </c>
    </row>
    <row r="280" spans="2:5" x14ac:dyDescent="0.3">
      <c r="B280" t="s">
        <v>159</v>
      </c>
      <c r="C280" t="s">
        <v>1109</v>
      </c>
      <c r="D280" t="s">
        <v>878</v>
      </c>
      <c r="E280" s="10">
        <v>40</v>
      </c>
    </row>
    <row r="281" spans="2:5" x14ac:dyDescent="0.3">
      <c r="B281" t="s">
        <v>535</v>
      </c>
      <c r="C281" t="s">
        <v>1083</v>
      </c>
      <c r="D281" t="s">
        <v>880</v>
      </c>
      <c r="E281" s="10">
        <v>40</v>
      </c>
    </row>
    <row r="282" spans="2:5" x14ac:dyDescent="0.3">
      <c r="B282" t="s">
        <v>557</v>
      </c>
      <c r="C282" t="s">
        <v>1085</v>
      </c>
      <c r="D282" t="s">
        <v>837</v>
      </c>
      <c r="E282" s="10">
        <v>40</v>
      </c>
    </row>
    <row r="283" spans="2:5" x14ac:dyDescent="0.3">
      <c r="B283" t="s">
        <v>662</v>
      </c>
      <c r="C283" t="s">
        <v>1099</v>
      </c>
      <c r="D283" t="s">
        <v>947</v>
      </c>
      <c r="E283" s="10">
        <v>40</v>
      </c>
    </row>
    <row r="284" spans="2:5" x14ac:dyDescent="0.3">
      <c r="B284" t="s">
        <v>768</v>
      </c>
      <c r="C284" t="s">
        <v>1099</v>
      </c>
      <c r="D284" t="s">
        <v>828</v>
      </c>
      <c r="E284" s="10">
        <v>40</v>
      </c>
    </row>
    <row r="285" spans="2:5" x14ac:dyDescent="0.3">
      <c r="B285" t="s">
        <v>261</v>
      </c>
      <c r="C285" t="s">
        <v>1094</v>
      </c>
      <c r="D285" t="s">
        <v>888</v>
      </c>
      <c r="E285" s="10">
        <v>40</v>
      </c>
    </row>
    <row r="286" spans="2:5" x14ac:dyDescent="0.3">
      <c r="B286" t="s">
        <v>673</v>
      </c>
      <c r="C286" t="s">
        <v>1126</v>
      </c>
      <c r="D286" t="s">
        <v>846</v>
      </c>
      <c r="E286" s="10">
        <v>38</v>
      </c>
    </row>
    <row r="287" spans="2:5" x14ac:dyDescent="0.3">
      <c r="B287" t="s">
        <v>464</v>
      </c>
      <c r="C287" t="s">
        <v>1106</v>
      </c>
      <c r="D287" t="s">
        <v>900</v>
      </c>
      <c r="E287" s="10">
        <v>38</v>
      </c>
    </row>
    <row r="288" spans="2:5" x14ac:dyDescent="0.3">
      <c r="B288" t="s">
        <v>586</v>
      </c>
      <c r="C288" t="s">
        <v>1102</v>
      </c>
      <c r="D288" t="s">
        <v>846</v>
      </c>
      <c r="E288" s="10">
        <v>38</v>
      </c>
    </row>
    <row r="289" spans="2:5" x14ac:dyDescent="0.3">
      <c r="B289" t="s">
        <v>394</v>
      </c>
      <c r="C289" t="s">
        <v>1085</v>
      </c>
      <c r="D289" t="s">
        <v>914</v>
      </c>
      <c r="E289" s="10">
        <v>38</v>
      </c>
    </row>
    <row r="290" spans="2:5" x14ac:dyDescent="0.3">
      <c r="B290" t="s">
        <v>342</v>
      </c>
      <c r="C290" t="s">
        <v>1111</v>
      </c>
      <c r="D290" t="s">
        <v>915</v>
      </c>
      <c r="E290" s="10">
        <v>38</v>
      </c>
    </row>
    <row r="291" spans="2:5" x14ac:dyDescent="0.3">
      <c r="B291" t="s">
        <v>697</v>
      </c>
      <c r="C291" t="s">
        <v>1086</v>
      </c>
      <c r="D291" t="s">
        <v>900</v>
      </c>
      <c r="E291" s="10">
        <v>38</v>
      </c>
    </row>
    <row r="292" spans="2:5" x14ac:dyDescent="0.3">
      <c r="B292" t="s">
        <v>239</v>
      </c>
      <c r="C292" t="s">
        <v>1099</v>
      </c>
      <c r="D292" t="s">
        <v>841</v>
      </c>
      <c r="E292" s="10">
        <v>36</v>
      </c>
    </row>
    <row r="293" spans="2:5" x14ac:dyDescent="0.3">
      <c r="B293" t="s">
        <v>640</v>
      </c>
      <c r="C293" t="s">
        <v>1099</v>
      </c>
      <c r="D293" t="s">
        <v>901</v>
      </c>
      <c r="E293" s="10">
        <v>36</v>
      </c>
    </row>
    <row r="294" spans="2:5" x14ac:dyDescent="0.3">
      <c r="B294" t="s">
        <v>237</v>
      </c>
      <c r="C294" t="s">
        <v>1094</v>
      </c>
      <c r="D294" t="s">
        <v>818</v>
      </c>
      <c r="E294" s="10">
        <v>36</v>
      </c>
    </row>
    <row r="295" spans="2:5" x14ac:dyDescent="0.3">
      <c r="B295" t="s">
        <v>163</v>
      </c>
      <c r="C295" t="s">
        <v>1079</v>
      </c>
      <c r="D295" t="s">
        <v>857</v>
      </c>
      <c r="E295" s="10">
        <v>36</v>
      </c>
    </row>
    <row r="296" spans="2:5" x14ac:dyDescent="0.3">
      <c r="B296" t="s">
        <v>56</v>
      </c>
      <c r="C296" t="s">
        <v>1122</v>
      </c>
      <c r="D296" t="s">
        <v>825</v>
      </c>
      <c r="E296" s="10">
        <v>36</v>
      </c>
    </row>
    <row r="297" spans="2:5" x14ac:dyDescent="0.3">
      <c r="B297" t="s">
        <v>7</v>
      </c>
      <c r="C297" t="s">
        <v>1094</v>
      </c>
      <c r="D297" t="s">
        <v>837</v>
      </c>
      <c r="E297" s="10">
        <v>36</v>
      </c>
    </row>
    <row r="298" spans="2:5" x14ac:dyDescent="0.3">
      <c r="B298" t="s">
        <v>552</v>
      </c>
      <c r="C298" t="s">
        <v>1093</v>
      </c>
      <c r="D298" t="s">
        <v>895</v>
      </c>
      <c r="E298" s="10">
        <v>36</v>
      </c>
    </row>
    <row r="299" spans="2:5" x14ac:dyDescent="0.3">
      <c r="B299" t="s">
        <v>103</v>
      </c>
      <c r="C299" t="s">
        <v>1113</v>
      </c>
      <c r="D299" t="s">
        <v>856</v>
      </c>
      <c r="E299" s="10">
        <v>36</v>
      </c>
    </row>
    <row r="300" spans="2:5" x14ac:dyDescent="0.3">
      <c r="B300" t="s">
        <v>610</v>
      </c>
      <c r="C300" t="s">
        <v>1096</v>
      </c>
      <c r="D300" t="s">
        <v>881</v>
      </c>
      <c r="E300" s="10">
        <v>36</v>
      </c>
    </row>
    <row r="301" spans="2:5" x14ac:dyDescent="0.3">
      <c r="B301" t="s">
        <v>489</v>
      </c>
      <c r="C301" t="s">
        <v>1107</v>
      </c>
      <c r="D301" t="s">
        <v>870</v>
      </c>
      <c r="E301" s="10">
        <v>36</v>
      </c>
    </row>
    <row r="302" spans="2:5" x14ac:dyDescent="0.3">
      <c r="B302" t="s">
        <v>192</v>
      </c>
      <c r="C302" t="s">
        <v>1092</v>
      </c>
      <c r="D302" t="s">
        <v>932</v>
      </c>
      <c r="E302" s="10">
        <v>36</v>
      </c>
    </row>
    <row r="303" spans="2:5" x14ac:dyDescent="0.3">
      <c r="B303" t="s">
        <v>539</v>
      </c>
      <c r="C303" t="s">
        <v>1112</v>
      </c>
      <c r="D303" t="s">
        <v>860</v>
      </c>
      <c r="E303" s="10">
        <v>36</v>
      </c>
    </row>
    <row r="304" spans="2:5" x14ac:dyDescent="0.3">
      <c r="B304" t="s">
        <v>310</v>
      </c>
      <c r="C304" t="s">
        <v>1081</v>
      </c>
      <c r="D304" t="s">
        <v>805</v>
      </c>
      <c r="E304" s="10">
        <v>36</v>
      </c>
    </row>
    <row r="305" spans="2:5" x14ac:dyDescent="0.3">
      <c r="B305" t="s">
        <v>314</v>
      </c>
      <c r="C305" t="s">
        <v>1117</v>
      </c>
      <c r="D305" t="s">
        <v>874</v>
      </c>
      <c r="E305" s="10">
        <v>36</v>
      </c>
    </row>
    <row r="306" spans="2:5" x14ac:dyDescent="0.3">
      <c r="B306" t="s">
        <v>473</v>
      </c>
      <c r="C306" t="s">
        <v>1111</v>
      </c>
      <c r="D306" t="s">
        <v>822</v>
      </c>
      <c r="E306" s="10">
        <v>36</v>
      </c>
    </row>
    <row r="307" spans="2:5" x14ac:dyDescent="0.3">
      <c r="B307" t="s">
        <v>735</v>
      </c>
      <c r="C307" t="s">
        <v>1109</v>
      </c>
      <c r="D307" t="s">
        <v>816</v>
      </c>
      <c r="E307" s="10">
        <v>36</v>
      </c>
    </row>
    <row r="308" spans="2:5" x14ac:dyDescent="0.3">
      <c r="B308" t="s">
        <v>59</v>
      </c>
      <c r="C308" t="s">
        <v>1085</v>
      </c>
      <c r="D308" t="s">
        <v>810</v>
      </c>
      <c r="E308" s="10">
        <v>36</v>
      </c>
    </row>
    <row r="309" spans="2:5" x14ac:dyDescent="0.3">
      <c r="B309" t="s">
        <v>661</v>
      </c>
      <c r="C309" t="s">
        <v>1081</v>
      </c>
      <c r="D309" t="s">
        <v>805</v>
      </c>
      <c r="E309" s="10">
        <v>36</v>
      </c>
    </row>
    <row r="310" spans="2:5" x14ac:dyDescent="0.3">
      <c r="B310" t="s">
        <v>247</v>
      </c>
      <c r="C310" t="s">
        <v>1078</v>
      </c>
      <c r="D310" t="s">
        <v>857</v>
      </c>
      <c r="E310" s="10">
        <v>36</v>
      </c>
    </row>
    <row r="311" spans="2:5" x14ac:dyDescent="0.3">
      <c r="B311" t="s">
        <v>362</v>
      </c>
      <c r="C311" t="s">
        <v>1097</v>
      </c>
      <c r="D311" t="s">
        <v>939</v>
      </c>
      <c r="E311" s="10">
        <v>36</v>
      </c>
    </row>
    <row r="312" spans="2:5" x14ac:dyDescent="0.3">
      <c r="B312" t="s">
        <v>541</v>
      </c>
      <c r="C312" t="s">
        <v>980</v>
      </c>
      <c r="D312" t="s">
        <v>825</v>
      </c>
      <c r="E312" s="10">
        <v>36</v>
      </c>
    </row>
    <row r="313" spans="2:5" x14ac:dyDescent="0.3">
      <c r="B313" t="s">
        <v>587</v>
      </c>
      <c r="C313" t="s">
        <v>1113</v>
      </c>
      <c r="D313" t="s">
        <v>842</v>
      </c>
      <c r="E313" s="10">
        <v>36</v>
      </c>
    </row>
    <row r="314" spans="2:5" x14ac:dyDescent="0.3">
      <c r="B314" t="s">
        <v>667</v>
      </c>
      <c r="C314" t="s">
        <v>1112</v>
      </c>
      <c r="D314" t="s">
        <v>874</v>
      </c>
      <c r="E314" s="10">
        <v>36</v>
      </c>
    </row>
    <row r="315" spans="2:5" x14ac:dyDescent="0.3">
      <c r="B315" t="s">
        <v>34</v>
      </c>
      <c r="C315" t="s">
        <v>1096</v>
      </c>
      <c r="D315" t="s">
        <v>939</v>
      </c>
      <c r="E315" s="10">
        <v>34</v>
      </c>
    </row>
    <row r="316" spans="2:5" x14ac:dyDescent="0.3">
      <c r="B316" t="s">
        <v>73</v>
      </c>
      <c r="C316" t="s">
        <v>1088</v>
      </c>
      <c r="D316" t="s">
        <v>857</v>
      </c>
      <c r="E316" s="10">
        <v>34</v>
      </c>
    </row>
    <row r="317" spans="2:5" x14ac:dyDescent="0.3">
      <c r="B317" t="s">
        <v>390</v>
      </c>
      <c r="C317" t="s">
        <v>1096</v>
      </c>
      <c r="D317" t="s">
        <v>827</v>
      </c>
      <c r="E317" s="10">
        <v>34</v>
      </c>
    </row>
    <row r="318" spans="2:5" x14ac:dyDescent="0.3">
      <c r="B318" t="s">
        <v>158</v>
      </c>
      <c r="C318" t="s">
        <v>1085</v>
      </c>
      <c r="D318" t="s">
        <v>901</v>
      </c>
      <c r="E318" s="10">
        <v>34</v>
      </c>
    </row>
    <row r="319" spans="2:5" x14ac:dyDescent="0.3">
      <c r="B319" t="s">
        <v>107</v>
      </c>
      <c r="C319" t="s">
        <v>1082</v>
      </c>
      <c r="D319" t="s">
        <v>822</v>
      </c>
      <c r="E319" s="10">
        <v>32</v>
      </c>
    </row>
    <row r="320" spans="2:5" x14ac:dyDescent="0.3">
      <c r="B320" t="s">
        <v>1006</v>
      </c>
      <c r="C320" t="s">
        <v>1107</v>
      </c>
      <c r="D320" t="s">
        <v>825</v>
      </c>
      <c r="E320" s="10">
        <v>32</v>
      </c>
    </row>
    <row r="321" spans="2:5" x14ac:dyDescent="0.3">
      <c r="B321" t="s">
        <v>330</v>
      </c>
      <c r="C321" t="s">
        <v>1112</v>
      </c>
      <c r="D321" t="s">
        <v>790</v>
      </c>
      <c r="E321" s="10">
        <v>32</v>
      </c>
    </row>
    <row r="322" spans="2:5" x14ac:dyDescent="0.3">
      <c r="B322" t="s">
        <v>191</v>
      </c>
      <c r="C322" t="s">
        <v>1079</v>
      </c>
      <c r="D322" t="s">
        <v>846</v>
      </c>
      <c r="E322" s="10">
        <v>32</v>
      </c>
    </row>
    <row r="323" spans="2:5" x14ac:dyDescent="0.3">
      <c r="B323" t="s">
        <v>285</v>
      </c>
      <c r="C323" t="s">
        <v>1125</v>
      </c>
      <c r="D323" t="s">
        <v>825</v>
      </c>
      <c r="E323" s="10">
        <v>32</v>
      </c>
    </row>
    <row r="324" spans="2:5" x14ac:dyDescent="0.3">
      <c r="B324" t="s">
        <v>476</v>
      </c>
      <c r="C324" t="s">
        <v>1113</v>
      </c>
      <c r="D324" t="s">
        <v>885</v>
      </c>
      <c r="E324" s="10">
        <v>32</v>
      </c>
    </row>
    <row r="325" spans="2:5" x14ac:dyDescent="0.3">
      <c r="B325" t="s">
        <v>326</v>
      </c>
      <c r="C325" t="s">
        <v>1126</v>
      </c>
      <c r="D325" t="s">
        <v>853</v>
      </c>
      <c r="E325" s="10">
        <v>32</v>
      </c>
    </row>
    <row r="326" spans="2:5" x14ac:dyDescent="0.3">
      <c r="B326" t="s">
        <v>511</v>
      </c>
      <c r="C326" t="s">
        <v>1087</v>
      </c>
      <c r="D326" t="s">
        <v>805</v>
      </c>
      <c r="E326" s="10">
        <v>32</v>
      </c>
    </row>
    <row r="327" spans="2:5" x14ac:dyDescent="0.3">
      <c r="B327" t="s">
        <v>763</v>
      </c>
      <c r="C327" t="s">
        <v>1078</v>
      </c>
      <c r="D327" t="s">
        <v>878</v>
      </c>
      <c r="E327" s="10">
        <v>32</v>
      </c>
    </row>
    <row r="328" spans="2:5" x14ac:dyDescent="0.3">
      <c r="B328" t="s">
        <v>315</v>
      </c>
      <c r="C328" t="s">
        <v>1119</v>
      </c>
      <c r="D328" t="s">
        <v>841</v>
      </c>
      <c r="E328" s="10">
        <v>32</v>
      </c>
    </row>
    <row r="329" spans="2:5" x14ac:dyDescent="0.3">
      <c r="B329" t="s">
        <v>1052</v>
      </c>
      <c r="C329" t="s">
        <v>1124</v>
      </c>
      <c r="D329" t="s">
        <v>818</v>
      </c>
      <c r="E329" s="10">
        <v>32</v>
      </c>
    </row>
    <row r="330" spans="2:5" x14ac:dyDescent="0.3">
      <c r="B330" t="s">
        <v>386</v>
      </c>
      <c r="C330" t="s">
        <v>1092</v>
      </c>
      <c r="D330" t="s">
        <v>857</v>
      </c>
      <c r="E330" s="10">
        <v>32</v>
      </c>
    </row>
    <row r="331" spans="2:5" x14ac:dyDescent="0.3">
      <c r="B331" t="s">
        <v>641</v>
      </c>
      <c r="C331" t="s">
        <v>1125</v>
      </c>
      <c r="D331" t="s">
        <v>919</v>
      </c>
      <c r="E331" s="10">
        <v>32</v>
      </c>
    </row>
    <row r="332" spans="2:5" x14ac:dyDescent="0.3">
      <c r="B332" t="s">
        <v>75</v>
      </c>
      <c r="C332" t="s">
        <v>1111</v>
      </c>
      <c r="D332" t="s">
        <v>856</v>
      </c>
      <c r="E332" s="10">
        <v>32</v>
      </c>
    </row>
    <row r="333" spans="2:5" x14ac:dyDescent="0.3">
      <c r="B333" t="s">
        <v>738</v>
      </c>
      <c r="C333" t="s">
        <v>1081</v>
      </c>
      <c r="D333" t="s">
        <v>906</v>
      </c>
      <c r="E333" s="10">
        <v>32</v>
      </c>
    </row>
    <row r="334" spans="2:5" x14ac:dyDescent="0.3">
      <c r="B334" t="s">
        <v>650</v>
      </c>
      <c r="C334" t="s">
        <v>1123</v>
      </c>
      <c r="D334" t="s">
        <v>818</v>
      </c>
      <c r="E334" s="10">
        <v>32</v>
      </c>
    </row>
    <row r="335" spans="2:5" x14ac:dyDescent="0.3">
      <c r="B335" t="s">
        <v>709</v>
      </c>
      <c r="C335" t="s">
        <v>1113</v>
      </c>
      <c r="D335" t="s">
        <v>796</v>
      </c>
      <c r="E335" s="10">
        <v>32</v>
      </c>
    </row>
    <row r="336" spans="2:5" x14ac:dyDescent="0.3">
      <c r="B336" t="s">
        <v>637</v>
      </c>
      <c r="C336" t="s">
        <v>1083</v>
      </c>
      <c r="D336" t="s">
        <v>870</v>
      </c>
      <c r="E336" s="10">
        <v>32</v>
      </c>
    </row>
    <row r="337" spans="2:5" x14ac:dyDescent="0.3">
      <c r="B337" t="s">
        <v>733</v>
      </c>
      <c r="C337" t="s">
        <v>1093</v>
      </c>
      <c r="D337" t="s">
        <v>818</v>
      </c>
      <c r="E337" s="10">
        <v>32</v>
      </c>
    </row>
    <row r="338" spans="2:5" x14ac:dyDescent="0.3">
      <c r="B338" t="s">
        <v>724</v>
      </c>
      <c r="C338" t="s">
        <v>1098</v>
      </c>
      <c r="D338" t="s">
        <v>873</v>
      </c>
      <c r="E338" s="10">
        <v>32</v>
      </c>
    </row>
    <row r="339" spans="2:5" x14ac:dyDescent="0.3">
      <c r="B339" t="s">
        <v>675</v>
      </c>
      <c r="C339" t="s">
        <v>1091</v>
      </c>
      <c r="D339" t="s">
        <v>900</v>
      </c>
      <c r="E339" s="10">
        <v>32</v>
      </c>
    </row>
    <row r="340" spans="2:5" x14ac:dyDescent="0.3">
      <c r="B340" t="s">
        <v>172</v>
      </c>
      <c r="C340" t="s">
        <v>1102</v>
      </c>
      <c r="D340" t="s">
        <v>852</v>
      </c>
      <c r="E340" s="10">
        <v>32</v>
      </c>
    </row>
    <row r="341" spans="2:5" x14ac:dyDescent="0.3">
      <c r="B341" t="s">
        <v>563</v>
      </c>
      <c r="C341" t="s">
        <v>1086</v>
      </c>
      <c r="D341" t="s">
        <v>860</v>
      </c>
      <c r="E341" s="10">
        <v>32</v>
      </c>
    </row>
    <row r="342" spans="2:5" x14ac:dyDescent="0.3">
      <c r="B342" t="s">
        <v>936</v>
      </c>
      <c r="C342" t="s">
        <v>1109</v>
      </c>
      <c r="D342" t="s">
        <v>926</v>
      </c>
      <c r="E342" s="10">
        <v>32</v>
      </c>
    </row>
    <row r="343" spans="2:5" x14ac:dyDescent="0.3">
      <c r="B343" t="s">
        <v>228</v>
      </c>
      <c r="C343" t="s">
        <v>1096</v>
      </c>
      <c r="D343" t="s">
        <v>846</v>
      </c>
      <c r="E343" s="10">
        <v>32</v>
      </c>
    </row>
    <row r="344" spans="2:5" x14ac:dyDescent="0.3">
      <c r="B344" t="s">
        <v>48</v>
      </c>
      <c r="C344" t="s">
        <v>1080</v>
      </c>
      <c r="D344" t="s">
        <v>801</v>
      </c>
      <c r="E344" s="10">
        <v>32</v>
      </c>
    </row>
    <row r="345" spans="2:5" x14ac:dyDescent="0.3">
      <c r="B345" t="s">
        <v>281</v>
      </c>
      <c r="C345" t="s">
        <v>1089</v>
      </c>
      <c r="D345" t="s">
        <v>834</v>
      </c>
      <c r="E345" s="10">
        <v>32</v>
      </c>
    </row>
    <row r="346" spans="2:5" x14ac:dyDescent="0.3">
      <c r="B346" t="s">
        <v>554</v>
      </c>
      <c r="C346" t="s">
        <v>1115</v>
      </c>
      <c r="D346" t="s">
        <v>915</v>
      </c>
      <c r="E346" s="10">
        <v>32</v>
      </c>
    </row>
    <row r="347" spans="2:5" x14ac:dyDescent="0.3">
      <c r="B347" t="s">
        <v>498</v>
      </c>
      <c r="C347" t="s">
        <v>1078</v>
      </c>
      <c r="D347" t="s">
        <v>880</v>
      </c>
      <c r="E347" s="10">
        <v>32</v>
      </c>
    </row>
    <row r="348" spans="2:5" x14ac:dyDescent="0.3">
      <c r="B348" t="s">
        <v>335</v>
      </c>
      <c r="C348" t="s">
        <v>1086</v>
      </c>
      <c r="D348" t="s">
        <v>810</v>
      </c>
      <c r="E348" s="10">
        <v>32</v>
      </c>
    </row>
    <row r="349" spans="2:5" x14ac:dyDescent="0.3">
      <c r="B349" t="s">
        <v>441</v>
      </c>
      <c r="C349" t="s">
        <v>1108</v>
      </c>
      <c r="D349" t="s">
        <v>846</v>
      </c>
      <c r="E349" s="10">
        <v>32</v>
      </c>
    </row>
    <row r="350" spans="2:5" x14ac:dyDescent="0.3">
      <c r="B350" t="s">
        <v>677</v>
      </c>
      <c r="C350" t="s">
        <v>1113</v>
      </c>
      <c r="D350" t="s">
        <v>895</v>
      </c>
      <c r="E350" s="10">
        <v>32</v>
      </c>
    </row>
    <row r="351" spans="2:5" x14ac:dyDescent="0.3">
      <c r="B351" t="s">
        <v>978</v>
      </c>
      <c r="C351" t="s">
        <v>1109</v>
      </c>
      <c r="D351" t="s">
        <v>857</v>
      </c>
      <c r="E351" s="10">
        <v>32</v>
      </c>
    </row>
    <row r="352" spans="2:5" x14ac:dyDescent="0.3">
      <c r="B352" t="s">
        <v>513</v>
      </c>
      <c r="C352" t="s">
        <v>1100</v>
      </c>
      <c r="D352" t="s">
        <v>895</v>
      </c>
      <c r="E352" s="10">
        <v>32</v>
      </c>
    </row>
    <row r="353" spans="2:5" x14ac:dyDescent="0.3">
      <c r="B353" t="s">
        <v>622</v>
      </c>
      <c r="C353" t="s">
        <v>1123</v>
      </c>
      <c r="D353" t="s">
        <v>873</v>
      </c>
      <c r="E353" s="10">
        <v>32</v>
      </c>
    </row>
    <row r="354" spans="2:5" x14ac:dyDescent="0.3">
      <c r="B354" t="s">
        <v>642</v>
      </c>
      <c r="C354" t="s">
        <v>1077</v>
      </c>
      <c r="D354" t="s">
        <v>790</v>
      </c>
      <c r="E354" s="10">
        <v>32</v>
      </c>
    </row>
    <row r="355" spans="2:5" x14ac:dyDescent="0.3">
      <c r="B355" t="s">
        <v>664</v>
      </c>
      <c r="C355" t="s">
        <v>1103</v>
      </c>
      <c r="D355" t="s">
        <v>895</v>
      </c>
      <c r="E355" s="10">
        <v>32</v>
      </c>
    </row>
    <row r="356" spans="2:5" x14ac:dyDescent="0.3">
      <c r="B356" t="s">
        <v>329</v>
      </c>
      <c r="C356" t="s">
        <v>1105</v>
      </c>
      <c r="D356" t="s">
        <v>856</v>
      </c>
      <c r="E356" s="10">
        <v>32</v>
      </c>
    </row>
    <row r="357" spans="2:5" x14ac:dyDescent="0.3">
      <c r="B357" t="s">
        <v>958</v>
      </c>
      <c r="C357" t="s">
        <v>1085</v>
      </c>
      <c r="D357" t="s">
        <v>883</v>
      </c>
      <c r="E357" s="10">
        <v>32</v>
      </c>
    </row>
    <row r="358" spans="2:5" x14ac:dyDescent="0.3">
      <c r="B358" t="s">
        <v>345</v>
      </c>
      <c r="C358" t="s">
        <v>1100</v>
      </c>
      <c r="D358" t="s">
        <v>837</v>
      </c>
      <c r="E358" s="10">
        <v>32</v>
      </c>
    </row>
    <row r="359" spans="2:5" x14ac:dyDescent="0.3">
      <c r="B359" t="s">
        <v>635</v>
      </c>
      <c r="C359" t="s">
        <v>1114</v>
      </c>
      <c r="D359" t="s">
        <v>883</v>
      </c>
      <c r="E359" s="10">
        <v>32</v>
      </c>
    </row>
    <row r="360" spans="2:5" x14ac:dyDescent="0.3">
      <c r="B360" t="s">
        <v>560</v>
      </c>
      <c r="C360" t="s">
        <v>1108</v>
      </c>
      <c r="D360" t="s">
        <v>827</v>
      </c>
      <c r="E360" s="10">
        <v>32</v>
      </c>
    </row>
    <row r="361" spans="2:5" x14ac:dyDescent="0.3">
      <c r="B361" t="s">
        <v>152</v>
      </c>
      <c r="C361" t="s">
        <v>1099</v>
      </c>
      <c r="D361" t="s">
        <v>864</v>
      </c>
      <c r="E361" s="10">
        <v>32</v>
      </c>
    </row>
    <row r="362" spans="2:5" x14ac:dyDescent="0.3">
      <c r="B362" t="s">
        <v>339</v>
      </c>
      <c r="C362" t="s">
        <v>1082</v>
      </c>
      <c r="D362" t="s">
        <v>834</v>
      </c>
      <c r="E362" s="10">
        <v>32</v>
      </c>
    </row>
    <row r="363" spans="2:5" x14ac:dyDescent="0.3">
      <c r="B363" t="s">
        <v>414</v>
      </c>
      <c r="C363" t="s">
        <v>1108</v>
      </c>
      <c r="D363" t="s">
        <v>881</v>
      </c>
      <c r="E363" s="10">
        <v>32</v>
      </c>
    </row>
    <row r="364" spans="2:5" x14ac:dyDescent="0.3">
      <c r="B364" t="s">
        <v>691</v>
      </c>
      <c r="C364" t="s">
        <v>1110</v>
      </c>
      <c r="D364" t="s">
        <v>810</v>
      </c>
      <c r="E364" s="10">
        <v>32</v>
      </c>
    </row>
    <row r="365" spans="2:5" x14ac:dyDescent="0.3">
      <c r="B365" t="s">
        <v>443</v>
      </c>
      <c r="C365" t="s">
        <v>1087</v>
      </c>
      <c r="D365" t="s">
        <v>874</v>
      </c>
      <c r="E365" s="10">
        <v>32</v>
      </c>
    </row>
    <row r="366" spans="2:5" x14ac:dyDescent="0.3">
      <c r="B366" t="s">
        <v>621</v>
      </c>
      <c r="C366" t="s">
        <v>1099</v>
      </c>
      <c r="D366" t="s">
        <v>874</v>
      </c>
      <c r="E366" s="10">
        <v>32</v>
      </c>
    </row>
    <row r="367" spans="2:5" x14ac:dyDescent="0.3">
      <c r="B367" t="s">
        <v>715</v>
      </c>
      <c r="C367" t="s">
        <v>1084</v>
      </c>
      <c r="D367" t="s">
        <v>881</v>
      </c>
      <c r="E367" s="10">
        <v>32</v>
      </c>
    </row>
    <row r="368" spans="2:5" x14ac:dyDescent="0.3">
      <c r="B368" t="s">
        <v>747</v>
      </c>
      <c r="C368" t="s">
        <v>1107</v>
      </c>
      <c r="D368" t="s">
        <v>827</v>
      </c>
      <c r="E368" s="10">
        <v>32</v>
      </c>
    </row>
    <row r="369" spans="2:5" x14ac:dyDescent="0.3">
      <c r="B369" t="s">
        <v>722</v>
      </c>
      <c r="C369" t="s">
        <v>1095</v>
      </c>
      <c r="D369" t="s">
        <v>860</v>
      </c>
      <c r="E369" s="10">
        <v>32</v>
      </c>
    </row>
    <row r="370" spans="2:5" x14ac:dyDescent="0.3">
      <c r="B370" t="s">
        <v>215</v>
      </c>
      <c r="C370" t="s">
        <v>1115</v>
      </c>
      <c r="D370" t="s">
        <v>926</v>
      </c>
      <c r="E370" s="10">
        <v>30</v>
      </c>
    </row>
    <row r="371" spans="2:5" x14ac:dyDescent="0.3">
      <c r="B371" t="s">
        <v>633</v>
      </c>
      <c r="C371" t="s">
        <v>1087</v>
      </c>
      <c r="D371" t="s">
        <v>829</v>
      </c>
      <c r="E371" s="10">
        <v>30</v>
      </c>
    </row>
    <row r="372" spans="2:5" x14ac:dyDescent="0.3">
      <c r="B372" t="s">
        <v>207</v>
      </c>
      <c r="C372" t="s">
        <v>1122</v>
      </c>
      <c r="D372" t="s">
        <v>822</v>
      </c>
      <c r="E372" s="10">
        <v>30</v>
      </c>
    </row>
    <row r="373" spans="2:5" x14ac:dyDescent="0.3">
      <c r="B373" t="s">
        <v>676</v>
      </c>
      <c r="C373" t="s">
        <v>1119</v>
      </c>
      <c r="D373" t="s">
        <v>818</v>
      </c>
      <c r="E373" s="10">
        <v>30</v>
      </c>
    </row>
    <row r="374" spans="2:5" x14ac:dyDescent="0.3">
      <c r="B374" t="s">
        <v>289</v>
      </c>
      <c r="C374" t="s">
        <v>1114</v>
      </c>
      <c r="D374" t="s">
        <v>915</v>
      </c>
      <c r="E374" s="10">
        <v>30</v>
      </c>
    </row>
    <row r="375" spans="2:5" x14ac:dyDescent="0.3">
      <c r="B375" t="s">
        <v>378</v>
      </c>
      <c r="C375" t="s">
        <v>1098</v>
      </c>
      <c r="D375" t="s">
        <v>876</v>
      </c>
      <c r="E375" s="10">
        <v>30</v>
      </c>
    </row>
    <row r="376" spans="2:5" x14ac:dyDescent="0.3">
      <c r="B376" t="s">
        <v>203</v>
      </c>
      <c r="C376" t="s">
        <v>1110</v>
      </c>
      <c r="D376" t="s">
        <v>790</v>
      </c>
      <c r="E376" s="10">
        <v>30</v>
      </c>
    </row>
    <row r="377" spans="2:5" x14ac:dyDescent="0.3">
      <c r="B377" t="s">
        <v>693</v>
      </c>
      <c r="C377" t="s">
        <v>1113</v>
      </c>
      <c r="D377" t="s">
        <v>901</v>
      </c>
      <c r="E377" s="10">
        <v>30</v>
      </c>
    </row>
    <row r="378" spans="2:5" x14ac:dyDescent="0.3">
      <c r="B378" t="s">
        <v>850</v>
      </c>
      <c r="C378" t="s">
        <v>1093</v>
      </c>
      <c r="D378" t="s">
        <v>852</v>
      </c>
      <c r="E378" s="10">
        <v>30</v>
      </c>
    </row>
    <row r="379" spans="2:5" x14ac:dyDescent="0.3">
      <c r="B379" t="s">
        <v>212</v>
      </c>
      <c r="C379" t="s">
        <v>1091</v>
      </c>
      <c r="D379" t="s">
        <v>828</v>
      </c>
      <c r="E379" s="10">
        <v>28</v>
      </c>
    </row>
    <row r="380" spans="2:5" x14ac:dyDescent="0.3">
      <c r="B380" t="s">
        <v>449</v>
      </c>
      <c r="C380" t="s">
        <v>1103</v>
      </c>
      <c r="D380" t="s">
        <v>939</v>
      </c>
      <c r="E380" s="10">
        <v>28</v>
      </c>
    </row>
    <row r="381" spans="2:5" x14ac:dyDescent="0.3">
      <c r="B381" t="s">
        <v>221</v>
      </c>
      <c r="C381" t="s">
        <v>1113</v>
      </c>
      <c r="D381" t="s">
        <v>893</v>
      </c>
      <c r="E381" s="10">
        <v>28</v>
      </c>
    </row>
    <row r="382" spans="2:5" x14ac:dyDescent="0.3">
      <c r="B382" t="s">
        <v>594</v>
      </c>
      <c r="C382" t="s">
        <v>1089</v>
      </c>
      <c r="D382" t="s">
        <v>874</v>
      </c>
      <c r="E382" s="10">
        <v>28</v>
      </c>
    </row>
    <row r="383" spans="2:5" x14ac:dyDescent="0.3">
      <c r="B383" t="s">
        <v>547</v>
      </c>
      <c r="C383" t="s">
        <v>1083</v>
      </c>
      <c r="D383" t="s">
        <v>915</v>
      </c>
      <c r="E383" s="10">
        <v>28</v>
      </c>
    </row>
    <row r="384" spans="2:5" x14ac:dyDescent="0.3">
      <c r="B384" t="s">
        <v>562</v>
      </c>
      <c r="C384" t="s">
        <v>1104</v>
      </c>
      <c r="D384" t="s">
        <v>834</v>
      </c>
      <c r="E384" s="10">
        <v>28</v>
      </c>
    </row>
    <row r="385" spans="2:5" x14ac:dyDescent="0.3">
      <c r="B385" t="s">
        <v>286</v>
      </c>
      <c r="C385" t="s">
        <v>1104</v>
      </c>
      <c r="D385" t="s">
        <v>837</v>
      </c>
      <c r="E385" s="10">
        <v>28</v>
      </c>
    </row>
    <row r="386" spans="2:5" x14ac:dyDescent="0.3">
      <c r="B386" t="s">
        <v>537</v>
      </c>
      <c r="C386" t="s">
        <v>1108</v>
      </c>
      <c r="D386" t="s">
        <v>926</v>
      </c>
      <c r="E386" s="10">
        <v>28</v>
      </c>
    </row>
    <row r="387" spans="2:5" x14ac:dyDescent="0.3">
      <c r="B387" t="s">
        <v>344</v>
      </c>
      <c r="C387" t="s">
        <v>1077</v>
      </c>
      <c r="D387" t="s">
        <v>822</v>
      </c>
      <c r="E387" s="10">
        <v>28</v>
      </c>
    </row>
    <row r="388" spans="2:5" x14ac:dyDescent="0.3">
      <c r="B388" t="s">
        <v>500</v>
      </c>
      <c r="C388" t="s">
        <v>1105</v>
      </c>
      <c r="D388" t="s">
        <v>919</v>
      </c>
      <c r="E388" s="10">
        <v>28</v>
      </c>
    </row>
    <row r="389" spans="2:5" x14ac:dyDescent="0.3">
      <c r="B389" t="s">
        <v>127</v>
      </c>
      <c r="C389" t="s">
        <v>1119</v>
      </c>
      <c r="D389" t="s">
        <v>895</v>
      </c>
      <c r="E389" s="10">
        <v>28</v>
      </c>
    </row>
    <row r="390" spans="2:5" x14ac:dyDescent="0.3">
      <c r="B390" t="s">
        <v>359</v>
      </c>
      <c r="C390" t="s">
        <v>1096</v>
      </c>
      <c r="D390" t="s">
        <v>888</v>
      </c>
      <c r="E390" s="10">
        <v>28</v>
      </c>
    </row>
    <row r="391" spans="2:5" x14ac:dyDescent="0.3">
      <c r="B391" t="s">
        <v>486</v>
      </c>
      <c r="C391" t="s">
        <v>1102</v>
      </c>
      <c r="D391" t="s">
        <v>852</v>
      </c>
      <c r="E391" s="10">
        <v>28</v>
      </c>
    </row>
    <row r="392" spans="2:5" x14ac:dyDescent="0.3">
      <c r="B392" t="s">
        <v>861</v>
      </c>
      <c r="C392" t="s">
        <v>1096</v>
      </c>
      <c r="D392" t="s">
        <v>834</v>
      </c>
      <c r="E392" s="10">
        <v>28</v>
      </c>
    </row>
    <row r="393" spans="2:5" x14ac:dyDescent="0.3">
      <c r="B393" t="s">
        <v>197</v>
      </c>
      <c r="C393" t="s">
        <v>1085</v>
      </c>
      <c r="D393" t="s">
        <v>885</v>
      </c>
      <c r="E393" s="10">
        <v>28</v>
      </c>
    </row>
    <row r="394" spans="2:5" x14ac:dyDescent="0.3">
      <c r="B394" t="s">
        <v>602</v>
      </c>
      <c r="C394" t="s">
        <v>1081</v>
      </c>
      <c r="D394" t="s">
        <v>870</v>
      </c>
      <c r="E394" s="10">
        <v>28</v>
      </c>
    </row>
    <row r="395" spans="2:5" x14ac:dyDescent="0.3">
      <c r="B395" t="s">
        <v>884</v>
      </c>
      <c r="C395" t="s">
        <v>1094</v>
      </c>
      <c r="D395" t="s">
        <v>885</v>
      </c>
      <c r="E395" s="10">
        <v>28</v>
      </c>
    </row>
    <row r="396" spans="2:5" x14ac:dyDescent="0.3">
      <c r="B396" t="s">
        <v>463</v>
      </c>
      <c r="C396" t="s">
        <v>1091</v>
      </c>
      <c r="D396" t="s">
        <v>790</v>
      </c>
      <c r="E396" s="10">
        <v>28</v>
      </c>
    </row>
    <row r="397" spans="2:5" x14ac:dyDescent="0.3">
      <c r="B397" t="s">
        <v>596</v>
      </c>
      <c r="C397" t="s">
        <v>1121</v>
      </c>
      <c r="D397" t="s">
        <v>828</v>
      </c>
      <c r="E397" s="10">
        <v>28</v>
      </c>
    </row>
    <row r="398" spans="2:5" x14ac:dyDescent="0.3">
      <c r="B398" t="s">
        <v>767</v>
      </c>
      <c r="C398" t="s">
        <v>1081</v>
      </c>
      <c r="D398" t="s">
        <v>906</v>
      </c>
      <c r="E398" s="10">
        <v>26</v>
      </c>
    </row>
    <row r="399" spans="2:5" x14ac:dyDescent="0.3">
      <c r="B399" t="s">
        <v>167</v>
      </c>
      <c r="C399" t="s">
        <v>1118</v>
      </c>
      <c r="D399" t="s">
        <v>837</v>
      </c>
      <c r="E399" s="10">
        <v>26</v>
      </c>
    </row>
    <row r="400" spans="2:5" x14ac:dyDescent="0.3">
      <c r="B400" t="s">
        <v>502</v>
      </c>
      <c r="C400" t="s">
        <v>1119</v>
      </c>
      <c r="D400" t="s">
        <v>870</v>
      </c>
      <c r="E400" s="10">
        <v>26</v>
      </c>
    </row>
    <row r="401" spans="2:5" x14ac:dyDescent="0.3">
      <c r="B401" t="s">
        <v>209</v>
      </c>
      <c r="C401" t="s">
        <v>1116</v>
      </c>
      <c r="D401" t="s">
        <v>939</v>
      </c>
      <c r="E401" s="10">
        <v>26</v>
      </c>
    </row>
    <row r="402" spans="2:5" x14ac:dyDescent="0.3">
      <c r="B402" t="s">
        <v>521</v>
      </c>
      <c r="C402" t="s">
        <v>1108</v>
      </c>
      <c r="D402" t="s">
        <v>878</v>
      </c>
      <c r="E402" s="10">
        <v>26</v>
      </c>
    </row>
    <row r="403" spans="2:5" x14ac:dyDescent="0.3">
      <c r="B403" t="s">
        <v>319</v>
      </c>
      <c r="C403" t="s">
        <v>1094</v>
      </c>
      <c r="D403" t="s">
        <v>822</v>
      </c>
      <c r="E403" s="10">
        <v>26</v>
      </c>
    </row>
    <row r="404" spans="2:5" x14ac:dyDescent="0.3">
      <c r="B404" t="s">
        <v>593</v>
      </c>
      <c r="C404" t="s">
        <v>1086</v>
      </c>
      <c r="D404" t="s">
        <v>876</v>
      </c>
      <c r="E404" s="10">
        <v>26</v>
      </c>
    </row>
    <row r="405" spans="2:5" x14ac:dyDescent="0.3">
      <c r="B405" t="s">
        <v>58</v>
      </c>
      <c r="C405" t="s">
        <v>1095</v>
      </c>
      <c r="D405" t="s">
        <v>876</v>
      </c>
      <c r="E405" s="10">
        <v>26</v>
      </c>
    </row>
    <row r="406" spans="2:5" x14ac:dyDescent="0.3">
      <c r="B406" t="s">
        <v>657</v>
      </c>
      <c r="C406" t="s">
        <v>1106</v>
      </c>
      <c r="D406" t="s">
        <v>805</v>
      </c>
      <c r="E406" s="10">
        <v>26</v>
      </c>
    </row>
    <row r="407" spans="2:5" x14ac:dyDescent="0.3">
      <c r="B407" t="s">
        <v>448</v>
      </c>
      <c r="C407" t="s">
        <v>1088</v>
      </c>
      <c r="D407" t="s">
        <v>906</v>
      </c>
      <c r="E407" s="10">
        <v>26</v>
      </c>
    </row>
    <row r="408" spans="2:5" x14ac:dyDescent="0.3">
      <c r="B408" t="s">
        <v>181</v>
      </c>
      <c r="C408" t="s">
        <v>1080</v>
      </c>
      <c r="D408" t="s">
        <v>853</v>
      </c>
      <c r="E408" s="10">
        <v>26</v>
      </c>
    </row>
    <row r="409" spans="2:5" x14ac:dyDescent="0.3">
      <c r="B409" t="s">
        <v>208</v>
      </c>
      <c r="C409" t="s">
        <v>1105</v>
      </c>
      <c r="D409" t="s">
        <v>818</v>
      </c>
      <c r="E409" s="10">
        <v>24</v>
      </c>
    </row>
    <row r="410" spans="2:5" x14ac:dyDescent="0.3">
      <c r="B410" t="s">
        <v>368</v>
      </c>
      <c r="C410" t="s">
        <v>1077</v>
      </c>
      <c r="D410" t="s">
        <v>818</v>
      </c>
      <c r="E410" s="10">
        <v>24</v>
      </c>
    </row>
    <row r="411" spans="2:5" x14ac:dyDescent="0.3">
      <c r="B411" t="s">
        <v>363</v>
      </c>
      <c r="C411" t="s">
        <v>1106</v>
      </c>
      <c r="D411" t="s">
        <v>874</v>
      </c>
      <c r="E411" s="10">
        <v>24</v>
      </c>
    </row>
    <row r="412" spans="2:5" x14ac:dyDescent="0.3">
      <c r="B412" t="s">
        <v>356</v>
      </c>
      <c r="C412" t="s">
        <v>1096</v>
      </c>
      <c r="D412" t="s">
        <v>919</v>
      </c>
      <c r="E412" s="10">
        <v>24</v>
      </c>
    </row>
    <row r="413" spans="2:5" x14ac:dyDescent="0.3">
      <c r="B413" t="s">
        <v>1044</v>
      </c>
      <c r="C413" t="s">
        <v>1091</v>
      </c>
      <c r="D413" t="s">
        <v>837</v>
      </c>
      <c r="E413" s="10">
        <v>24</v>
      </c>
    </row>
    <row r="414" spans="2:5" x14ac:dyDescent="0.3">
      <c r="B414" t="s">
        <v>273</v>
      </c>
      <c r="C414" t="s">
        <v>1115</v>
      </c>
      <c r="D414" t="s">
        <v>874</v>
      </c>
      <c r="E414" s="10">
        <v>24</v>
      </c>
    </row>
    <row r="415" spans="2:5" x14ac:dyDescent="0.3">
      <c r="B415" t="s">
        <v>1020</v>
      </c>
      <c r="C415" t="s">
        <v>1112</v>
      </c>
      <c r="D415" t="s">
        <v>893</v>
      </c>
      <c r="E415" s="10">
        <v>24</v>
      </c>
    </row>
    <row r="416" spans="2:5" x14ac:dyDescent="0.3">
      <c r="B416" t="s">
        <v>425</v>
      </c>
      <c r="C416" t="s">
        <v>1113</v>
      </c>
      <c r="D416" t="s">
        <v>860</v>
      </c>
      <c r="E416" s="10">
        <v>24</v>
      </c>
    </row>
    <row r="417" spans="2:5" x14ac:dyDescent="0.3">
      <c r="B417" t="s">
        <v>333</v>
      </c>
      <c r="C417" t="s">
        <v>1119</v>
      </c>
      <c r="D417" t="s">
        <v>842</v>
      </c>
      <c r="E417" s="10">
        <v>24</v>
      </c>
    </row>
    <row r="418" spans="2:5" x14ac:dyDescent="0.3">
      <c r="B418" t="s">
        <v>717</v>
      </c>
      <c r="C418" t="s">
        <v>1118</v>
      </c>
      <c r="D418" t="s">
        <v>883</v>
      </c>
      <c r="E418" s="10">
        <v>24</v>
      </c>
    </row>
    <row r="419" spans="2:5" x14ac:dyDescent="0.3">
      <c r="B419" t="s">
        <v>384</v>
      </c>
      <c r="C419" t="s">
        <v>1086</v>
      </c>
      <c r="D419" t="s">
        <v>918</v>
      </c>
      <c r="E419" s="10">
        <v>24</v>
      </c>
    </row>
    <row r="420" spans="2:5" x14ac:dyDescent="0.3">
      <c r="B420" t="s">
        <v>85</v>
      </c>
      <c r="C420" t="s">
        <v>1091</v>
      </c>
      <c r="D420" t="s">
        <v>870</v>
      </c>
      <c r="E420" s="10">
        <v>24</v>
      </c>
    </row>
    <row r="421" spans="2:5" x14ac:dyDescent="0.3">
      <c r="B421" t="s">
        <v>776</v>
      </c>
      <c r="C421" t="s">
        <v>1116</v>
      </c>
      <c r="D421" t="s">
        <v>827</v>
      </c>
      <c r="E421" s="10">
        <v>24</v>
      </c>
    </row>
    <row r="422" spans="2:5" x14ac:dyDescent="0.3">
      <c r="B422" t="s">
        <v>254</v>
      </c>
      <c r="C422" t="s">
        <v>1114</v>
      </c>
      <c r="D422" t="s">
        <v>837</v>
      </c>
      <c r="E422" s="10">
        <v>24</v>
      </c>
    </row>
    <row r="423" spans="2:5" x14ac:dyDescent="0.3">
      <c r="B423" t="s">
        <v>275</v>
      </c>
      <c r="C423" t="s">
        <v>1116</v>
      </c>
      <c r="D423" t="s">
        <v>919</v>
      </c>
      <c r="E423" s="10">
        <v>24</v>
      </c>
    </row>
    <row r="424" spans="2:5" x14ac:dyDescent="0.3">
      <c r="B424" t="s">
        <v>194</v>
      </c>
      <c r="C424" t="s">
        <v>1089</v>
      </c>
      <c r="D424" t="s">
        <v>810</v>
      </c>
      <c r="E424" s="10">
        <v>24</v>
      </c>
    </row>
    <row r="425" spans="2:5" x14ac:dyDescent="0.3">
      <c r="B425" t="s">
        <v>457</v>
      </c>
      <c r="C425" t="s">
        <v>1110</v>
      </c>
      <c r="D425" t="s">
        <v>888</v>
      </c>
      <c r="E425" s="10">
        <v>24</v>
      </c>
    </row>
    <row r="426" spans="2:5" x14ac:dyDescent="0.3">
      <c r="B426" t="s">
        <v>665</v>
      </c>
      <c r="C426" t="s">
        <v>1095</v>
      </c>
      <c r="D426" t="s">
        <v>827</v>
      </c>
      <c r="E426" s="10">
        <v>24</v>
      </c>
    </row>
    <row r="427" spans="2:5" x14ac:dyDescent="0.3">
      <c r="B427" t="s">
        <v>216</v>
      </c>
      <c r="C427" t="s">
        <v>1090</v>
      </c>
      <c r="D427" t="s">
        <v>837</v>
      </c>
      <c r="E427" s="10">
        <v>24</v>
      </c>
    </row>
    <row r="428" spans="2:5" x14ac:dyDescent="0.3">
      <c r="B428" t="s">
        <v>482</v>
      </c>
      <c r="C428" t="s">
        <v>1097</v>
      </c>
      <c r="D428" t="s">
        <v>883</v>
      </c>
      <c r="E428" s="10">
        <v>24</v>
      </c>
    </row>
    <row r="429" spans="2:5" x14ac:dyDescent="0.3">
      <c r="B429" t="s">
        <v>589</v>
      </c>
      <c r="C429" t="s">
        <v>1117</v>
      </c>
      <c r="D429" t="s">
        <v>801</v>
      </c>
      <c r="E429" s="10">
        <v>24</v>
      </c>
    </row>
    <row r="430" spans="2:5" x14ac:dyDescent="0.3">
      <c r="B430" t="s">
        <v>571</v>
      </c>
      <c r="C430" t="s">
        <v>1082</v>
      </c>
      <c r="D430" t="s">
        <v>805</v>
      </c>
      <c r="E430" s="10">
        <v>24</v>
      </c>
    </row>
    <row r="431" spans="2:5" x14ac:dyDescent="0.3">
      <c r="B431" t="s">
        <v>954</v>
      </c>
      <c r="C431" t="s">
        <v>1115</v>
      </c>
      <c r="D431" t="s">
        <v>893</v>
      </c>
      <c r="E431" s="10">
        <v>24</v>
      </c>
    </row>
    <row r="432" spans="2:5" x14ac:dyDescent="0.3">
      <c r="B432" t="s">
        <v>102</v>
      </c>
      <c r="C432" t="s">
        <v>1105</v>
      </c>
      <c r="D432" t="s">
        <v>914</v>
      </c>
      <c r="E432" s="10">
        <v>24</v>
      </c>
    </row>
    <row r="433" spans="2:5" x14ac:dyDescent="0.3">
      <c r="B433" t="s">
        <v>620</v>
      </c>
      <c r="C433" t="s">
        <v>1083</v>
      </c>
      <c r="D433" t="s">
        <v>828</v>
      </c>
      <c r="E433" s="10">
        <v>24</v>
      </c>
    </row>
    <row r="434" spans="2:5" x14ac:dyDescent="0.3">
      <c r="B434" t="s">
        <v>25</v>
      </c>
      <c r="C434" t="s">
        <v>1093</v>
      </c>
      <c r="D434" t="s">
        <v>816</v>
      </c>
      <c r="E434" s="10">
        <v>24</v>
      </c>
    </row>
    <row r="435" spans="2:5" x14ac:dyDescent="0.3">
      <c r="B435" t="s">
        <v>493</v>
      </c>
      <c r="C435" t="s">
        <v>1093</v>
      </c>
      <c r="D435" t="s">
        <v>876</v>
      </c>
      <c r="E435" s="10">
        <v>24</v>
      </c>
    </row>
    <row r="436" spans="2:5" x14ac:dyDescent="0.3">
      <c r="B436" t="s">
        <v>694</v>
      </c>
      <c r="C436" t="s">
        <v>1099</v>
      </c>
      <c r="D436" t="s">
        <v>828</v>
      </c>
      <c r="E436" s="10">
        <v>24</v>
      </c>
    </row>
    <row r="437" spans="2:5" x14ac:dyDescent="0.3">
      <c r="B437" t="s">
        <v>959</v>
      </c>
      <c r="C437" t="s">
        <v>1117</v>
      </c>
      <c r="D437" t="s">
        <v>853</v>
      </c>
      <c r="E437" s="10">
        <v>24</v>
      </c>
    </row>
    <row r="438" spans="2:5" x14ac:dyDescent="0.3">
      <c r="B438" t="s">
        <v>234</v>
      </c>
      <c r="C438" t="s">
        <v>1108</v>
      </c>
      <c r="D438" t="s">
        <v>893</v>
      </c>
      <c r="E438" s="10">
        <v>24</v>
      </c>
    </row>
    <row r="439" spans="2:5" x14ac:dyDescent="0.3">
      <c r="B439" t="s">
        <v>729</v>
      </c>
      <c r="C439" t="s">
        <v>1083</v>
      </c>
      <c r="D439" t="s">
        <v>915</v>
      </c>
      <c r="E439" s="10">
        <v>24</v>
      </c>
    </row>
    <row r="440" spans="2:5" x14ac:dyDescent="0.3">
      <c r="B440" t="s">
        <v>308</v>
      </c>
      <c r="C440" t="s">
        <v>1114</v>
      </c>
      <c r="D440" t="s">
        <v>828</v>
      </c>
      <c r="E440" s="10">
        <v>24</v>
      </c>
    </row>
    <row r="441" spans="2:5" x14ac:dyDescent="0.3">
      <c r="B441" t="s">
        <v>189</v>
      </c>
      <c r="C441" t="s">
        <v>1097</v>
      </c>
      <c r="D441" t="s">
        <v>864</v>
      </c>
      <c r="E441" s="10">
        <v>24</v>
      </c>
    </row>
    <row r="442" spans="2:5" x14ac:dyDescent="0.3">
      <c r="B442" t="s">
        <v>649</v>
      </c>
      <c r="C442" t="s">
        <v>1082</v>
      </c>
      <c r="D442" t="s">
        <v>932</v>
      </c>
      <c r="E442" s="10">
        <v>24</v>
      </c>
    </row>
    <row r="443" spans="2:5" x14ac:dyDescent="0.3">
      <c r="B443" t="s">
        <v>477</v>
      </c>
      <c r="C443" t="s">
        <v>1093</v>
      </c>
      <c r="D443" t="s">
        <v>876</v>
      </c>
      <c r="E443" s="10">
        <v>24</v>
      </c>
    </row>
    <row r="444" spans="2:5" x14ac:dyDescent="0.3">
      <c r="B444" t="s">
        <v>582</v>
      </c>
      <c r="C444" t="s">
        <v>1092</v>
      </c>
      <c r="D444" t="s">
        <v>939</v>
      </c>
      <c r="E444" s="10">
        <v>24</v>
      </c>
    </row>
    <row r="445" spans="2:5" x14ac:dyDescent="0.3">
      <c r="B445" t="s">
        <v>721</v>
      </c>
      <c r="C445" t="s">
        <v>1096</v>
      </c>
      <c r="D445" t="s">
        <v>816</v>
      </c>
      <c r="E445" s="10">
        <v>24</v>
      </c>
    </row>
    <row r="446" spans="2:5" x14ac:dyDescent="0.3">
      <c r="B446" t="s">
        <v>555</v>
      </c>
      <c r="C446" t="s">
        <v>1103</v>
      </c>
      <c r="D446" t="s">
        <v>805</v>
      </c>
      <c r="E446" s="10">
        <v>24</v>
      </c>
    </row>
    <row r="447" spans="2:5" x14ac:dyDescent="0.3">
      <c r="B447" t="s">
        <v>626</v>
      </c>
      <c r="C447" t="s">
        <v>1105</v>
      </c>
      <c r="D447" t="s">
        <v>914</v>
      </c>
      <c r="E447" s="10">
        <v>24</v>
      </c>
    </row>
    <row r="448" spans="2:5" x14ac:dyDescent="0.3">
      <c r="B448" t="s">
        <v>327</v>
      </c>
      <c r="C448" t="s">
        <v>1110</v>
      </c>
      <c r="D448" t="s">
        <v>881</v>
      </c>
      <c r="E448" s="10">
        <v>22</v>
      </c>
    </row>
    <row r="449" spans="2:5" x14ac:dyDescent="0.3">
      <c r="B449" t="s">
        <v>134</v>
      </c>
      <c r="C449" t="s">
        <v>1099</v>
      </c>
      <c r="D449" t="s">
        <v>834</v>
      </c>
      <c r="E449" s="10">
        <v>20</v>
      </c>
    </row>
    <row r="450" spans="2:5" x14ac:dyDescent="0.3">
      <c r="B450" t="s">
        <v>123</v>
      </c>
      <c r="C450" t="s">
        <v>1102</v>
      </c>
      <c r="D450" t="s">
        <v>860</v>
      </c>
      <c r="E450" s="10">
        <v>20</v>
      </c>
    </row>
    <row r="451" spans="2:5" x14ac:dyDescent="0.3">
      <c r="B451" t="s">
        <v>471</v>
      </c>
      <c r="C451" t="s">
        <v>1079</v>
      </c>
      <c r="D451" t="s">
        <v>816</v>
      </c>
      <c r="E451" s="10">
        <v>20</v>
      </c>
    </row>
    <row r="452" spans="2:5" x14ac:dyDescent="0.3">
      <c r="B452" t="s">
        <v>426</v>
      </c>
      <c r="C452" t="s">
        <v>1100</v>
      </c>
      <c r="D452" t="s">
        <v>915</v>
      </c>
      <c r="E452" s="10">
        <v>20</v>
      </c>
    </row>
    <row r="453" spans="2:5" x14ac:dyDescent="0.3">
      <c r="B453" t="s">
        <v>442</v>
      </c>
      <c r="C453" t="s">
        <v>1117</v>
      </c>
      <c r="D453" t="s">
        <v>825</v>
      </c>
      <c r="E453" s="10">
        <v>20</v>
      </c>
    </row>
    <row r="454" spans="2:5" x14ac:dyDescent="0.3">
      <c r="B454" t="s">
        <v>566</v>
      </c>
      <c r="C454" t="s">
        <v>1119</v>
      </c>
      <c r="D454" t="s">
        <v>830</v>
      </c>
      <c r="E454" s="10">
        <v>20</v>
      </c>
    </row>
    <row r="455" spans="2:5" x14ac:dyDescent="0.3">
      <c r="B455" t="s">
        <v>576</v>
      </c>
      <c r="C455" t="s">
        <v>980</v>
      </c>
      <c r="D455" t="s">
        <v>801</v>
      </c>
      <c r="E455" s="10">
        <v>20</v>
      </c>
    </row>
    <row r="456" spans="2:5" x14ac:dyDescent="0.3">
      <c r="B456" t="s">
        <v>519</v>
      </c>
      <c r="C456" t="s">
        <v>1108</v>
      </c>
      <c r="D456" t="s">
        <v>827</v>
      </c>
      <c r="E456" s="10">
        <v>20</v>
      </c>
    </row>
    <row r="457" spans="2:5" x14ac:dyDescent="0.3">
      <c r="B457" t="s">
        <v>465</v>
      </c>
      <c r="C457" t="s">
        <v>1122</v>
      </c>
      <c r="D457" t="s">
        <v>883</v>
      </c>
      <c r="E457" s="10">
        <v>20</v>
      </c>
    </row>
    <row r="458" spans="2:5" x14ac:dyDescent="0.3">
      <c r="B458" t="s">
        <v>1028</v>
      </c>
      <c r="C458" t="s">
        <v>1088</v>
      </c>
      <c r="D458" t="s">
        <v>926</v>
      </c>
      <c r="E458" s="10">
        <v>20</v>
      </c>
    </row>
    <row r="459" spans="2:5" x14ac:dyDescent="0.3">
      <c r="B459" t="s">
        <v>268</v>
      </c>
      <c r="C459" t="s">
        <v>1100</v>
      </c>
      <c r="D459" t="s">
        <v>895</v>
      </c>
      <c r="E459" s="10">
        <v>20</v>
      </c>
    </row>
    <row r="460" spans="2:5" x14ac:dyDescent="0.3">
      <c r="B460" t="s">
        <v>459</v>
      </c>
      <c r="C460" t="s">
        <v>1103</v>
      </c>
      <c r="D460" t="s">
        <v>857</v>
      </c>
      <c r="E460" s="10">
        <v>20</v>
      </c>
    </row>
    <row r="461" spans="2:5" x14ac:dyDescent="0.3">
      <c r="B461" t="s">
        <v>574</v>
      </c>
      <c r="C461" t="s">
        <v>1117</v>
      </c>
      <c r="D461" t="s">
        <v>899</v>
      </c>
      <c r="E461" s="10">
        <v>20</v>
      </c>
    </row>
    <row r="462" spans="2:5" x14ac:dyDescent="0.3">
      <c r="B462" t="s">
        <v>1004</v>
      </c>
      <c r="C462" t="s">
        <v>1109</v>
      </c>
      <c r="D462" t="s">
        <v>926</v>
      </c>
      <c r="E462" s="10">
        <v>20</v>
      </c>
    </row>
    <row r="463" spans="2:5" x14ac:dyDescent="0.3">
      <c r="B463" t="s">
        <v>983</v>
      </c>
      <c r="C463" t="s">
        <v>1087</v>
      </c>
      <c r="D463" t="s">
        <v>883</v>
      </c>
      <c r="E463" s="10">
        <v>20</v>
      </c>
    </row>
    <row r="464" spans="2:5" x14ac:dyDescent="0.3">
      <c r="B464" t="s">
        <v>590</v>
      </c>
      <c r="C464" t="s">
        <v>1100</v>
      </c>
      <c r="D464" t="s">
        <v>926</v>
      </c>
      <c r="E464" s="10">
        <v>20</v>
      </c>
    </row>
    <row r="465" spans="2:5" x14ac:dyDescent="0.3">
      <c r="B465" t="s">
        <v>166</v>
      </c>
      <c r="C465" t="s">
        <v>1124</v>
      </c>
      <c r="D465" t="s">
        <v>841</v>
      </c>
      <c r="E465" s="10">
        <v>20</v>
      </c>
    </row>
    <row r="466" spans="2:5" x14ac:dyDescent="0.3">
      <c r="B466" t="s">
        <v>766</v>
      </c>
      <c r="C466" t="s">
        <v>1086</v>
      </c>
      <c r="D466" t="s">
        <v>796</v>
      </c>
      <c r="E466" s="10">
        <v>20</v>
      </c>
    </row>
    <row r="467" spans="2:5" x14ac:dyDescent="0.3">
      <c r="B467" t="s">
        <v>271</v>
      </c>
      <c r="C467" t="s">
        <v>1101</v>
      </c>
      <c r="D467" t="s">
        <v>853</v>
      </c>
      <c r="E467" s="10">
        <v>20</v>
      </c>
    </row>
    <row r="468" spans="2:5" x14ac:dyDescent="0.3">
      <c r="B468" t="s">
        <v>897</v>
      </c>
      <c r="C468" t="s">
        <v>1080</v>
      </c>
      <c r="D468" t="s">
        <v>870</v>
      </c>
      <c r="E468" s="10">
        <v>20</v>
      </c>
    </row>
    <row r="469" spans="2:5" x14ac:dyDescent="0.3">
      <c r="B469" t="s">
        <v>957</v>
      </c>
      <c r="C469" t="s">
        <v>1084</v>
      </c>
      <c r="D469" t="s">
        <v>914</v>
      </c>
      <c r="E469" s="10">
        <v>20</v>
      </c>
    </row>
    <row r="470" spans="2:5" x14ac:dyDescent="0.3">
      <c r="B470" t="s">
        <v>762</v>
      </c>
      <c r="C470" t="s">
        <v>1109</v>
      </c>
      <c r="D470" t="s">
        <v>790</v>
      </c>
      <c r="E470" s="10">
        <v>20</v>
      </c>
    </row>
    <row r="471" spans="2:5" x14ac:dyDescent="0.3">
      <c r="B471" t="s">
        <v>245</v>
      </c>
      <c r="C471" t="s">
        <v>1093</v>
      </c>
      <c r="D471" t="s">
        <v>796</v>
      </c>
      <c r="E471" s="10">
        <v>20</v>
      </c>
    </row>
    <row r="472" spans="2:5" x14ac:dyDescent="0.3">
      <c r="B472" t="s">
        <v>705</v>
      </c>
      <c r="C472" t="s">
        <v>1114</v>
      </c>
      <c r="D472" t="s">
        <v>901</v>
      </c>
      <c r="E472" s="10">
        <v>20</v>
      </c>
    </row>
    <row r="473" spans="2:5" x14ac:dyDescent="0.3">
      <c r="B473" t="s">
        <v>891</v>
      </c>
      <c r="C473" t="s">
        <v>1090</v>
      </c>
      <c r="D473" t="s">
        <v>796</v>
      </c>
      <c r="E473" s="10">
        <v>20</v>
      </c>
    </row>
    <row r="474" spans="2:5" x14ac:dyDescent="0.3">
      <c r="B474" t="s">
        <v>719</v>
      </c>
      <c r="C474" t="s">
        <v>1088</v>
      </c>
      <c r="D474" t="s">
        <v>830</v>
      </c>
      <c r="E474" s="10">
        <v>20</v>
      </c>
    </row>
    <row r="475" spans="2:5" x14ac:dyDescent="0.3">
      <c r="B475" t="s">
        <v>294</v>
      </c>
      <c r="C475" t="s">
        <v>1087</v>
      </c>
      <c r="D475" t="s">
        <v>901</v>
      </c>
      <c r="E475" s="10">
        <v>20</v>
      </c>
    </row>
    <row r="476" spans="2:5" x14ac:dyDescent="0.3">
      <c r="B476" t="s">
        <v>311</v>
      </c>
      <c r="C476" t="s">
        <v>1097</v>
      </c>
      <c r="D476" t="s">
        <v>796</v>
      </c>
      <c r="E476" s="10">
        <v>20</v>
      </c>
    </row>
    <row r="477" spans="2:5" x14ac:dyDescent="0.3">
      <c r="B477" t="s">
        <v>455</v>
      </c>
      <c r="C477" t="s">
        <v>1078</v>
      </c>
      <c r="D477" t="s">
        <v>841</v>
      </c>
      <c r="E477" s="10">
        <v>20</v>
      </c>
    </row>
    <row r="478" spans="2:5" x14ac:dyDescent="0.3">
      <c r="B478" t="s">
        <v>90</v>
      </c>
      <c r="C478" t="s">
        <v>1110</v>
      </c>
      <c r="D478" t="s">
        <v>878</v>
      </c>
      <c r="E478" s="10">
        <v>18</v>
      </c>
    </row>
    <row r="479" spans="2:5" x14ac:dyDescent="0.3">
      <c r="B479" t="s">
        <v>190</v>
      </c>
      <c r="C479" t="s">
        <v>1110</v>
      </c>
      <c r="D479" t="s">
        <v>852</v>
      </c>
      <c r="E479" s="10">
        <v>18</v>
      </c>
    </row>
    <row r="480" spans="2:5" x14ac:dyDescent="0.3">
      <c r="B480" t="s">
        <v>400</v>
      </c>
      <c r="C480" t="s">
        <v>1090</v>
      </c>
      <c r="D480" t="s">
        <v>852</v>
      </c>
      <c r="E480" s="10">
        <v>18</v>
      </c>
    </row>
    <row r="481" spans="2:5" x14ac:dyDescent="0.3">
      <c r="B481" t="s">
        <v>143</v>
      </c>
      <c r="C481" t="s">
        <v>1105</v>
      </c>
      <c r="D481" t="s">
        <v>873</v>
      </c>
      <c r="E481" s="10">
        <v>18</v>
      </c>
    </row>
    <row r="482" spans="2:5" x14ac:dyDescent="0.3">
      <c r="B482" t="s">
        <v>568</v>
      </c>
      <c r="C482" t="s">
        <v>1083</v>
      </c>
      <c r="D482" t="s">
        <v>846</v>
      </c>
      <c r="E482" s="10">
        <v>16</v>
      </c>
    </row>
    <row r="483" spans="2:5" x14ac:dyDescent="0.3">
      <c r="B483" t="s">
        <v>1007</v>
      </c>
      <c r="C483" t="s">
        <v>1089</v>
      </c>
      <c r="D483" t="s">
        <v>926</v>
      </c>
      <c r="E483" s="10">
        <v>16</v>
      </c>
    </row>
    <row r="484" spans="2:5" x14ac:dyDescent="0.3">
      <c r="B484" t="s">
        <v>321</v>
      </c>
      <c r="C484" t="s">
        <v>1110</v>
      </c>
      <c r="D484" t="s">
        <v>801</v>
      </c>
      <c r="E484" s="10">
        <v>16</v>
      </c>
    </row>
    <row r="485" spans="2:5" x14ac:dyDescent="0.3">
      <c r="B485" t="s">
        <v>1023</v>
      </c>
      <c r="C485" t="s">
        <v>1098</v>
      </c>
      <c r="D485" t="s">
        <v>939</v>
      </c>
      <c r="E485" s="10">
        <v>16</v>
      </c>
    </row>
    <row r="486" spans="2:5" x14ac:dyDescent="0.3">
      <c r="B486" t="s">
        <v>627</v>
      </c>
      <c r="C486" t="s">
        <v>1086</v>
      </c>
      <c r="D486" t="s">
        <v>873</v>
      </c>
      <c r="E486" s="10">
        <v>16</v>
      </c>
    </row>
    <row r="487" spans="2:5" x14ac:dyDescent="0.3">
      <c r="B487" t="s">
        <v>575</v>
      </c>
      <c r="C487" t="s">
        <v>1100</v>
      </c>
      <c r="D487" t="s">
        <v>829</v>
      </c>
      <c r="E487" s="10">
        <v>16</v>
      </c>
    </row>
    <row r="488" spans="2:5" x14ac:dyDescent="0.3">
      <c r="B488" t="s">
        <v>704</v>
      </c>
      <c r="C488" t="s">
        <v>1079</v>
      </c>
      <c r="D488" t="s">
        <v>878</v>
      </c>
      <c r="E488" s="10">
        <v>16</v>
      </c>
    </row>
    <row r="489" spans="2:5" x14ac:dyDescent="0.3">
      <c r="B489" t="s">
        <v>49</v>
      </c>
      <c r="C489" t="s">
        <v>980</v>
      </c>
      <c r="D489" t="s">
        <v>906</v>
      </c>
      <c r="E489" s="10">
        <v>16</v>
      </c>
    </row>
    <row r="490" spans="2:5" x14ac:dyDescent="0.3">
      <c r="B490" t="s">
        <v>485</v>
      </c>
      <c r="C490" t="s">
        <v>1126</v>
      </c>
      <c r="D490" t="s">
        <v>893</v>
      </c>
      <c r="E490" s="10">
        <v>16</v>
      </c>
    </row>
    <row r="491" spans="2:5" x14ac:dyDescent="0.3">
      <c r="B491" t="s">
        <v>1027</v>
      </c>
      <c r="C491" t="s">
        <v>1118</v>
      </c>
      <c r="D491" t="s">
        <v>885</v>
      </c>
      <c r="E491" s="10">
        <v>16</v>
      </c>
    </row>
    <row r="492" spans="2:5" x14ac:dyDescent="0.3">
      <c r="B492" t="s">
        <v>1054</v>
      </c>
      <c r="C492" t="s">
        <v>1103</v>
      </c>
      <c r="D492" t="s">
        <v>918</v>
      </c>
      <c r="E492" s="10">
        <v>16</v>
      </c>
    </row>
    <row r="493" spans="2:5" x14ac:dyDescent="0.3">
      <c r="B493" t="s">
        <v>720</v>
      </c>
      <c r="C493" t="s">
        <v>1098</v>
      </c>
      <c r="D493" t="s">
        <v>828</v>
      </c>
      <c r="E493" s="10">
        <v>16</v>
      </c>
    </row>
    <row r="494" spans="2:5" x14ac:dyDescent="0.3">
      <c r="B494" t="s">
        <v>104</v>
      </c>
      <c r="C494" t="s">
        <v>1107</v>
      </c>
      <c r="D494" t="s">
        <v>790</v>
      </c>
      <c r="E494" s="10">
        <v>16</v>
      </c>
    </row>
    <row r="495" spans="2:5" x14ac:dyDescent="0.3">
      <c r="B495" t="s">
        <v>336</v>
      </c>
      <c r="C495" t="s">
        <v>1106</v>
      </c>
      <c r="D495" t="s">
        <v>885</v>
      </c>
      <c r="E495" s="10">
        <v>16</v>
      </c>
    </row>
    <row r="496" spans="2:5" x14ac:dyDescent="0.3">
      <c r="B496" t="s">
        <v>700</v>
      </c>
      <c r="C496" t="s">
        <v>1087</v>
      </c>
      <c r="D496" t="s">
        <v>856</v>
      </c>
      <c r="E496" s="10">
        <v>16</v>
      </c>
    </row>
    <row r="497" spans="2:5" x14ac:dyDescent="0.3">
      <c r="B497" t="s">
        <v>480</v>
      </c>
      <c r="C497" t="s">
        <v>1113</v>
      </c>
      <c r="D497" t="s">
        <v>829</v>
      </c>
      <c r="E497" s="10">
        <v>16</v>
      </c>
    </row>
    <row r="498" spans="2:5" x14ac:dyDescent="0.3">
      <c r="B498" t="s">
        <v>84</v>
      </c>
      <c r="C498" t="s">
        <v>1113</v>
      </c>
      <c r="D498" t="s">
        <v>900</v>
      </c>
      <c r="E498" s="10">
        <v>16</v>
      </c>
    </row>
    <row r="499" spans="2:5" x14ac:dyDescent="0.3">
      <c r="B499" t="s">
        <v>953</v>
      </c>
      <c r="C499" t="s">
        <v>1123</v>
      </c>
      <c r="D499" t="s">
        <v>915</v>
      </c>
      <c r="E499" s="10">
        <v>16</v>
      </c>
    </row>
    <row r="500" spans="2:5" x14ac:dyDescent="0.3">
      <c r="B500" t="s">
        <v>270</v>
      </c>
      <c r="C500" t="s">
        <v>1099</v>
      </c>
      <c r="D500" t="s">
        <v>818</v>
      </c>
      <c r="E500" s="10">
        <v>16</v>
      </c>
    </row>
    <row r="501" spans="2:5" x14ac:dyDescent="0.3">
      <c r="B501" t="s">
        <v>923</v>
      </c>
      <c r="C501" t="s">
        <v>1117</v>
      </c>
      <c r="D501" t="s">
        <v>818</v>
      </c>
      <c r="E501" s="10">
        <v>16</v>
      </c>
    </row>
    <row r="502" spans="2:5" x14ac:dyDescent="0.3">
      <c r="B502" t="s">
        <v>761</v>
      </c>
      <c r="C502" t="s">
        <v>1110</v>
      </c>
      <c r="D502" t="s">
        <v>825</v>
      </c>
      <c r="E502" s="10">
        <v>16</v>
      </c>
    </row>
    <row r="503" spans="2:5" x14ac:dyDescent="0.3">
      <c r="B503" t="s">
        <v>565</v>
      </c>
      <c r="C503" t="s">
        <v>1103</v>
      </c>
      <c r="D503" t="s">
        <v>842</v>
      </c>
      <c r="E503" s="10">
        <v>16</v>
      </c>
    </row>
    <row r="504" spans="2:5" x14ac:dyDescent="0.3">
      <c r="B504" t="s">
        <v>967</v>
      </c>
      <c r="C504" t="s">
        <v>1087</v>
      </c>
      <c r="D504" t="s">
        <v>947</v>
      </c>
      <c r="E504" s="10">
        <v>16</v>
      </c>
    </row>
    <row r="505" spans="2:5" x14ac:dyDescent="0.3">
      <c r="B505" t="s">
        <v>512</v>
      </c>
      <c r="C505" t="s">
        <v>1106</v>
      </c>
      <c r="D505" t="s">
        <v>881</v>
      </c>
      <c r="E505" s="10">
        <v>16</v>
      </c>
    </row>
    <row r="506" spans="2:5" x14ac:dyDescent="0.3">
      <c r="B506" t="s">
        <v>357</v>
      </c>
      <c r="C506" t="s">
        <v>1117</v>
      </c>
      <c r="D506" t="s">
        <v>801</v>
      </c>
      <c r="E506" s="10">
        <v>16</v>
      </c>
    </row>
    <row r="507" spans="2:5" x14ac:dyDescent="0.3">
      <c r="B507" t="s">
        <v>889</v>
      </c>
      <c r="C507" t="s">
        <v>1079</v>
      </c>
      <c r="D507" t="s">
        <v>857</v>
      </c>
      <c r="E507" s="10">
        <v>16</v>
      </c>
    </row>
    <row r="508" spans="2:5" x14ac:dyDescent="0.3">
      <c r="B508" t="s">
        <v>616</v>
      </c>
      <c r="C508" t="s">
        <v>1082</v>
      </c>
      <c r="D508" t="s">
        <v>842</v>
      </c>
      <c r="E508" s="10">
        <v>16</v>
      </c>
    </row>
    <row r="509" spans="2:5" x14ac:dyDescent="0.3">
      <c r="B509" t="s">
        <v>165</v>
      </c>
      <c r="C509" t="s">
        <v>1115</v>
      </c>
      <c r="D509" t="s">
        <v>914</v>
      </c>
      <c r="E509" s="10">
        <v>16</v>
      </c>
    </row>
    <row r="510" spans="2:5" x14ac:dyDescent="0.3">
      <c r="B510" t="s">
        <v>579</v>
      </c>
      <c r="C510" t="s">
        <v>1088</v>
      </c>
      <c r="D510" t="s">
        <v>842</v>
      </c>
      <c r="E510" s="10">
        <v>16</v>
      </c>
    </row>
    <row r="511" spans="2:5" x14ac:dyDescent="0.3">
      <c r="B511" t="s">
        <v>57</v>
      </c>
      <c r="C511" t="s">
        <v>1080</v>
      </c>
      <c r="D511" t="s">
        <v>796</v>
      </c>
      <c r="E511" s="10">
        <v>16</v>
      </c>
    </row>
    <row r="512" spans="2:5" x14ac:dyDescent="0.3">
      <c r="B512" t="s">
        <v>30</v>
      </c>
      <c r="C512" t="s">
        <v>1124</v>
      </c>
      <c r="D512" t="s">
        <v>870</v>
      </c>
      <c r="E512" s="10">
        <v>16</v>
      </c>
    </row>
    <row r="513" spans="2:5" x14ac:dyDescent="0.3">
      <c r="B513" t="s">
        <v>611</v>
      </c>
      <c r="C513" t="s">
        <v>1078</v>
      </c>
      <c r="D513" t="s">
        <v>881</v>
      </c>
      <c r="E513" s="10">
        <v>14</v>
      </c>
    </row>
    <row r="514" spans="2:5" x14ac:dyDescent="0.3">
      <c r="B514" t="s">
        <v>496</v>
      </c>
      <c r="C514" t="s">
        <v>1104</v>
      </c>
      <c r="D514" t="s">
        <v>796</v>
      </c>
      <c r="E514" s="10">
        <v>14</v>
      </c>
    </row>
    <row r="515" spans="2:5" x14ac:dyDescent="0.3">
      <c r="B515" t="s">
        <v>728</v>
      </c>
      <c r="C515" t="s">
        <v>1095</v>
      </c>
      <c r="D515" t="s">
        <v>918</v>
      </c>
      <c r="E515" s="10">
        <v>14</v>
      </c>
    </row>
    <row r="516" spans="2:5" x14ac:dyDescent="0.3">
      <c r="B516" t="s">
        <v>348</v>
      </c>
      <c r="C516" t="s">
        <v>1098</v>
      </c>
      <c r="D516" t="s">
        <v>870</v>
      </c>
      <c r="E516" s="10">
        <v>14</v>
      </c>
    </row>
    <row r="517" spans="2:5" x14ac:dyDescent="0.3">
      <c r="B517" t="s">
        <v>945</v>
      </c>
      <c r="C517" t="s">
        <v>1117</v>
      </c>
      <c r="D517" t="s">
        <v>918</v>
      </c>
      <c r="E517" s="10">
        <v>14</v>
      </c>
    </row>
    <row r="518" spans="2:5" x14ac:dyDescent="0.3">
      <c r="B518" t="s">
        <v>523</v>
      </c>
      <c r="C518" t="s">
        <v>1084</v>
      </c>
      <c r="D518" t="s">
        <v>816</v>
      </c>
      <c r="E518" s="10">
        <v>12</v>
      </c>
    </row>
    <row r="519" spans="2:5" x14ac:dyDescent="0.3">
      <c r="B519" t="s">
        <v>545</v>
      </c>
      <c r="C519" t="s">
        <v>1114</v>
      </c>
      <c r="D519" t="s">
        <v>830</v>
      </c>
      <c r="E519" s="10">
        <v>12</v>
      </c>
    </row>
    <row r="520" spans="2:5" x14ac:dyDescent="0.3">
      <c r="B520" t="s">
        <v>1001</v>
      </c>
      <c r="C520" t="s">
        <v>1082</v>
      </c>
      <c r="D520" t="s">
        <v>801</v>
      </c>
      <c r="E520" s="10">
        <v>12</v>
      </c>
    </row>
    <row r="521" spans="2:5" x14ac:dyDescent="0.3">
      <c r="B521" t="s">
        <v>328</v>
      </c>
      <c r="C521" t="s">
        <v>1090</v>
      </c>
      <c r="D521" t="s">
        <v>895</v>
      </c>
      <c r="E521" s="10">
        <v>12</v>
      </c>
    </row>
    <row r="522" spans="2:5" x14ac:dyDescent="0.3">
      <c r="B522" t="s">
        <v>353</v>
      </c>
      <c r="C522" t="s">
        <v>1092</v>
      </c>
      <c r="D522" t="s">
        <v>864</v>
      </c>
      <c r="E522" s="10">
        <v>12</v>
      </c>
    </row>
    <row r="523" spans="2:5" x14ac:dyDescent="0.3">
      <c r="B523" t="s">
        <v>631</v>
      </c>
      <c r="C523" t="s">
        <v>1102</v>
      </c>
      <c r="D523" t="s">
        <v>860</v>
      </c>
      <c r="E523" s="10">
        <v>12</v>
      </c>
    </row>
    <row r="524" spans="2:5" x14ac:dyDescent="0.3">
      <c r="B524" t="s">
        <v>147</v>
      </c>
      <c r="C524" t="s">
        <v>1125</v>
      </c>
      <c r="D524" t="s">
        <v>919</v>
      </c>
      <c r="E524" s="10">
        <v>12</v>
      </c>
    </row>
    <row r="525" spans="2:5" x14ac:dyDescent="0.3">
      <c r="B525" t="s">
        <v>176</v>
      </c>
      <c r="C525" t="s">
        <v>1081</v>
      </c>
      <c r="D525" t="s">
        <v>852</v>
      </c>
      <c r="E525" s="10">
        <v>12</v>
      </c>
    </row>
    <row r="526" spans="2:5" x14ac:dyDescent="0.3">
      <c r="B526" t="s">
        <v>690</v>
      </c>
      <c r="C526" t="s">
        <v>1094</v>
      </c>
      <c r="D526" t="s">
        <v>830</v>
      </c>
      <c r="E526" s="10">
        <v>12</v>
      </c>
    </row>
    <row r="527" spans="2:5" x14ac:dyDescent="0.3">
      <c r="B527" t="s">
        <v>778</v>
      </c>
      <c r="C527" t="s">
        <v>1112</v>
      </c>
      <c r="D527" t="s">
        <v>830</v>
      </c>
      <c r="E527" s="10">
        <v>12</v>
      </c>
    </row>
    <row r="528" spans="2:5" x14ac:dyDescent="0.3">
      <c r="B528" t="s">
        <v>941</v>
      </c>
      <c r="C528" t="s">
        <v>1121</v>
      </c>
      <c r="D528" t="s">
        <v>881</v>
      </c>
      <c r="E528" s="10">
        <v>12</v>
      </c>
    </row>
    <row r="529" spans="2:5" x14ac:dyDescent="0.3">
      <c r="B529" t="s">
        <v>150</v>
      </c>
      <c r="C529" t="s">
        <v>1082</v>
      </c>
      <c r="D529" t="s">
        <v>846</v>
      </c>
      <c r="E529" s="10">
        <v>12</v>
      </c>
    </row>
    <row r="530" spans="2:5" x14ac:dyDescent="0.3">
      <c r="B530" t="s">
        <v>944</v>
      </c>
      <c r="C530" t="s">
        <v>1116</v>
      </c>
      <c r="D530" t="s">
        <v>830</v>
      </c>
      <c r="E530" s="10">
        <v>12</v>
      </c>
    </row>
    <row r="531" spans="2:5" x14ac:dyDescent="0.3">
      <c r="B531" t="s">
        <v>312</v>
      </c>
      <c r="C531" t="s">
        <v>1091</v>
      </c>
      <c r="D531" t="s">
        <v>837</v>
      </c>
      <c r="E531" s="10">
        <v>12</v>
      </c>
    </row>
    <row r="532" spans="2:5" x14ac:dyDescent="0.3">
      <c r="B532" t="s">
        <v>97</v>
      </c>
      <c r="C532" t="s">
        <v>1093</v>
      </c>
      <c r="D532" t="s">
        <v>834</v>
      </c>
      <c r="E532" s="10">
        <v>12</v>
      </c>
    </row>
    <row r="533" spans="2:5" x14ac:dyDescent="0.3">
      <c r="B533" t="s">
        <v>447</v>
      </c>
      <c r="C533" t="s">
        <v>1103</v>
      </c>
      <c r="D533" t="s">
        <v>895</v>
      </c>
      <c r="E533" s="10">
        <v>12</v>
      </c>
    </row>
    <row r="534" spans="2:5" x14ac:dyDescent="0.3">
      <c r="B534" t="s">
        <v>406</v>
      </c>
      <c r="C534" t="s">
        <v>1092</v>
      </c>
      <c r="D534" t="s">
        <v>853</v>
      </c>
      <c r="E534" s="10">
        <v>12</v>
      </c>
    </row>
    <row r="535" spans="2:5" x14ac:dyDescent="0.3">
      <c r="B535" t="s">
        <v>217</v>
      </c>
      <c r="C535" t="s">
        <v>1108</v>
      </c>
      <c r="D535" t="s">
        <v>874</v>
      </c>
      <c r="E535" s="10">
        <v>12</v>
      </c>
    </row>
    <row r="536" spans="2:5" x14ac:dyDescent="0.3">
      <c r="B536" t="s">
        <v>749</v>
      </c>
      <c r="C536" t="s">
        <v>1118</v>
      </c>
      <c r="D536" t="s">
        <v>842</v>
      </c>
      <c r="E536" s="10">
        <v>12</v>
      </c>
    </row>
    <row r="537" spans="2:5" x14ac:dyDescent="0.3">
      <c r="B537" t="s">
        <v>454</v>
      </c>
      <c r="C537" t="s">
        <v>1127</v>
      </c>
      <c r="D537" t="s">
        <v>827</v>
      </c>
      <c r="E537" s="10">
        <v>12</v>
      </c>
    </row>
    <row r="538" spans="2:5" x14ac:dyDescent="0.3">
      <c r="B538" t="s">
        <v>322</v>
      </c>
      <c r="C538" t="s">
        <v>1102</v>
      </c>
      <c r="D538" t="s">
        <v>932</v>
      </c>
      <c r="E538" s="10">
        <v>12</v>
      </c>
    </row>
    <row r="539" spans="2:5" x14ac:dyDescent="0.3">
      <c r="B539" t="s">
        <v>780</v>
      </c>
      <c r="C539" t="s">
        <v>1114</v>
      </c>
      <c r="D539" t="s">
        <v>888</v>
      </c>
      <c r="E539" s="10">
        <v>12</v>
      </c>
    </row>
    <row r="540" spans="2:5" x14ac:dyDescent="0.3">
      <c r="B540" t="s">
        <v>710</v>
      </c>
      <c r="C540" t="s">
        <v>1105</v>
      </c>
      <c r="D540" t="s">
        <v>849</v>
      </c>
      <c r="E540" s="10">
        <v>12</v>
      </c>
    </row>
    <row r="541" spans="2:5" x14ac:dyDescent="0.3">
      <c r="B541" t="s">
        <v>105</v>
      </c>
      <c r="C541" t="s">
        <v>1116</v>
      </c>
      <c r="D541" t="s">
        <v>856</v>
      </c>
      <c r="E541" s="10">
        <v>12</v>
      </c>
    </row>
    <row r="542" spans="2:5" x14ac:dyDescent="0.3">
      <c r="B542" t="s">
        <v>429</v>
      </c>
      <c r="C542" t="s">
        <v>1079</v>
      </c>
      <c r="D542" t="s">
        <v>864</v>
      </c>
      <c r="E542" s="10">
        <v>12</v>
      </c>
    </row>
    <row r="543" spans="2:5" x14ac:dyDescent="0.3">
      <c r="B543" t="s">
        <v>13</v>
      </c>
      <c r="C543" t="s">
        <v>1124</v>
      </c>
      <c r="D543" t="s">
        <v>834</v>
      </c>
      <c r="E543" s="10">
        <v>12</v>
      </c>
    </row>
    <row r="544" spans="2:5" x14ac:dyDescent="0.3">
      <c r="B544" t="s">
        <v>613</v>
      </c>
      <c r="C544" t="s">
        <v>1082</v>
      </c>
      <c r="D544" t="s">
        <v>810</v>
      </c>
      <c r="E544" s="10">
        <v>12</v>
      </c>
    </row>
    <row r="545" spans="2:5" x14ac:dyDescent="0.3">
      <c r="B545" t="s">
        <v>184</v>
      </c>
      <c r="C545" t="s">
        <v>1101</v>
      </c>
      <c r="D545" t="s">
        <v>830</v>
      </c>
      <c r="E545" s="10">
        <v>10</v>
      </c>
    </row>
    <row r="546" spans="2:5" x14ac:dyDescent="0.3">
      <c r="B546" t="s">
        <v>684</v>
      </c>
      <c r="C546" t="s">
        <v>1080</v>
      </c>
      <c r="D546" t="s">
        <v>790</v>
      </c>
      <c r="E546" s="10">
        <v>10</v>
      </c>
    </row>
    <row r="547" spans="2:5" x14ac:dyDescent="0.3">
      <c r="B547" t="s">
        <v>230</v>
      </c>
      <c r="C547" t="s">
        <v>1110</v>
      </c>
      <c r="D547" t="s">
        <v>801</v>
      </c>
      <c r="E547" s="10">
        <v>10</v>
      </c>
    </row>
    <row r="548" spans="2:5" x14ac:dyDescent="0.3">
      <c r="B548" t="s">
        <v>581</v>
      </c>
      <c r="C548" t="s">
        <v>1118</v>
      </c>
      <c r="D548" t="s">
        <v>918</v>
      </c>
      <c r="E548" s="10">
        <v>10</v>
      </c>
    </row>
    <row r="549" spans="2:5" x14ac:dyDescent="0.3">
      <c r="B549" t="s">
        <v>654</v>
      </c>
      <c r="C549" t="s">
        <v>1093</v>
      </c>
      <c r="D549" t="s">
        <v>885</v>
      </c>
      <c r="E549" s="10">
        <v>8</v>
      </c>
    </row>
    <row r="550" spans="2:5" x14ac:dyDescent="0.3">
      <c r="B550" t="s">
        <v>553</v>
      </c>
      <c r="C550" t="s">
        <v>1113</v>
      </c>
      <c r="D550" t="s">
        <v>939</v>
      </c>
      <c r="E550" s="10">
        <v>8</v>
      </c>
    </row>
    <row r="551" spans="2:5" x14ac:dyDescent="0.3">
      <c r="B551" t="s">
        <v>1000</v>
      </c>
      <c r="C551" t="s">
        <v>1086</v>
      </c>
      <c r="D551" t="s">
        <v>864</v>
      </c>
      <c r="E551" s="10">
        <v>8</v>
      </c>
    </row>
    <row r="552" spans="2:5" x14ac:dyDescent="0.3">
      <c r="B552" t="s">
        <v>660</v>
      </c>
      <c r="C552" t="s">
        <v>1090</v>
      </c>
      <c r="D552" t="s">
        <v>816</v>
      </c>
      <c r="E552" s="10">
        <v>8</v>
      </c>
    </row>
    <row r="553" spans="2:5" x14ac:dyDescent="0.3">
      <c r="B553" t="s">
        <v>89</v>
      </c>
      <c r="C553" t="s">
        <v>1121</v>
      </c>
      <c r="D553" t="s">
        <v>899</v>
      </c>
      <c r="E553" s="10">
        <v>8</v>
      </c>
    </row>
    <row r="554" spans="2:5" x14ac:dyDescent="0.3">
      <c r="B554" t="s">
        <v>125</v>
      </c>
      <c r="C554" t="s">
        <v>1083</v>
      </c>
      <c r="D554" t="s">
        <v>805</v>
      </c>
      <c r="E554" s="10">
        <v>8</v>
      </c>
    </row>
    <row r="555" spans="2:5" x14ac:dyDescent="0.3">
      <c r="B555" t="s">
        <v>1033</v>
      </c>
      <c r="C555" t="s">
        <v>1087</v>
      </c>
      <c r="D555" t="s">
        <v>818</v>
      </c>
      <c r="E555" s="10">
        <v>8</v>
      </c>
    </row>
    <row r="556" spans="2:5" x14ac:dyDescent="0.3">
      <c r="B556" t="s">
        <v>533</v>
      </c>
      <c r="C556" t="s">
        <v>1110</v>
      </c>
      <c r="D556" t="s">
        <v>880</v>
      </c>
      <c r="E556" s="10">
        <v>8</v>
      </c>
    </row>
    <row r="557" spans="2:5" x14ac:dyDescent="0.3">
      <c r="B557" t="s">
        <v>1045</v>
      </c>
      <c r="C557" t="s">
        <v>1080</v>
      </c>
      <c r="D557" t="s">
        <v>915</v>
      </c>
      <c r="E557" s="10">
        <v>8</v>
      </c>
    </row>
    <row r="558" spans="2:5" x14ac:dyDescent="0.3">
      <c r="B558" t="s">
        <v>206</v>
      </c>
      <c r="C558" t="s">
        <v>1114</v>
      </c>
      <c r="D558" t="s">
        <v>834</v>
      </c>
      <c r="E558" s="10">
        <v>8</v>
      </c>
    </row>
    <row r="559" spans="2:5" x14ac:dyDescent="0.3">
      <c r="B559" t="s">
        <v>120</v>
      </c>
      <c r="C559" t="s">
        <v>1113</v>
      </c>
      <c r="D559" t="s">
        <v>825</v>
      </c>
      <c r="E559" s="10">
        <v>8</v>
      </c>
    </row>
    <row r="560" spans="2:5" x14ac:dyDescent="0.3">
      <c r="B560" t="s">
        <v>145</v>
      </c>
      <c r="C560" t="s">
        <v>1099</v>
      </c>
      <c r="D560" t="s">
        <v>841</v>
      </c>
      <c r="E560" s="10">
        <v>8</v>
      </c>
    </row>
    <row r="561" spans="2:5" x14ac:dyDescent="0.3">
      <c r="B561" t="s">
        <v>618</v>
      </c>
      <c r="C561" t="s">
        <v>1081</v>
      </c>
      <c r="D561" t="s">
        <v>883</v>
      </c>
      <c r="E561" s="10">
        <v>8</v>
      </c>
    </row>
    <row r="562" spans="2:5" x14ac:dyDescent="0.3">
      <c r="B562" t="s">
        <v>187</v>
      </c>
      <c r="C562" t="s">
        <v>1088</v>
      </c>
      <c r="D562" t="s">
        <v>900</v>
      </c>
      <c r="E562" s="10">
        <v>8</v>
      </c>
    </row>
    <row r="563" spans="2:5" x14ac:dyDescent="0.3">
      <c r="B563" t="s">
        <v>436</v>
      </c>
      <c r="C563" t="s">
        <v>1126</v>
      </c>
      <c r="D563" t="s">
        <v>827</v>
      </c>
      <c r="E563" s="10">
        <v>8</v>
      </c>
    </row>
    <row r="564" spans="2:5" x14ac:dyDescent="0.3">
      <c r="B564" t="s">
        <v>692</v>
      </c>
      <c r="C564" t="s">
        <v>1090</v>
      </c>
      <c r="D564" t="s">
        <v>919</v>
      </c>
      <c r="E564" s="10">
        <v>8</v>
      </c>
    </row>
    <row r="565" spans="2:5" x14ac:dyDescent="0.3">
      <c r="B565" t="s">
        <v>550</v>
      </c>
      <c r="C565" t="s">
        <v>1126</v>
      </c>
      <c r="D565" t="s">
        <v>914</v>
      </c>
      <c r="E565" s="10">
        <v>8</v>
      </c>
    </row>
    <row r="566" spans="2:5" x14ac:dyDescent="0.3">
      <c r="B566" t="s">
        <v>598</v>
      </c>
      <c r="C566" t="s">
        <v>1080</v>
      </c>
      <c r="D566" t="s">
        <v>842</v>
      </c>
      <c r="E566" s="10">
        <v>8</v>
      </c>
    </row>
    <row r="567" spans="2:5" x14ac:dyDescent="0.3">
      <c r="B567" t="s">
        <v>408</v>
      </c>
      <c r="C567" t="s">
        <v>1101</v>
      </c>
      <c r="D567" t="s">
        <v>876</v>
      </c>
      <c r="E567" s="10">
        <v>8</v>
      </c>
    </row>
    <row r="568" spans="2:5" x14ac:dyDescent="0.3">
      <c r="B568" t="s">
        <v>404</v>
      </c>
      <c r="C568" t="s">
        <v>1099</v>
      </c>
      <c r="D568" t="s">
        <v>837</v>
      </c>
      <c r="E568" s="10">
        <v>8</v>
      </c>
    </row>
    <row r="569" spans="2:5" x14ac:dyDescent="0.3">
      <c r="B569" t="s">
        <v>484</v>
      </c>
      <c r="C569" t="s">
        <v>1082</v>
      </c>
      <c r="D569" t="s">
        <v>932</v>
      </c>
      <c r="E569" s="10">
        <v>8</v>
      </c>
    </row>
    <row r="570" spans="2:5" x14ac:dyDescent="0.3">
      <c r="B570" t="s">
        <v>948</v>
      </c>
      <c r="C570" t="s">
        <v>1085</v>
      </c>
      <c r="D570" t="s">
        <v>888</v>
      </c>
      <c r="E570" s="10">
        <v>8</v>
      </c>
    </row>
    <row r="571" spans="2:5" x14ac:dyDescent="0.3">
      <c r="B571" t="s">
        <v>439</v>
      </c>
      <c r="C571" t="s">
        <v>1087</v>
      </c>
      <c r="D571" t="s">
        <v>900</v>
      </c>
      <c r="E571" s="10">
        <v>8</v>
      </c>
    </row>
    <row r="572" spans="2:5" x14ac:dyDescent="0.3">
      <c r="B572" t="s">
        <v>740</v>
      </c>
      <c r="C572" t="s">
        <v>1080</v>
      </c>
      <c r="D572" t="s">
        <v>914</v>
      </c>
      <c r="E572" s="10">
        <v>8</v>
      </c>
    </row>
    <row r="573" spans="2:5" x14ac:dyDescent="0.3">
      <c r="B573" t="s">
        <v>737</v>
      </c>
      <c r="C573" t="s">
        <v>1116</v>
      </c>
      <c r="D573" t="s">
        <v>849</v>
      </c>
      <c r="E573" s="10">
        <v>8</v>
      </c>
    </row>
    <row r="574" spans="2:5" x14ac:dyDescent="0.3">
      <c r="B574" t="s">
        <v>706</v>
      </c>
      <c r="C574" t="s">
        <v>1113</v>
      </c>
      <c r="D574" t="s">
        <v>881</v>
      </c>
      <c r="E574" s="10">
        <v>8</v>
      </c>
    </row>
    <row r="575" spans="2:5" x14ac:dyDescent="0.3">
      <c r="B575" t="s">
        <v>492</v>
      </c>
      <c r="C575" t="s">
        <v>1112</v>
      </c>
      <c r="D575" t="s">
        <v>841</v>
      </c>
      <c r="E575" s="10">
        <v>8</v>
      </c>
    </row>
    <row r="576" spans="2:5" x14ac:dyDescent="0.3">
      <c r="B576" t="s">
        <v>647</v>
      </c>
      <c r="C576" t="s">
        <v>1081</v>
      </c>
      <c r="D576" t="s">
        <v>837</v>
      </c>
      <c r="E576" s="10">
        <v>8</v>
      </c>
    </row>
    <row r="577" spans="2:5" x14ac:dyDescent="0.3">
      <c r="B577" t="s">
        <v>509</v>
      </c>
      <c r="C577" t="s">
        <v>1110</v>
      </c>
      <c r="D577" t="s">
        <v>796</v>
      </c>
      <c r="E577" s="10">
        <v>8</v>
      </c>
    </row>
    <row r="578" spans="2:5" x14ac:dyDescent="0.3">
      <c r="B578" t="s">
        <v>844</v>
      </c>
      <c r="C578" t="s">
        <v>980</v>
      </c>
      <c r="D578" t="s">
        <v>846</v>
      </c>
      <c r="E578" s="10">
        <v>8</v>
      </c>
    </row>
    <row r="579" spans="2:5" x14ac:dyDescent="0.3">
      <c r="B579" t="s">
        <v>1066</v>
      </c>
      <c r="C579" t="s">
        <v>1083</v>
      </c>
      <c r="D579" t="s">
        <v>828</v>
      </c>
      <c r="E579" s="10">
        <v>6</v>
      </c>
    </row>
    <row r="580" spans="2:5" x14ac:dyDescent="0.3">
      <c r="B580" t="s">
        <v>736</v>
      </c>
      <c r="C580" t="s">
        <v>1119</v>
      </c>
      <c r="D580" t="s">
        <v>932</v>
      </c>
      <c r="E580" s="10">
        <v>6</v>
      </c>
    </row>
    <row r="581" spans="2:5" x14ac:dyDescent="0.3">
      <c r="B581" t="s">
        <v>1008</v>
      </c>
      <c r="C581" t="s">
        <v>1108</v>
      </c>
      <c r="D581" t="s">
        <v>818</v>
      </c>
      <c r="E581" s="10">
        <v>6</v>
      </c>
    </row>
    <row r="582" spans="2:5" x14ac:dyDescent="0.3">
      <c r="B582" t="s">
        <v>421</v>
      </c>
      <c r="C582" t="s">
        <v>1078</v>
      </c>
      <c r="D582" t="s">
        <v>895</v>
      </c>
      <c r="E582" s="10">
        <v>6</v>
      </c>
    </row>
    <row r="583" spans="2:5" x14ac:dyDescent="0.3">
      <c r="B583" t="s">
        <v>472</v>
      </c>
      <c r="C583" t="s">
        <v>1086</v>
      </c>
      <c r="D583" t="s">
        <v>860</v>
      </c>
      <c r="E583" s="10">
        <v>6</v>
      </c>
    </row>
    <row r="584" spans="2:5" x14ac:dyDescent="0.3">
      <c r="B584" t="s">
        <v>743</v>
      </c>
      <c r="C584" t="s">
        <v>1121</v>
      </c>
      <c r="D584" t="s">
        <v>829</v>
      </c>
      <c r="E584" s="10">
        <v>6</v>
      </c>
    </row>
    <row r="585" spans="2:5" x14ac:dyDescent="0.3">
      <c r="B585" t="s">
        <v>450</v>
      </c>
      <c r="C585" t="s">
        <v>1114</v>
      </c>
      <c r="D585" t="s">
        <v>805</v>
      </c>
      <c r="E585" s="10">
        <v>6</v>
      </c>
    </row>
    <row r="586" spans="2:5" x14ac:dyDescent="0.3">
      <c r="B586" t="s">
        <v>748</v>
      </c>
      <c r="C586" t="s">
        <v>1122</v>
      </c>
      <c r="D586" t="s">
        <v>900</v>
      </c>
      <c r="E586" s="10">
        <v>6</v>
      </c>
    </row>
    <row r="587" spans="2:5" x14ac:dyDescent="0.3">
      <c r="B587" t="s">
        <v>18</v>
      </c>
      <c r="C587" t="s">
        <v>1077</v>
      </c>
      <c r="D587" t="s">
        <v>901</v>
      </c>
      <c r="E587" s="10">
        <v>6</v>
      </c>
    </row>
    <row r="588" spans="2:5" x14ac:dyDescent="0.3">
      <c r="B588" t="s">
        <v>699</v>
      </c>
      <c r="C588" t="s">
        <v>1105</v>
      </c>
      <c r="D588" t="s">
        <v>873</v>
      </c>
      <c r="E588" s="10">
        <v>6</v>
      </c>
    </row>
    <row r="589" spans="2:5" x14ac:dyDescent="0.3">
      <c r="B589" t="s">
        <v>316</v>
      </c>
      <c r="C589" t="s">
        <v>1082</v>
      </c>
      <c r="D589" t="s">
        <v>853</v>
      </c>
      <c r="E589" s="10">
        <v>6</v>
      </c>
    </row>
    <row r="590" spans="2:5" x14ac:dyDescent="0.3">
      <c r="B590" t="s">
        <v>961</v>
      </c>
      <c r="C590" t="s">
        <v>1098</v>
      </c>
      <c r="D590" t="s">
        <v>827</v>
      </c>
      <c r="E590" s="10">
        <v>6</v>
      </c>
    </row>
    <row r="591" spans="2:5" x14ac:dyDescent="0.3">
      <c r="B591" t="s">
        <v>129</v>
      </c>
      <c r="C591" t="s">
        <v>1102</v>
      </c>
      <c r="D591" t="s">
        <v>829</v>
      </c>
      <c r="E591" s="10">
        <v>6</v>
      </c>
    </row>
    <row r="592" spans="2:5" x14ac:dyDescent="0.3">
      <c r="B592" t="s">
        <v>916</v>
      </c>
      <c r="C592" t="s">
        <v>1086</v>
      </c>
      <c r="D592" t="s">
        <v>895</v>
      </c>
      <c r="E592" s="10">
        <v>6</v>
      </c>
    </row>
    <row r="593" spans="2:5" x14ac:dyDescent="0.3">
      <c r="B593" t="s">
        <v>730</v>
      </c>
      <c r="C593" t="s">
        <v>1110</v>
      </c>
      <c r="D593" t="s">
        <v>880</v>
      </c>
      <c r="E593" s="10">
        <v>6</v>
      </c>
    </row>
    <row r="594" spans="2:5" x14ac:dyDescent="0.3">
      <c r="B594" t="s">
        <v>391</v>
      </c>
      <c r="C594" t="s">
        <v>1099</v>
      </c>
      <c r="D594" t="s">
        <v>828</v>
      </c>
      <c r="E594" s="10">
        <v>6</v>
      </c>
    </row>
    <row r="595" spans="2:5" x14ac:dyDescent="0.3">
      <c r="B595" t="s">
        <v>760</v>
      </c>
      <c r="C595" t="s">
        <v>1121</v>
      </c>
      <c r="D595" t="s">
        <v>906</v>
      </c>
      <c r="E595" s="10">
        <v>6</v>
      </c>
    </row>
    <row r="596" spans="2:5" x14ac:dyDescent="0.3">
      <c r="B596" t="s">
        <v>292</v>
      </c>
      <c r="C596" t="s">
        <v>1099</v>
      </c>
      <c r="D596" t="s">
        <v>837</v>
      </c>
      <c r="E596" s="10">
        <v>4</v>
      </c>
    </row>
    <row r="597" spans="2:5" x14ac:dyDescent="0.3">
      <c r="B597" t="s">
        <v>548</v>
      </c>
      <c r="C597" t="s">
        <v>1100</v>
      </c>
      <c r="D597" t="s">
        <v>813</v>
      </c>
      <c r="E597" s="10">
        <v>4</v>
      </c>
    </row>
    <row r="598" spans="2:5" x14ac:dyDescent="0.3">
      <c r="B598" t="s">
        <v>524</v>
      </c>
      <c r="C598" t="s">
        <v>1117</v>
      </c>
      <c r="D598" t="s">
        <v>813</v>
      </c>
      <c r="E598" s="10">
        <v>4</v>
      </c>
    </row>
    <row r="599" spans="2:5" x14ac:dyDescent="0.3">
      <c r="B599" t="s">
        <v>522</v>
      </c>
      <c r="C599" t="s">
        <v>1124</v>
      </c>
      <c r="D599" t="s">
        <v>805</v>
      </c>
      <c r="E599" s="10">
        <v>4</v>
      </c>
    </row>
    <row r="600" spans="2:5" x14ac:dyDescent="0.3">
      <c r="B600" t="s">
        <v>1029</v>
      </c>
      <c r="C600" t="s">
        <v>1113</v>
      </c>
      <c r="D600" t="s">
        <v>883</v>
      </c>
      <c r="E600" s="10">
        <v>4</v>
      </c>
    </row>
    <row r="601" spans="2:5" x14ac:dyDescent="0.3">
      <c r="B601" t="s">
        <v>644</v>
      </c>
      <c r="C601" t="s">
        <v>1085</v>
      </c>
      <c r="D601" t="s">
        <v>830</v>
      </c>
      <c r="E601" s="10">
        <v>4</v>
      </c>
    </row>
    <row r="602" spans="2:5" x14ac:dyDescent="0.3">
      <c r="B602" t="s">
        <v>458</v>
      </c>
      <c r="C602" t="s">
        <v>1079</v>
      </c>
      <c r="D602" t="s">
        <v>834</v>
      </c>
      <c r="E602" s="10">
        <v>4</v>
      </c>
    </row>
    <row r="603" spans="2:5" x14ac:dyDescent="0.3">
      <c r="B603" t="s">
        <v>246</v>
      </c>
      <c r="C603" t="s">
        <v>1097</v>
      </c>
      <c r="D603" t="s">
        <v>880</v>
      </c>
      <c r="E603" s="10">
        <v>4</v>
      </c>
    </row>
    <row r="604" spans="2:5" x14ac:dyDescent="0.3">
      <c r="B604" t="s">
        <v>558</v>
      </c>
      <c r="C604" t="s">
        <v>1101</v>
      </c>
      <c r="D604" t="s">
        <v>901</v>
      </c>
      <c r="E604" s="10">
        <v>4</v>
      </c>
    </row>
    <row r="605" spans="2:5" x14ac:dyDescent="0.3">
      <c r="B605" t="s">
        <v>607</v>
      </c>
      <c r="C605" t="s">
        <v>1086</v>
      </c>
      <c r="D605" t="s">
        <v>853</v>
      </c>
      <c r="E605" s="10">
        <v>4</v>
      </c>
    </row>
    <row r="606" spans="2:5" x14ac:dyDescent="0.3">
      <c r="B606" t="s">
        <v>628</v>
      </c>
      <c r="C606" t="s">
        <v>1118</v>
      </c>
      <c r="D606" t="s">
        <v>801</v>
      </c>
      <c r="E606" s="10">
        <v>4</v>
      </c>
    </row>
    <row r="607" spans="2:5" x14ac:dyDescent="0.3">
      <c r="B607" t="s">
        <v>536</v>
      </c>
      <c r="C607" t="s">
        <v>1097</v>
      </c>
      <c r="D607" t="s">
        <v>918</v>
      </c>
      <c r="E607" s="10">
        <v>4</v>
      </c>
    </row>
    <row r="608" spans="2:5" x14ac:dyDescent="0.3">
      <c r="B608" t="s">
        <v>674</v>
      </c>
      <c r="C608" t="s">
        <v>1086</v>
      </c>
      <c r="D608" t="s">
        <v>964</v>
      </c>
      <c r="E608" s="10">
        <v>4</v>
      </c>
    </row>
    <row r="609" spans="2:5" x14ac:dyDescent="0.3">
      <c r="B609" t="s">
        <v>756</v>
      </c>
      <c r="C609" t="s">
        <v>1112</v>
      </c>
      <c r="D609" t="s">
        <v>900</v>
      </c>
      <c r="E609" s="10">
        <v>4</v>
      </c>
    </row>
    <row r="610" spans="2:5" x14ac:dyDescent="0.3">
      <c r="B610" t="s">
        <v>683</v>
      </c>
      <c r="C610" t="s">
        <v>1113</v>
      </c>
      <c r="D610" t="s">
        <v>827</v>
      </c>
      <c r="E610" s="10">
        <v>4</v>
      </c>
    </row>
    <row r="611" spans="2:5" x14ac:dyDescent="0.3">
      <c r="B611" t="s">
        <v>966</v>
      </c>
      <c r="C611" t="s">
        <v>1087</v>
      </c>
      <c r="D611" t="s">
        <v>825</v>
      </c>
      <c r="E611" s="10">
        <v>4</v>
      </c>
    </row>
    <row r="612" spans="2:5" x14ac:dyDescent="0.3">
      <c r="B612" t="s">
        <v>928</v>
      </c>
      <c r="C612" t="s">
        <v>1104</v>
      </c>
      <c r="D612" t="s">
        <v>885</v>
      </c>
      <c r="E612" s="10">
        <v>4</v>
      </c>
    </row>
    <row r="613" spans="2:5" x14ac:dyDescent="0.3">
      <c r="B613" t="s">
        <v>636</v>
      </c>
      <c r="C613" t="s">
        <v>1123</v>
      </c>
      <c r="D613" t="s">
        <v>900</v>
      </c>
      <c r="E613" s="10">
        <v>4</v>
      </c>
    </row>
    <row r="614" spans="2:5" x14ac:dyDescent="0.3">
      <c r="B614" t="s">
        <v>597</v>
      </c>
      <c r="C614" t="s">
        <v>1081</v>
      </c>
      <c r="D614" t="s">
        <v>830</v>
      </c>
      <c r="E614" s="10">
        <v>4</v>
      </c>
    </row>
    <row r="615" spans="2:5" x14ac:dyDescent="0.3">
      <c r="B615" t="s">
        <v>227</v>
      </c>
      <c r="C615" t="s">
        <v>1079</v>
      </c>
      <c r="D615" t="s">
        <v>878</v>
      </c>
      <c r="E615" s="10">
        <v>4</v>
      </c>
    </row>
    <row r="616" spans="2:5" x14ac:dyDescent="0.3">
      <c r="B616" t="s">
        <v>777</v>
      </c>
      <c r="C616" t="s">
        <v>1078</v>
      </c>
      <c r="D616" t="s">
        <v>880</v>
      </c>
      <c r="E616" s="10">
        <v>4</v>
      </c>
    </row>
    <row r="617" spans="2:5" x14ac:dyDescent="0.3">
      <c r="B617" t="s">
        <v>949</v>
      </c>
      <c r="C617" t="s">
        <v>1077</v>
      </c>
      <c r="D617" t="s">
        <v>816</v>
      </c>
      <c r="E617" s="10">
        <v>4</v>
      </c>
    </row>
    <row r="618" spans="2:5" x14ac:dyDescent="0.3">
      <c r="B618" t="s">
        <v>752</v>
      </c>
      <c r="C618" t="s">
        <v>1115</v>
      </c>
      <c r="D618" t="s">
        <v>895</v>
      </c>
      <c r="E618" s="10">
        <v>4</v>
      </c>
    </row>
    <row r="619" spans="2:5" x14ac:dyDescent="0.3">
      <c r="B619" t="s">
        <v>908</v>
      </c>
      <c r="C619" t="s">
        <v>1110</v>
      </c>
      <c r="D619" t="s">
        <v>849</v>
      </c>
      <c r="E619" s="10">
        <v>4</v>
      </c>
    </row>
    <row r="620" spans="2:5" x14ac:dyDescent="0.3">
      <c r="B620" t="s">
        <v>612</v>
      </c>
      <c r="C620" t="s">
        <v>1079</v>
      </c>
      <c r="D620" t="s">
        <v>947</v>
      </c>
      <c r="E620" s="10">
        <v>0</v>
      </c>
    </row>
    <row r="621" spans="2:5" x14ac:dyDescent="0.3">
      <c r="B621" t="s">
        <v>402</v>
      </c>
      <c r="C621" t="s">
        <v>1105</v>
      </c>
      <c r="D621" t="s">
        <v>939</v>
      </c>
      <c r="E621" s="10">
        <v>0</v>
      </c>
    </row>
    <row r="622" spans="2:5" x14ac:dyDescent="0.3">
      <c r="B622" t="s">
        <v>1047</v>
      </c>
      <c r="C622" t="s">
        <v>1119</v>
      </c>
      <c r="D622" t="s">
        <v>901</v>
      </c>
      <c r="E622" s="10">
        <v>0</v>
      </c>
    </row>
    <row r="623" spans="2:5" x14ac:dyDescent="0.3">
      <c r="B623" t="s">
        <v>139</v>
      </c>
      <c r="C623" t="s">
        <v>1106</v>
      </c>
      <c r="D623" t="s">
        <v>837</v>
      </c>
      <c r="E623" s="10">
        <v>0</v>
      </c>
    </row>
    <row r="624" spans="2:5" x14ac:dyDescent="0.3">
      <c r="B624" t="s">
        <v>658</v>
      </c>
      <c r="C624" t="s">
        <v>1091</v>
      </c>
      <c r="D624" t="s">
        <v>900</v>
      </c>
      <c r="E624" s="10">
        <v>0</v>
      </c>
    </row>
    <row r="625" spans="2:5" x14ac:dyDescent="0.3">
      <c r="B625" t="s">
        <v>444</v>
      </c>
      <c r="C625" t="s">
        <v>1125</v>
      </c>
      <c r="D625" t="s">
        <v>849</v>
      </c>
      <c r="E625" s="10">
        <v>0</v>
      </c>
    </row>
    <row r="626" spans="2:5" x14ac:dyDescent="0.3">
      <c r="B626" t="s">
        <v>1075</v>
      </c>
      <c r="E626" s="10">
        <v>23710</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Dashboard</vt:lpstr>
      <vt:lpstr>Training_Source</vt:lpstr>
      <vt:lpstr>HR_List</vt:lpstr>
      <vt:lpstr>My Lists</vt:lpstr>
      <vt:lpstr>Pivot tables</vt:lpstr>
      <vt:lpstr>ListDepartment</vt:lpstr>
      <vt:lpstr>ListTrainingProvider</vt:lpstr>
      <vt:lpstr>ListTrainingStatus</vt:lpstr>
      <vt:lpstr>ListTrainingTitle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KEDEWOULI Mehinewe Marie Merveille</cp:lastModifiedBy>
  <dcterms:created xsi:type="dcterms:W3CDTF">2025-12-15T15:56:48Z</dcterms:created>
  <dcterms:modified xsi:type="dcterms:W3CDTF">2025-12-18T19:08:01Z</dcterms:modified>
</cp:coreProperties>
</file>